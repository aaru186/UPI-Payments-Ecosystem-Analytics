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RUSHI\Downloads\"/>
    </mc:Choice>
  </mc:AlternateContent>
  <xr:revisionPtr revIDLastSave="0" documentId="13_ncr:1_{872F1631-AE75-4EA1-B036-F5A726474F8C}" xr6:coauthVersionLast="47" xr6:coauthVersionMax="47" xr10:uidLastSave="{00000000-0000-0000-0000-000000000000}"/>
  <bookViews>
    <workbookView xWindow="-108" yWindow="-108" windowWidth="23256" windowHeight="13176" tabRatio="500" firstSheet="6" activeTab="7" xr2:uid="{00000000-000D-0000-FFFF-FFFF00000000}"/>
  </bookViews>
  <sheets>
    <sheet name="README" sheetId="1" r:id="rId1"/>
    <sheet name="Monthly_Statistics" sheetId="2" r:id="rId2"/>
    <sheet name="Bank_Market_Share" sheetId="3" r:id="rId3"/>
    <sheet name="State_Adoption" sheetId="4" r:id="rId4"/>
    <sheet name="Daily_Analysis" sheetId="5" r:id="rId5"/>
    <sheet name="Fraud_Analytics" sheetId="6" r:id="rId6"/>
    <sheet name="Digital_Payments_Comparison" sheetId="7" r:id="rId7"/>
    <sheet name="Executive_Dashboard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85" i="8" l="1"/>
  <c r="F85" i="8"/>
  <c r="Q84" i="8"/>
  <c r="F84" i="8"/>
  <c r="F83" i="8"/>
  <c r="Q82" i="8"/>
  <c r="F82" i="8"/>
  <c r="V6" i="8"/>
  <c r="S6" i="8"/>
  <c r="M6" i="8"/>
  <c r="J6" i="8"/>
  <c r="G6" i="8"/>
  <c r="D6" i="8"/>
  <c r="A6" i="8"/>
  <c r="L17" i="7"/>
  <c r="L16" i="7"/>
  <c r="L15" i="7"/>
  <c r="L14" i="7"/>
  <c r="L13" i="7"/>
  <c r="L12" i="7"/>
  <c r="L11" i="7"/>
  <c r="M4" i="7"/>
  <c r="J4" i="7"/>
  <c r="G4" i="7"/>
  <c r="D4" i="7"/>
  <c r="A4" i="7"/>
  <c r="I10" i="6"/>
  <c r="I9" i="6"/>
  <c r="I8" i="6"/>
  <c r="I7" i="6"/>
  <c r="J4" i="6"/>
  <c r="G4" i="6"/>
  <c r="D4" i="6"/>
  <c r="A4" i="6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M17" i="5"/>
  <c r="L17" i="5"/>
  <c r="T16" i="5"/>
  <c r="M16" i="5"/>
  <c r="L16" i="5"/>
  <c r="T15" i="5"/>
  <c r="M15" i="5"/>
  <c r="L15" i="5"/>
  <c r="T14" i="5"/>
  <c r="M14" i="5"/>
  <c r="L14" i="5"/>
  <c r="T13" i="5"/>
  <c r="M13" i="5"/>
  <c r="L13" i="5"/>
  <c r="T12" i="5"/>
  <c r="Q12" i="5"/>
  <c r="P12" i="5"/>
  <c r="M12" i="5"/>
  <c r="L12" i="5"/>
  <c r="T11" i="5"/>
  <c r="Q11" i="5"/>
  <c r="P11" i="5"/>
  <c r="M11" i="5"/>
  <c r="L11" i="5"/>
  <c r="P4" i="5"/>
  <c r="M4" i="5"/>
  <c r="J4" i="5"/>
  <c r="G4" i="5"/>
  <c r="D4" i="5"/>
  <c r="A4" i="5"/>
  <c r="AJ16" i="4"/>
  <c r="AI16" i="4"/>
  <c r="AH16" i="4"/>
  <c r="AG16" i="4"/>
  <c r="AF16" i="4"/>
  <c r="AE16" i="4"/>
  <c r="AJ15" i="4"/>
  <c r="AI15" i="4"/>
  <c r="AH15" i="4"/>
  <c r="AG15" i="4"/>
  <c r="AF15" i="4"/>
  <c r="AE15" i="4"/>
  <c r="AJ14" i="4"/>
  <c r="AI14" i="4"/>
  <c r="AH14" i="4"/>
  <c r="AG14" i="4"/>
  <c r="AF14" i="4"/>
  <c r="AE14" i="4"/>
  <c r="AJ13" i="4"/>
  <c r="AI13" i="4"/>
  <c r="AH13" i="4"/>
  <c r="AG13" i="4"/>
  <c r="AF13" i="4"/>
  <c r="AE13" i="4"/>
  <c r="AJ12" i="4"/>
  <c r="AI12" i="4"/>
  <c r="AH12" i="4"/>
  <c r="AG12" i="4"/>
  <c r="AF12" i="4"/>
  <c r="AE12" i="4"/>
  <c r="AJ11" i="4"/>
  <c r="AI11" i="4"/>
  <c r="AH11" i="4"/>
  <c r="AG11" i="4"/>
  <c r="AF11" i="4"/>
  <c r="AE11" i="4"/>
  <c r="AJ10" i="4"/>
  <c r="AI10" i="4"/>
  <c r="AH10" i="4"/>
  <c r="AG10" i="4"/>
  <c r="AF10" i="4"/>
  <c r="AE10" i="4"/>
  <c r="AJ9" i="4"/>
  <c r="AI9" i="4"/>
  <c r="AH9" i="4"/>
  <c r="AG9" i="4"/>
  <c r="AF9" i="4"/>
  <c r="AE9" i="4"/>
  <c r="AJ8" i="4"/>
  <c r="AI8" i="4"/>
  <c r="AH8" i="4"/>
  <c r="AG8" i="4"/>
  <c r="AF8" i="4"/>
  <c r="AE8" i="4"/>
  <c r="J4" i="4"/>
  <c r="U17" i="3"/>
  <c r="T17" i="3"/>
  <c r="S17" i="3"/>
  <c r="R17" i="3"/>
  <c r="Q17" i="3"/>
  <c r="P17" i="3"/>
  <c r="U16" i="3"/>
  <c r="T16" i="3"/>
  <c r="S16" i="3"/>
  <c r="R16" i="3"/>
  <c r="Q16" i="3"/>
  <c r="P16" i="3"/>
  <c r="U15" i="3"/>
  <c r="T15" i="3"/>
  <c r="S15" i="3"/>
  <c r="R15" i="3"/>
  <c r="Q15" i="3"/>
  <c r="P15" i="3"/>
  <c r="U14" i="3"/>
  <c r="T14" i="3"/>
  <c r="S14" i="3"/>
  <c r="R14" i="3"/>
  <c r="Q14" i="3"/>
  <c r="P14" i="3"/>
  <c r="M14" i="3"/>
  <c r="L14" i="3"/>
  <c r="K14" i="3"/>
  <c r="U13" i="3"/>
  <c r="T13" i="3"/>
  <c r="S13" i="3"/>
  <c r="R13" i="3"/>
  <c r="Q13" i="3"/>
  <c r="P13" i="3"/>
  <c r="M13" i="3"/>
  <c r="L13" i="3"/>
  <c r="K13" i="3"/>
  <c r="Y11" i="3" s="1"/>
  <c r="U12" i="3"/>
  <c r="T12" i="3"/>
  <c r="S12" i="3"/>
  <c r="R12" i="3"/>
  <c r="Q12" i="3"/>
  <c r="P12" i="3"/>
  <c r="M12" i="3"/>
  <c r="L12" i="3"/>
  <c r="K12" i="3"/>
  <c r="U11" i="3"/>
  <c r="T11" i="3"/>
  <c r="S11" i="3"/>
  <c r="R11" i="3"/>
  <c r="Q11" i="3"/>
  <c r="P11" i="3"/>
  <c r="M11" i="3"/>
  <c r="L11" i="3"/>
  <c r="K11" i="3"/>
  <c r="U10" i="3"/>
  <c r="T10" i="3"/>
  <c r="S10" i="3"/>
  <c r="R10" i="3"/>
  <c r="Q10" i="3"/>
  <c r="P10" i="3"/>
  <c r="M10" i="3"/>
  <c r="L10" i="3"/>
  <c r="K10" i="3"/>
  <c r="U9" i="3"/>
  <c r="T9" i="3"/>
  <c r="S9" i="3"/>
  <c r="R9" i="3"/>
  <c r="Q9" i="3"/>
  <c r="P9" i="3"/>
  <c r="M9" i="3"/>
  <c r="L9" i="3"/>
  <c r="K9" i="3"/>
  <c r="X8" i="3"/>
  <c r="U8" i="3"/>
  <c r="T8" i="3"/>
  <c r="S8" i="3"/>
  <c r="R8" i="3"/>
  <c r="Q8" i="3"/>
  <c r="P8" i="3"/>
  <c r="M8" i="3"/>
  <c r="L8" i="3"/>
  <c r="AC17" i="3" s="1"/>
  <c r="K8" i="3"/>
  <c r="Y14" i="3" s="1"/>
  <c r="J4" i="3"/>
  <c r="G4" i="3"/>
  <c r="D4" i="3"/>
  <c r="A4" i="3"/>
  <c r="V20" i="2"/>
  <c r="U20" i="2"/>
  <c r="T20" i="2"/>
  <c r="AD19" i="2"/>
  <c r="AC19" i="2"/>
  <c r="V19" i="2"/>
  <c r="U19" i="2"/>
  <c r="T19" i="2"/>
  <c r="AD18" i="2"/>
  <c r="AC18" i="2"/>
  <c r="V18" i="2"/>
  <c r="U18" i="2"/>
  <c r="T18" i="2"/>
  <c r="AD17" i="2"/>
  <c r="AC17" i="2"/>
  <c r="V17" i="2"/>
  <c r="U17" i="2"/>
  <c r="T17" i="2"/>
  <c r="AD16" i="2"/>
  <c r="AC16" i="2"/>
  <c r="V16" i="2"/>
  <c r="U16" i="2"/>
  <c r="T16" i="2"/>
  <c r="AD15" i="2"/>
  <c r="AC15" i="2"/>
  <c r="V15" i="2"/>
  <c r="U15" i="2"/>
  <c r="T15" i="2"/>
  <c r="AD14" i="2"/>
  <c r="AC14" i="2"/>
  <c r="Z14" i="2"/>
  <c r="Y14" i="2"/>
  <c r="V14" i="2"/>
  <c r="U14" i="2"/>
  <c r="T14" i="2"/>
  <c r="AD13" i="2"/>
  <c r="AC13" i="2"/>
  <c r="Z13" i="2"/>
  <c r="Y13" i="2"/>
  <c r="V13" i="2"/>
  <c r="U13" i="2"/>
  <c r="T13" i="2"/>
  <c r="AD12" i="2"/>
  <c r="AC12" i="2"/>
  <c r="Z12" i="2"/>
  <c r="Y12" i="2"/>
  <c r="V12" i="2"/>
  <c r="U12" i="2"/>
  <c r="T12" i="2"/>
  <c r="AD11" i="2"/>
  <c r="AC11" i="2"/>
  <c r="Z11" i="2"/>
  <c r="Y11" i="2"/>
  <c r="V11" i="2"/>
  <c r="U11" i="2"/>
  <c r="T11" i="2"/>
  <c r="Y4" i="2"/>
  <c r="V4" i="2"/>
  <c r="S4" i="2"/>
  <c r="P4" i="2"/>
  <c r="M4" i="2"/>
  <c r="J4" i="2"/>
  <c r="G4" i="2"/>
  <c r="D4" i="2"/>
  <c r="A4" i="2"/>
  <c r="Y8" i="3" l="1"/>
  <c r="AB11" i="3"/>
  <c r="X13" i="3"/>
  <c r="AC14" i="3"/>
  <c r="Y15" i="3"/>
  <c r="AB8" i="3"/>
  <c r="X10" i="3"/>
  <c r="AC11" i="3"/>
  <c r="Y13" i="3"/>
  <c r="AB15" i="3"/>
  <c r="X16" i="3"/>
  <c r="X15" i="3"/>
  <c r="AC8" i="3"/>
  <c r="Y10" i="3"/>
  <c r="AB13" i="3"/>
  <c r="AC15" i="3"/>
  <c r="Y16" i="3"/>
  <c r="AB10" i="3"/>
  <c r="X12" i="3"/>
  <c r="AC13" i="3"/>
  <c r="AB16" i="3"/>
  <c r="X17" i="3"/>
  <c r="AC9" i="3"/>
  <c r="X9" i="3"/>
  <c r="AC10" i="3"/>
  <c r="Y12" i="3"/>
  <c r="AC16" i="3"/>
  <c r="Y17" i="3"/>
  <c r="AB14" i="3"/>
  <c r="Y9" i="3"/>
  <c r="AB12" i="3"/>
  <c r="X14" i="3"/>
  <c r="AB17" i="3"/>
  <c r="AB9" i="3"/>
  <c r="X11" i="3"/>
  <c r="AC12" i="3"/>
  <c r="G4" i="4"/>
  <c r="U68" i="4"/>
  <c r="D4" i="4"/>
  <c r="T68" i="4"/>
  <c r="J8" i="4"/>
  <c r="K8" i="4"/>
  <c r="J16" i="4"/>
  <c r="W79" i="4"/>
  <c r="J42" i="4"/>
  <c r="W74" i="4"/>
  <c r="Q74" i="4"/>
  <c r="K26" i="4"/>
  <c r="T75" i="4"/>
  <c r="L21" i="4"/>
  <c r="J12" i="4"/>
  <c r="K35" i="4"/>
  <c r="R75" i="4"/>
  <c r="J36" i="4"/>
  <c r="Q69" i="4"/>
  <c r="K36" i="4"/>
  <c r="L31" i="4"/>
  <c r="S71" i="4"/>
  <c r="K33" i="4"/>
  <c r="P71" i="4"/>
  <c r="L23" i="4"/>
  <c r="R69" i="4"/>
  <c r="K40" i="4"/>
  <c r="K17" i="4"/>
  <c r="L14" i="4"/>
  <c r="J41" i="4"/>
  <c r="P76" i="4"/>
  <c r="P75" i="4"/>
  <c r="S79" i="4"/>
  <c r="S70" i="4"/>
  <c r="X74" i="4"/>
  <c r="J34" i="4"/>
  <c r="U72" i="4"/>
  <c r="J37" i="4"/>
  <c r="V68" i="4"/>
  <c r="L11" i="4"/>
  <c r="J27" i="4"/>
  <c r="L9" i="4"/>
  <c r="K12" i="4"/>
  <c r="K16" i="4"/>
  <c r="R74" i="4"/>
  <c r="P73" i="4"/>
  <c r="Q71" i="4"/>
  <c r="K18" i="4"/>
  <c r="J40" i="4"/>
  <c r="L35" i="4"/>
  <c r="K20" i="4"/>
  <c r="P74" i="4"/>
  <c r="S77" i="4"/>
  <c r="J21" i="4"/>
  <c r="W76" i="4"/>
  <c r="S75" i="4"/>
  <c r="T77" i="4"/>
  <c r="K38" i="4"/>
  <c r="V77" i="4"/>
  <c r="X69" i="4"/>
  <c r="J18" i="4"/>
  <c r="T70" i="4"/>
  <c r="V79" i="4"/>
  <c r="W69" i="4"/>
  <c r="L28" i="4"/>
  <c r="T74" i="4"/>
  <c r="K25" i="4"/>
  <c r="R76" i="4"/>
  <c r="L10" i="4"/>
  <c r="K30" i="4"/>
  <c r="W75" i="4"/>
  <c r="J19" i="4"/>
  <c r="Q73" i="4"/>
  <c r="K41" i="4"/>
  <c r="L39" i="4"/>
  <c r="V76" i="4"/>
  <c r="P72" i="4"/>
  <c r="U79" i="4"/>
  <c r="P77" i="4"/>
  <c r="K24" i="4"/>
  <c r="U70" i="4"/>
  <c r="K9" i="4"/>
  <c r="J15" i="4"/>
  <c r="R79" i="4"/>
  <c r="W78" i="4"/>
  <c r="X68" i="4"/>
  <c r="J35" i="4"/>
  <c r="Q79" i="4"/>
  <c r="L26" i="4"/>
  <c r="U71" i="4"/>
  <c r="L41" i="4"/>
  <c r="S78" i="4"/>
  <c r="L33" i="4"/>
  <c r="L17" i="4"/>
  <c r="W68" i="4"/>
  <c r="U77" i="4"/>
  <c r="L40" i="4"/>
  <c r="K10" i="4"/>
  <c r="K42" i="4"/>
  <c r="Q70" i="4"/>
  <c r="V72" i="4"/>
  <c r="L37" i="4"/>
  <c r="S72" i="4"/>
  <c r="L32" i="4"/>
  <c r="T78" i="4"/>
  <c r="J14" i="4"/>
  <c r="T76" i="4"/>
  <c r="R73" i="4"/>
  <c r="R72" i="4"/>
  <c r="X77" i="4"/>
  <c r="L20" i="4"/>
  <c r="L19" i="4"/>
  <c r="K27" i="4"/>
  <c r="T79" i="4"/>
  <c r="S74" i="4"/>
  <c r="K21" i="4"/>
  <c r="J31" i="4"/>
  <c r="P78" i="4"/>
  <c r="P79" i="4"/>
  <c r="J32" i="4"/>
  <c r="V70" i="4"/>
  <c r="R70" i="4"/>
  <c r="S76" i="4"/>
  <c r="V74" i="4"/>
  <c r="J30" i="4"/>
  <c r="W77" i="4"/>
  <c r="X71" i="4"/>
  <c r="X70" i="4"/>
  <c r="J10" i="4"/>
  <c r="J33" i="4"/>
  <c r="J26" i="4"/>
  <c r="P69" i="4"/>
  <c r="J13" i="4"/>
  <c r="S69" i="4"/>
  <c r="L43" i="4"/>
  <c r="Q76" i="4"/>
  <c r="X72" i="4"/>
  <c r="J43" i="4"/>
  <c r="R77" i="4"/>
  <c r="Q77" i="4"/>
  <c r="W73" i="4"/>
  <c r="X76" i="4"/>
  <c r="Q78" i="4"/>
  <c r="K22" i="4"/>
  <c r="K39" i="4"/>
  <c r="T73" i="4"/>
  <c r="X75" i="4"/>
  <c r="L30" i="4"/>
  <c r="U69" i="4"/>
  <c r="U78" i="4"/>
  <c r="J24" i="4"/>
  <c r="K15" i="4"/>
  <c r="P70" i="4"/>
  <c r="K11" i="4"/>
  <c r="L34" i="4"/>
  <c r="K29" i="4"/>
  <c r="K19" i="4"/>
  <c r="X73" i="4"/>
  <c r="V71" i="4"/>
  <c r="J28" i="4"/>
  <c r="Q75" i="4"/>
  <c r="L25" i="4"/>
  <c r="T69" i="4"/>
  <c r="J9" i="4"/>
  <c r="L16" i="4"/>
  <c r="L15" i="4"/>
  <c r="U76" i="4"/>
  <c r="Q72" i="4"/>
  <c r="J23" i="4"/>
  <c r="J22" i="4"/>
  <c r="J20" i="4"/>
  <c r="K14" i="4"/>
  <c r="K34" i="4"/>
  <c r="L42" i="4"/>
  <c r="U74" i="4"/>
  <c r="K28" i="4"/>
  <c r="L22" i="4"/>
  <c r="W71" i="4"/>
  <c r="V69" i="4"/>
  <c r="J29" i="4"/>
  <c r="J38" i="4"/>
  <c r="T72" i="4"/>
  <c r="V78" i="4"/>
  <c r="V73" i="4"/>
  <c r="K37" i="4"/>
  <c r="J11" i="4"/>
  <c r="K13" i="4"/>
  <c r="L27" i="4"/>
  <c r="K23" i="4"/>
  <c r="R68" i="4"/>
  <c r="L29" i="4"/>
  <c r="X79" i="4"/>
  <c r="V75" i="4"/>
  <c r="L36" i="4"/>
  <c r="L12" i="4"/>
  <c r="X78" i="4"/>
  <c r="W70" i="4"/>
  <c r="R71" i="4"/>
  <c r="K32" i="4"/>
  <c r="L18" i="4"/>
  <c r="J39" i="4"/>
  <c r="S73" i="4"/>
  <c r="K43" i="4"/>
  <c r="L38" i="4"/>
  <c r="W72" i="4"/>
  <c r="J17" i="4"/>
  <c r="L24" i="4"/>
  <c r="J25" i="4"/>
  <c r="K31" i="4"/>
  <c r="U75" i="4"/>
  <c r="L13" i="4"/>
  <c r="T71" i="4"/>
  <c r="U73" i="4"/>
  <c r="L8" i="4"/>
  <c r="R78" i="4"/>
  <c r="Z10" i="4"/>
  <c r="X9" i="4"/>
  <c r="AA11" i="4"/>
  <c r="Z9" i="4"/>
  <c r="Y8" i="4"/>
  <c r="Y11" i="4"/>
  <c r="W8" i="4"/>
  <c r="AA9" i="4"/>
  <c r="W10" i="4"/>
  <c r="AB11" i="4"/>
  <c r="AB8" i="4"/>
  <c r="AB9" i="4"/>
  <c r="Y10" i="4"/>
  <c r="Z8" i="4"/>
  <c r="X10" i="4"/>
  <c r="AA8" i="4"/>
  <c r="Z11" i="4"/>
  <c r="X11" i="4"/>
  <c r="AB10" i="4"/>
  <c r="W11" i="4"/>
  <c r="AA10" i="4"/>
  <c r="X8" i="4"/>
  <c r="W9" i="4"/>
  <c r="P68" i="4"/>
  <c r="Y9" i="4"/>
  <c r="A4" i="4"/>
  <c r="Q83" i="8"/>
  <c r="Q68" i="4"/>
  <c r="S68" i="4"/>
  <c r="P6" i="8"/>
  <c r="S17" i="4" l="1"/>
  <c r="T10" i="4"/>
  <c r="O16" i="4"/>
  <c r="S9" i="4"/>
  <c r="O21" i="4"/>
  <c r="T19" i="4"/>
  <c r="S22" i="4"/>
  <c r="P9" i="4"/>
  <c r="O11" i="4"/>
  <c r="P13" i="4"/>
  <c r="S15" i="4"/>
  <c r="T9" i="4"/>
  <c r="T15" i="4"/>
  <c r="S13" i="4"/>
  <c r="O17" i="4"/>
  <c r="P20" i="4"/>
  <c r="P17" i="4"/>
  <c r="T11" i="4"/>
  <c r="T22" i="4"/>
  <c r="T21" i="4"/>
  <c r="P18" i="4"/>
  <c r="P22" i="4"/>
  <c r="P10" i="4"/>
  <c r="S21" i="4"/>
  <c r="S19" i="4"/>
  <c r="T16" i="4"/>
  <c r="O18" i="4"/>
  <c r="P11" i="4"/>
  <c r="O14" i="4"/>
  <c r="O13" i="4"/>
  <c r="T13" i="4"/>
  <c r="T20" i="4"/>
  <c r="S10" i="4"/>
  <c r="S16" i="4"/>
  <c r="O15" i="4"/>
  <c r="O8" i="4"/>
  <c r="O12" i="4"/>
  <c r="P21" i="4"/>
  <c r="T17" i="4"/>
  <c r="S20" i="4"/>
  <c r="S11" i="4"/>
  <c r="T12" i="4"/>
  <c r="O10" i="4"/>
  <c r="P16" i="4"/>
  <c r="P19" i="4"/>
  <c r="O22" i="4"/>
  <c r="T18" i="4"/>
  <c r="S18" i="4"/>
  <c r="S8" i="4"/>
  <c r="S14" i="4"/>
  <c r="P14" i="4"/>
  <c r="O19" i="4"/>
  <c r="P12" i="4"/>
  <c r="O9" i="4"/>
  <c r="T8" i="4"/>
  <c r="T14" i="4"/>
  <c r="S12" i="4"/>
  <c r="P15" i="4"/>
  <c r="P8" i="4"/>
  <c r="O20" i="4"/>
</calcChain>
</file>

<file path=xl/sharedStrings.xml><?xml version="1.0" encoding="utf-8"?>
<sst xmlns="http://schemas.openxmlformats.org/spreadsheetml/2006/main" count="11995" uniqueCount="3518">
  <si>
    <t>UPI Payments Ecosystem Analytics</t>
  </si>
  <si>
    <t>Executive Analytics Dashboard | National Payments Corporation of India (NPCI) UPI Data</t>
  </si>
  <si>
    <t>Project Objective</t>
  </si>
  <si>
    <t>Purpose</t>
  </si>
  <si>
    <t>A comprehensive, banking-grade analytics workbook tracking the growth, adoption, competitive landscape, and risk profile of India's Unified Payments Interface (UPI) ecosystem, benchmarked against other digital payment rails.</t>
  </si>
  <si>
    <t>Data Sources</t>
  </si>
  <si>
    <t>Source</t>
  </si>
  <si>
    <t>NPCI / RBI published UPI statistics (illustrative dataset compiled for analytics demonstration purposes).</t>
  </si>
  <si>
    <t>Files Used</t>
  </si>
  <si>
    <t>upi_monthly_statistics.csv, upi_bank_market_share.csv, upi_state_wise_adoption.csv, upi_daily_estimates.csv, upi_fraud_statistics.csv, india_digital_payments_comparison.csv</t>
  </si>
  <si>
    <t>Time Period</t>
  </si>
  <si>
    <t>Coverage</t>
  </si>
  <si>
    <t>August 2016 (UPI launch) through the latest available reporting month/fiscal year (FY2025-26), covering ~10 years of transaction history.</t>
  </si>
  <si>
    <t>Dataset Descriptions</t>
  </si>
  <si>
    <t>Monthly Statistics</t>
  </si>
  <si>
    <t>Month-on-month UPI transaction volume, value, banks live, average ticket size, and YoY/MoM growth rates.</t>
  </si>
  <si>
    <t>Bank Market Share</t>
  </si>
  <si>
    <t>App-wise (PhonePe, Google Pay, Paytm, etc.) monthly market share of UPI transaction volume and value.</t>
  </si>
  <si>
    <t>State-wise Adoption</t>
  </si>
  <si>
    <t>Quarterly state-level UPI transaction volume, value and average transaction size across Indian states.</t>
  </si>
  <si>
    <t>Daily Estimates</t>
  </si>
  <si>
    <t>Daily modeled UPI volume and value estimates including weekday/weekend transaction patterns.</t>
  </si>
  <si>
    <t>Fraud Statistics</t>
  </si>
  <si>
    <t>Annual fraud case counts, fraud value, and fraud rate per million transactions.</t>
  </si>
  <si>
    <t>Digital Payments Comparison</t>
  </si>
  <si>
    <t>UPI volumes benchmarked against IMPS, NEFT, RTGS, debit/credit cards and cheques.</t>
  </si>
  <si>
    <t>Metrics (KPIs) Calculated</t>
  </si>
  <si>
    <t>KPIs</t>
  </si>
  <si>
    <t>Total UPI Volume  •  Total Transaction Value  •  Average Transaction Value  •  CAGR  •  YoY Growth  •  MoM Growth  •  Banks Live  •  Fraud Rate per Million Transactions  •  UPI Share of Digital Payments</t>
  </si>
  <si>
    <t>Dashboard Features</t>
  </si>
  <si>
    <t>Features</t>
  </si>
  <si>
    <t>Excel Tables with structured references  •  Formula-driven summary (pivot-style) tables by Year / Quarter / Fiscal Year  •  Native Excel charts (line, bar, donut, stacked area)  •  Conditional formatting highlights (top performers, peak days, dominant methods)  •  Table AutoFilter dropdowns for interactive filtering  •  Consolidated Executive Dashboard with KPI cards and cross-sheet insights.</t>
  </si>
  <si>
    <t>Workbook Map</t>
  </si>
  <si>
    <t>README</t>
  </si>
  <si>
    <t>Project overview and documentation (this sheet)</t>
  </si>
  <si>
    <t>Monthly_Statistics</t>
  </si>
  <si>
    <t>Monthly UPI volume/value trends, KPIs, summary tables &amp; charts</t>
  </si>
  <si>
    <t>Bank_Market_Share</t>
  </si>
  <si>
    <t>App-wise competitive market share analysis</t>
  </si>
  <si>
    <t>State_Adoption</t>
  </si>
  <si>
    <t>State-level adoption analysis across India</t>
  </si>
  <si>
    <t>Daily_Analysis</t>
  </si>
  <si>
    <t>Daily transaction patterns, weekday vs weekend</t>
  </si>
  <si>
    <t>Fraud_Analytics</t>
  </si>
  <si>
    <t>Fraud case trends and risk metrics</t>
  </si>
  <si>
    <t>Digital_Payments_Comparison</t>
  </si>
  <si>
    <t>UPI vs IMPS/NEFT/RTGS/Cards benchmarking</t>
  </si>
  <si>
    <t>Executive_Dashboard</t>
  </si>
  <si>
    <t>Consolidated executive KPI dashboard</t>
  </si>
  <si>
    <t>Monthly UPI Transaction Statistics</t>
  </si>
  <si>
    <t>Latest Monthly Volume (Mn)</t>
  </si>
  <si>
    <t>Latest Monthly Value (₹ Cr)</t>
  </si>
  <si>
    <t>Latest Banks Live</t>
  </si>
  <si>
    <t>Avg Transaction Value (₹)</t>
  </si>
  <si>
    <t>Overall CAGR (Volume)</t>
  </si>
  <si>
    <t>Highest Monthly Volume (Mn)</t>
  </si>
  <si>
    <t>Highest Monthly Value (₹ Cr)</t>
  </si>
  <si>
    <t>Highest MoM Growth %</t>
  </si>
  <si>
    <t>Highest YoY Growth %</t>
  </si>
  <si>
    <t>Detailed Monthly Data</t>
  </si>
  <si>
    <t>Year-wise Summary</t>
  </si>
  <si>
    <t>Quarter Summary (All Years)</t>
  </si>
  <si>
    <t>Fiscal Year Summary</t>
  </si>
  <si>
    <t>year</t>
  </si>
  <si>
    <t>month</t>
  </si>
  <si>
    <t>date</t>
  </si>
  <si>
    <t>volume_millions</t>
  </si>
  <si>
    <t>volume_billions</t>
  </si>
  <si>
    <t>value_crores</t>
  </si>
  <si>
    <t>value_billion_inr</t>
  </si>
  <si>
    <t>value_billion_usd</t>
  </si>
  <si>
    <t>banks_live</t>
  </si>
  <si>
    <t>avg_transaction_value_inr</t>
  </si>
  <si>
    <t>fiscal_year</t>
  </si>
  <si>
    <t>quarter</t>
  </si>
  <si>
    <t>yoy_volume_growth_pct</t>
  </si>
  <si>
    <t>yoy_value_growth_pct</t>
  </si>
  <si>
    <t>mom_volume_growth_pct</t>
  </si>
  <si>
    <t>mom_value_growth_pct</t>
  </si>
  <si>
    <t>Year</t>
  </si>
  <si>
    <t>Volume (Mn)</t>
  </si>
  <si>
    <t>Value (₹ Cr)</t>
  </si>
  <si>
    <t>Avg Banks Live</t>
  </si>
  <si>
    <t>Quarter</t>
  </si>
  <si>
    <t>Fiscal Year</t>
  </si>
  <si>
    <t>2016-08-01</t>
  </si>
  <si>
    <t>FY2016-17</t>
  </si>
  <si>
    <t>Q2</t>
  </si>
  <si>
    <t>Q1</t>
  </si>
  <si>
    <t>2016-09-01</t>
  </si>
  <si>
    <t>FY2017-18</t>
  </si>
  <si>
    <t>2016-10-01</t>
  </si>
  <si>
    <t>Q3</t>
  </si>
  <si>
    <t>FY2018-19</t>
  </si>
  <si>
    <t>2016-11-01</t>
  </si>
  <si>
    <t>Q4</t>
  </si>
  <si>
    <t>FY2019-20</t>
  </si>
  <si>
    <t>2016-12-01</t>
  </si>
  <si>
    <t>FY2020-21</t>
  </si>
  <si>
    <t>2017-01-01</t>
  </si>
  <si>
    <t>FY2021-22</t>
  </si>
  <si>
    <t>2017-02-01</t>
  </si>
  <si>
    <t>FY2022-23</t>
  </si>
  <si>
    <t>2017-03-01</t>
  </si>
  <si>
    <t>FY2023-24</t>
  </si>
  <si>
    <t>2017-04-01</t>
  </si>
  <si>
    <t>FY2024-25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</si>
  <si>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</si>
  <si>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</si>
  <si>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</si>
  <si>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</si>
  <si>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</si>
  <si>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</si>
  <si>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</si>
  <si>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</si>
  <si>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</si>
  <si>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</si>
  <si>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</si>
  <si>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</si>
  <si>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</si>
  <si>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</si>
  <si>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</si>
  <si>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</si>
  <si>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</si>
  <si>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</si>
  <si>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</si>
  <si>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</si>
  <si>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</si>
  <si>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</si>
  <si>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</si>
  <si>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</si>
  <si>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</si>
  <si>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</si>
  <si>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</si>
  <si>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</si>
  <si>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</si>
  <si>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</si>
  <si>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</si>
  <si>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</si>
  <si>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</si>
  <si>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</si>
  <si>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</si>
  <si>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</si>
  <si>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</si>
  <si>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</si>
  <si>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</si>
  <si>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</si>
  <si>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</si>
  <si>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</si>
  <si>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</si>
  <si>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</si>
  <si>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</si>
  <si>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</si>
  <si>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</si>
  <si>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</si>
  <si>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</si>
  <si>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</si>
  <si>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</si>
  <si>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</si>
  <si>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</si>
  <si>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</si>
  <si>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</si>
  <si>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</si>
  <si>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</si>
  <si>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</si>
  <si>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</si>
  <si>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</si>
  <si>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</si>
  <si>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</si>
  <si>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</si>
  <si>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</si>
  <si>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</si>
  <si>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</si>
  <si>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</si>
  <si>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</si>
  <si>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</si>
  <si>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</si>
  <si>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</si>
  <si>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</si>
  <si>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</si>
  <si>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</si>
  <si>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</si>
  <si>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</si>
  <si>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</si>
  <si>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</si>
  <si>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</si>
  <si>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</si>
  <si>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</si>
  <si>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</si>
  <si>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</si>
  <si>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</si>
  <si>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</si>
  <si>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</si>
  <si>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</si>
  <si>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</si>
  <si>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</si>
  <si>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</si>
  <si>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</si>
  <si>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</si>
  <si>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</si>
  <si>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</si>
  <si>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UPI Bank / App Market Share Analysis</t>
  </si>
  <si>
    <t>Largest Bank (by Latest Share)</t>
  </si>
  <si>
    <t>Largest Market Share %</t>
  </si>
  <si>
    <t>Total Banks/Apps Tracked</t>
  </si>
  <si>
    <t>Average Market Share %</t>
  </si>
  <si>
    <t>Detailed Bank Market Share Data</t>
  </si>
  <si>
    <t>Bank Summary (Volume / Value / Avg Share)</t>
  </si>
  <si>
    <t>Year-wise Avg Market Share % (Top 6 Banks)</t>
  </si>
  <si>
    <t>Top 10 Banks by Volume</t>
  </si>
  <si>
    <t>Top 10 Banks by Value</t>
  </si>
  <si>
    <t>bank_app</t>
  </si>
  <si>
    <t>volume_share_pct</t>
  </si>
  <si>
    <t>estimated_volume_millions</t>
  </si>
  <si>
    <t>estimated_value_crores</t>
  </si>
  <si>
    <t>Bank/App</t>
  </si>
  <si>
    <t>Total Vol (Mn)</t>
  </si>
  <si>
    <t>Total Value (₹Cr)</t>
  </si>
  <si>
    <t>Avg Share %</t>
  </si>
  <si>
    <t>PhonePe</t>
  </si>
  <si>
    <t>Google Pay</t>
  </si>
  <si>
    <t>Paytm</t>
  </si>
  <si>
    <t>BHIM</t>
  </si>
  <si>
    <t>CRED</t>
  </si>
  <si>
    <t>Amazon Pay</t>
  </si>
  <si>
    <t>Rank</t>
  </si>
  <si>
    <t>Total Volume (Mn)</t>
  </si>
  <si>
    <t>WhatsApp Pay</t>
  </si>
  <si>
    <t>UPI State-wise Adoption Analysis</t>
  </si>
  <si>
    <t>Highest Volume State</t>
  </si>
  <si>
    <t>Highest Value State</t>
  </si>
  <si>
    <t>Highest Avg Txn Value State</t>
  </si>
  <si>
    <t>Total States Tracked</t>
  </si>
  <si>
    <t>Detailed State-wise Adoption Data</t>
  </si>
  <si>
    <t>State Summary (Volume / Value / Avg Txn Value)</t>
  </si>
  <si>
    <t>Top 15 States by Volume</t>
  </si>
  <si>
    <t>Top 15 States by Value</t>
  </si>
  <si>
    <t>Quarter-wise Volume (Top 6 States)</t>
  </si>
  <si>
    <t>Fiscal Year Summary (Top 6 States, Volume)</t>
  </si>
  <si>
    <t>state</t>
  </si>
  <si>
    <t>avg_txn_value_inr</t>
  </si>
  <si>
    <t>State</t>
  </si>
  <si>
    <t>Avg Txn Value (₹)</t>
  </si>
  <si>
    <t>Maharashtra</t>
  </si>
  <si>
    <t>Karnataka</t>
  </si>
  <si>
    <t>Delhi</t>
  </si>
  <si>
    <t>Tamil Nadu</t>
  </si>
  <si>
    <t>Telangana</t>
  </si>
  <si>
    <t>Gujarat</t>
  </si>
  <si>
    <t>A&amp;N Islands</t>
  </si>
  <si>
    <t>Andhra Pradesh</t>
  </si>
  <si>
    <t>Arunachal Pradesh</t>
  </si>
  <si>
    <t>Assam</t>
  </si>
  <si>
    <t>Bihar</t>
  </si>
  <si>
    <t>Chandigarh</t>
  </si>
  <si>
    <t>Uttar Pradesh</t>
  </si>
  <si>
    <t>Chhattisgarh</t>
  </si>
  <si>
    <t>Rajasthan</t>
  </si>
  <si>
    <t>D&amp;N Haveli</t>
  </si>
  <si>
    <t>West Bengal</t>
  </si>
  <si>
    <t>Kerala</t>
  </si>
  <si>
    <t>Goa</t>
  </si>
  <si>
    <t>Madhya Pradesh</t>
  </si>
  <si>
    <t>Haryana</t>
  </si>
  <si>
    <t>Himachal Pradesh</t>
  </si>
  <si>
    <t>Punjab</t>
  </si>
  <si>
    <t>J&amp;K</t>
  </si>
  <si>
    <t>Jharkhand</t>
  </si>
  <si>
    <t>Odisha</t>
  </si>
  <si>
    <t>Ladakh</t>
  </si>
  <si>
    <t>Lakshadweep</t>
  </si>
  <si>
    <t>Uttarakhand</t>
  </si>
  <si>
    <t>Manipur</t>
  </si>
  <si>
    <t>Tripura</t>
  </si>
  <si>
    <t>Meghalaya</t>
  </si>
  <si>
    <t>Mizoram</t>
  </si>
  <si>
    <t>Nagaland</t>
  </si>
  <si>
    <t>Puducherry</t>
  </si>
  <si>
    <t>Sikkim</t>
  </si>
  <si>
    <t>Daily UPI Transaction Analysis</t>
  </si>
  <si>
    <t>Average Daily Volume (Mn)</t>
  </si>
  <si>
    <t>Average Daily Value (₹Cr)</t>
  </si>
  <si>
    <t>Highest Daily Volume (Mn)</t>
  </si>
  <si>
    <t>Highest Daily Value (₹Cr)</t>
  </si>
  <si>
    <t>Weekend Avg Volume (Mn)</t>
  </si>
  <si>
    <t>Weekday Avg Volume (Mn)</t>
  </si>
  <si>
    <t>Detailed Daily Estimates Data</t>
  </si>
  <si>
    <t>Day of Week Summary</t>
  </si>
  <si>
    <t>Weekend vs Weekday</t>
  </si>
  <si>
    <t>Monthly Daily Average</t>
  </si>
  <si>
    <t>day</t>
  </si>
  <si>
    <t>day_of_week</t>
  </si>
  <si>
    <t>is_weekend</t>
  </si>
  <si>
    <t>Day</t>
  </si>
  <si>
    <t>Avg Volume (Mn)</t>
  </si>
  <si>
    <t>Avg Value (₹Cr)</t>
  </si>
  <si>
    <t>Type</t>
  </si>
  <si>
    <t>Year-Month</t>
  </si>
  <si>
    <t>Avg Daily Volume (Mn)</t>
  </si>
  <si>
    <t>Monday</t>
  </si>
  <si>
    <t>Weekday</t>
  </si>
  <si>
    <t>2016-08</t>
  </si>
  <si>
    <t>2016-08-02</t>
  </si>
  <si>
    <t>Tuesday</t>
  </si>
  <si>
    <t>Weekend</t>
  </si>
  <si>
    <t>2016-09</t>
  </si>
  <si>
    <t>2016-08-03</t>
  </si>
  <si>
    <t>Wednesday</t>
  </si>
  <si>
    <t>2016-10</t>
  </si>
  <si>
    <t>2016-08-04</t>
  </si>
  <si>
    <t>Thursday</t>
  </si>
  <si>
    <t>2016-11</t>
  </si>
  <si>
    <t>2016-08-05</t>
  </si>
  <si>
    <t>Friday</t>
  </si>
  <si>
    <t>2016-12</t>
  </si>
  <si>
    <t>2016-08-06</t>
  </si>
  <si>
    <t>Saturday</t>
  </si>
  <si>
    <t>2017-01</t>
  </si>
  <si>
    <t>2016-08-07</t>
  </si>
  <si>
    <t>Sunday</t>
  </si>
  <si>
    <t>2017-02</t>
  </si>
  <si>
    <t>2016-08-08</t>
  </si>
  <si>
    <t>2017-03</t>
  </si>
  <si>
    <t>2016-08-09</t>
  </si>
  <si>
    <t>2017-04</t>
  </si>
  <si>
    <t>2016-08-10</t>
  </si>
  <si>
    <t>2017-05</t>
  </si>
  <si>
    <t>2016-08-11</t>
  </si>
  <si>
    <t>2017-06</t>
  </si>
  <si>
    <t>2016-08-12</t>
  </si>
  <si>
    <t>2017-07</t>
  </si>
  <si>
    <t>2016-08-13</t>
  </si>
  <si>
    <t>2017-08</t>
  </si>
  <si>
    <t>2016-08-14</t>
  </si>
  <si>
    <t>2017-09</t>
  </si>
  <si>
    <t>2016-08-15</t>
  </si>
  <si>
    <t>2017-10</t>
  </si>
  <si>
    <t>2016-08-16</t>
  </si>
  <si>
    <t>2017-11</t>
  </si>
  <si>
    <t>2016-08-17</t>
  </si>
  <si>
    <t>2017-12</t>
  </si>
  <si>
    <t>2016-08-18</t>
  </si>
  <si>
    <t>2018-01</t>
  </si>
  <si>
    <t>2016-08-19</t>
  </si>
  <si>
    <t>2018-02</t>
  </si>
  <si>
    <t>2016-08-20</t>
  </si>
  <si>
    <t>2018-03</t>
  </si>
  <si>
    <t>2016-08-21</t>
  </si>
  <si>
    <t>2018-04</t>
  </si>
  <si>
    <t>2016-08-22</t>
  </si>
  <si>
    <t>2018-05</t>
  </si>
  <si>
    <t>2016-08-23</t>
  </si>
  <si>
    <t>2018-06</t>
  </si>
  <si>
    <t>2016-08-24</t>
  </si>
  <si>
    <t>2018-07</t>
  </si>
  <si>
    <t>2016-08-25</t>
  </si>
  <si>
    <t>2018-08</t>
  </si>
  <si>
    <t>2016-08-26</t>
  </si>
  <si>
    <t>2018-09</t>
  </si>
  <si>
    <t>2016-08-27</t>
  </si>
  <si>
    <t>2018-10</t>
  </si>
  <si>
    <t>2016-08-28</t>
  </si>
  <si>
    <t>2018-11</t>
  </si>
  <si>
    <t>2016-08-29</t>
  </si>
  <si>
    <t>2018-12</t>
  </si>
  <si>
    <t>2016-08-30</t>
  </si>
  <si>
    <t>2019-01</t>
  </si>
  <si>
    <t>2016-08-31</t>
  </si>
  <si>
    <t>2019-02</t>
  </si>
  <si>
    <t>2019-03</t>
  </si>
  <si>
    <t>2016-09-02</t>
  </si>
  <si>
    <t>2019-04</t>
  </si>
  <si>
    <t>2016-09-03</t>
  </si>
  <si>
    <t>2019-05</t>
  </si>
  <si>
    <t>2016-09-04</t>
  </si>
  <si>
    <t>2019-06</t>
  </si>
  <si>
    <t>2016-09-05</t>
  </si>
  <si>
    <t>2019-07</t>
  </si>
  <si>
    <t>2016-09-06</t>
  </si>
  <si>
    <t>2019-08</t>
  </si>
  <si>
    <t>2016-09-07</t>
  </si>
  <si>
    <t>2019-09</t>
  </si>
  <si>
    <t>2016-09-08</t>
  </si>
  <si>
    <t>2019-10</t>
  </si>
  <si>
    <t>2016-09-09</t>
  </si>
  <si>
    <t>2019-11</t>
  </si>
  <si>
    <t>2016-09-10</t>
  </si>
  <si>
    <t>2019-12</t>
  </si>
  <si>
    <t>2016-09-11</t>
  </si>
  <si>
    <t>2020-01</t>
  </si>
  <si>
    <t>2016-09-12</t>
  </si>
  <si>
    <t>2020-02</t>
  </si>
  <si>
    <t>2016-09-13</t>
  </si>
  <si>
    <t>2020-03</t>
  </si>
  <si>
    <t>2016-09-14</t>
  </si>
  <si>
    <t>2020-04</t>
  </si>
  <si>
    <t>2016-09-15</t>
  </si>
  <si>
    <t>2020-05</t>
  </si>
  <si>
    <t>2016-09-16</t>
  </si>
  <si>
    <t>2020-06</t>
  </si>
  <si>
    <t>2016-09-17</t>
  </si>
  <si>
    <t>2020-07</t>
  </si>
  <si>
    <t>2016-09-18</t>
  </si>
  <si>
    <t>2020-08</t>
  </si>
  <si>
    <t>2016-09-19</t>
  </si>
  <si>
    <t>2020-09</t>
  </si>
  <si>
    <t>2016-09-20</t>
  </si>
  <si>
    <t>2020-10</t>
  </si>
  <si>
    <t>2016-09-21</t>
  </si>
  <si>
    <t>2020-11</t>
  </si>
  <si>
    <t>2016-09-22</t>
  </si>
  <si>
    <t>2020-12</t>
  </si>
  <si>
    <t>2016-09-23</t>
  </si>
  <si>
    <t>2021-01</t>
  </si>
  <si>
    <t>2016-09-24</t>
  </si>
  <si>
    <t>2021-02</t>
  </si>
  <si>
    <t>2016-09-25</t>
  </si>
  <si>
    <t>2021-03</t>
  </si>
  <si>
    <t>2016-09-26</t>
  </si>
  <si>
    <t>2021-04</t>
  </si>
  <si>
    <t>2016-09-27</t>
  </si>
  <si>
    <t>2021-05</t>
  </si>
  <si>
    <t>2016-09-28</t>
  </si>
  <si>
    <t>2021-06</t>
  </si>
  <si>
    <t>2016-09-29</t>
  </si>
  <si>
    <t>2021-07</t>
  </si>
  <si>
    <t>2016-09-30</t>
  </si>
  <si>
    <t>2021-08</t>
  </si>
  <si>
    <t>2021-09</t>
  </si>
  <si>
    <t>2016-10-02</t>
  </si>
  <si>
    <t>2021-10</t>
  </si>
  <si>
    <t>2016-10-03</t>
  </si>
  <si>
    <t>2021-11</t>
  </si>
  <si>
    <t>2016-10-04</t>
  </si>
  <si>
    <t>2021-12</t>
  </si>
  <si>
    <t>2016-10-05</t>
  </si>
  <si>
    <t>2022-01</t>
  </si>
  <si>
    <t>2016-10-06</t>
  </si>
  <si>
    <t>2022-02</t>
  </si>
  <si>
    <t>2016-10-07</t>
  </si>
  <si>
    <t>2022-03</t>
  </si>
  <si>
    <t>2016-10-08</t>
  </si>
  <si>
    <t>2022-04</t>
  </si>
  <si>
    <t>2016-10-09</t>
  </si>
  <si>
    <t>2022-05</t>
  </si>
  <si>
    <t>2016-10-10</t>
  </si>
  <si>
    <t>2022-06</t>
  </si>
  <si>
    <t>2016-10-11</t>
  </si>
  <si>
    <t>2022-07</t>
  </si>
  <si>
    <t>2016-10-12</t>
  </si>
  <si>
    <t>2022-08</t>
  </si>
  <si>
    <t>2016-10-13</t>
  </si>
  <si>
    <t>2022-09</t>
  </si>
  <si>
    <t>2016-10-14</t>
  </si>
  <si>
    <t>2022-10</t>
  </si>
  <si>
    <t>2016-10-15</t>
  </si>
  <si>
    <t>2022-11</t>
  </si>
  <si>
    <t>2016-10-16</t>
  </si>
  <si>
    <t>2022-12</t>
  </si>
  <si>
    <t>2016-10-17</t>
  </si>
  <si>
    <t>2023-01</t>
  </si>
  <si>
    <t>2016-10-18</t>
  </si>
  <si>
    <t>2023-02</t>
  </si>
  <si>
    <t>2016-10-19</t>
  </si>
  <si>
    <t>2023-03</t>
  </si>
  <si>
    <t>2016-10-20</t>
  </si>
  <si>
    <t>2023-04</t>
  </si>
  <si>
    <t>2016-10-21</t>
  </si>
  <si>
    <t>2023-05</t>
  </si>
  <si>
    <t>2016-10-22</t>
  </si>
  <si>
    <t>2023-06</t>
  </si>
  <si>
    <t>2016-10-23</t>
  </si>
  <si>
    <t>2023-07</t>
  </si>
  <si>
    <t>2016-10-24</t>
  </si>
  <si>
    <t>2023-08</t>
  </si>
  <si>
    <t>2016-10-25</t>
  </si>
  <si>
    <t>2023-09</t>
  </si>
  <si>
    <t>2016-10-26</t>
  </si>
  <si>
    <t>2023-10</t>
  </si>
  <si>
    <t>2016-10-27</t>
  </si>
  <si>
    <t>2023-11</t>
  </si>
  <si>
    <t>2016-10-28</t>
  </si>
  <si>
    <t>2023-12</t>
  </si>
  <si>
    <t>2016-10-29</t>
  </si>
  <si>
    <t>2024-01</t>
  </si>
  <si>
    <t>2016-10-30</t>
  </si>
  <si>
    <t>2024-02</t>
  </si>
  <si>
    <t>2016-10-31</t>
  </si>
  <si>
    <t>2024-03</t>
  </si>
  <si>
    <t>2024-04</t>
  </si>
  <si>
    <t>2016-11-02</t>
  </si>
  <si>
    <t>2024-05</t>
  </si>
  <si>
    <t>2016-11-03</t>
  </si>
  <si>
    <t>2024-06</t>
  </si>
  <si>
    <t>2016-11-04</t>
  </si>
  <si>
    <t>2024-07</t>
  </si>
  <si>
    <t>2016-11-05</t>
  </si>
  <si>
    <t>2024-08</t>
  </si>
  <si>
    <t>2016-11-06</t>
  </si>
  <si>
    <t>2024-09</t>
  </si>
  <si>
    <t>2016-11-07</t>
  </si>
  <si>
    <t>2024-10</t>
  </si>
  <si>
    <t>2016-11-08</t>
  </si>
  <si>
    <t>2024-11</t>
  </si>
  <si>
    <t>2016-11-09</t>
  </si>
  <si>
    <t>2024-12</t>
  </si>
  <si>
    <t>2016-11-10</t>
  </si>
  <si>
    <t>2025-01</t>
  </si>
  <si>
    <t>2016-11-11</t>
  </si>
  <si>
    <t>2025-02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</si>
  <si>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</si>
  <si>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</si>
  <si>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</si>
  <si>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</si>
  <si>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</si>
  <si>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</si>
  <si>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</si>
  <si>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</si>
  <si>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</si>
  <si>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</si>
  <si>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</si>
  <si>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</si>
  <si>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</si>
  <si>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</si>
  <si>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</si>
  <si>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</si>
  <si>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</si>
  <si>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</si>
  <si>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</si>
  <si>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</si>
  <si>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</si>
  <si>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</si>
  <si>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</si>
  <si>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</si>
  <si>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</si>
  <si>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</si>
  <si>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</si>
  <si>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</si>
  <si>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</si>
  <si>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</si>
  <si>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</si>
  <si>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</si>
  <si>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</si>
  <si>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</si>
  <si>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</si>
  <si>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</si>
  <si>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</si>
  <si>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</si>
  <si>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</si>
  <si>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</si>
  <si>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</si>
  <si>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</si>
  <si>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</si>
  <si>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</si>
  <si>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</si>
  <si>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</si>
  <si>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</si>
  <si>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</si>
  <si>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</si>
  <si>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</si>
  <si>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</si>
  <si>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</si>
  <si>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</si>
  <si>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</si>
  <si>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</si>
  <si>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</si>
  <si>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</si>
  <si>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</si>
  <si>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</si>
  <si>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</si>
  <si>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</si>
  <si>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</si>
  <si>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</si>
  <si>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</si>
  <si>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</si>
  <si>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</si>
  <si>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</si>
  <si>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</si>
  <si>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</si>
  <si>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</si>
  <si>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</si>
  <si>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</si>
  <si>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</si>
  <si>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</si>
  <si>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</si>
  <si>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</si>
  <si>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</si>
  <si>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</si>
  <si>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</si>
  <si>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</si>
  <si>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</si>
  <si>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</si>
  <si>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</si>
  <si>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</si>
  <si>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</si>
  <si>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</si>
  <si>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</si>
  <si>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</si>
  <si>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</si>
  <si>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</si>
  <si>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</si>
  <si>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</si>
  <si>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</si>
  <si>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</si>
  <si>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</si>
  <si>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</si>
  <si>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</si>
  <si>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</si>
  <si>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</si>
  <si>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</si>
  <si>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</si>
  <si>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</si>
  <si>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</si>
  <si>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</si>
  <si>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</si>
  <si>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</si>
  <si>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</si>
  <si>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</si>
  <si>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</si>
  <si>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</si>
  <si>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</si>
  <si>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</si>
  <si>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</si>
  <si>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</si>
  <si>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</si>
  <si>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</si>
  <si>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</si>
  <si>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</si>
  <si>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</si>
  <si>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</si>
  <si>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</si>
  <si>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</si>
  <si>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</si>
  <si>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</si>
  <si>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</si>
  <si>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</si>
  <si>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</si>
  <si>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</si>
  <si>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</si>
  <si>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</si>
  <si>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</si>
  <si>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</si>
  <si>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</si>
  <si>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</si>
  <si>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</si>
  <si>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</si>
  <si>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</si>
  <si>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</si>
  <si>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</si>
  <si>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</si>
  <si>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</si>
  <si>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</si>
  <si>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</si>
  <si>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</si>
  <si>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</si>
  <si>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</si>
  <si>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</si>
  <si>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</si>
  <si>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</si>
  <si>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</si>
  <si>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</si>
  <si>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</si>
  <si>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</si>
  <si>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</si>
  <si>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</si>
  <si>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</si>
  <si>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</si>
  <si>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</si>
  <si>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</si>
  <si>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</si>
  <si>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</si>
  <si>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</si>
  <si>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</si>
  <si>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</si>
  <si>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</si>
  <si>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</si>
  <si>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</si>
  <si>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</si>
  <si>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</si>
  <si>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</si>
  <si>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</si>
  <si>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</si>
  <si>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</si>
  <si>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</si>
  <si>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</si>
  <si>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</si>
  <si>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</si>
  <si>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</si>
  <si>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</si>
  <si>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</si>
  <si>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</si>
  <si>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</si>
  <si>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</si>
  <si>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</si>
  <si>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</si>
  <si>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</si>
  <si>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</si>
  <si>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</si>
  <si>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</si>
  <si>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</si>
  <si>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</si>
  <si>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</si>
  <si>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</si>
  <si>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</si>
  <si>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</si>
  <si>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</si>
  <si>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</si>
  <si>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</si>
  <si>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</si>
  <si>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</si>
  <si>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</si>
  <si>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</si>
  <si>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</si>
  <si>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</si>
  <si>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</si>
  <si>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</si>
  <si>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</si>
  <si>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</si>
  <si>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</si>
  <si>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</si>
  <si>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</si>
  <si>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</si>
  <si>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</si>
  <si>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</si>
  <si>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</si>
  <si>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</si>
  <si>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</si>
  <si>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</si>
  <si>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</si>
  <si>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</si>
  <si>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</si>
  <si>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</si>
  <si>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</si>
  <si>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</si>
  <si>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</si>
  <si>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</si>
  <si>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</si>
  <si>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</si>
  <si>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</si>
  <si>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</si>
  <si>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</si>
  <si>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</si>
  <si>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</si>
  <si>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</si>
  <si>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</si>
  <si>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</si>
  <si>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</si>
  <si>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</si>
  <si>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</si>
  <si>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</si>
  <si>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</si>
  <si>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</si>
  <si>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</si>
  <si>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</si>
  <si>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</si>
  <si>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</si>
  <si>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</si>
  <si>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</si>
  <si>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</si>
  <si>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</si>
  <si>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</si>
  <si>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</si>
  <si>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</si>
  <si>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</si>
  <si>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</si>
  <si>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</si>
  <si>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</si>
  <si>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</si>
  <si>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</si>
  <si>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</si>
  <si>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</si>
  <si>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</si>
  <si>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</si>
  <si>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</si>
  <si>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</si>
  <si>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</si>
  <si>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</si>
  <si>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</si>
  <si>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</si>
  <si>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</si>
  <si>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</si>
  <si>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</si>
  <si>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</si>
  <si>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</si>
  <si>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</si>
  <si>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</si>
  <si>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</si>
  <si>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</si>
  <si>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</si>
  <si>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</si>
  <si>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</si>
  <si>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</si>
  <si>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</si>
  <si>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</si>
  <si>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</si>
  <si>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</si>
  <si>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</si>
  <si>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</si>
  <si>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</si>
  <si>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</si>
  <si>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</si>
  <si>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</si>
  <si>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</si>
  <si>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</si>
  <si>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</si>
  <si>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</si>
  <si>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</si>
  <si>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</si>
  <si>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</si>
  <si>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</si>
  <si>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</si>
  <si>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</si>
  <si>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</si>
  <si>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</si>
  <si>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</si>
  <si>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</si>
  <si>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</si>
  <si>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</si>
  <si>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</si>
  <si>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</si>
  <si>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</si>
  <si>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</si>
  <si>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</si>
  <si>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</si>
  <si>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</si>
  <si>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</si>
  <si>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</si>
  <si>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</si>
  <si>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</si>
  <si>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</si>
  <si>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</si>
  <si>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</si>
  <si>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</si>
  <si>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</si>
  <si>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</si>
  <si>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</si>
  <si>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</si>
  <si>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</si>
  <si>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</si>
  <si>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</si>
  <si>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</si>
  <si>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</si>
  <si>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</si>
  <si>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</si>
  <si>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</si>
  <si>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</si>
  <si>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</si>
  <si>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</si>
  <si>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</si>
  <si>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</si>
  <si>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</si>
  <si>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</si>
  <si>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</si>
  <si>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</si>
  <si>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</si>
  <si>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</si>
  <si>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</si>
  <si>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</si>
  <si>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</si>
  <si>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</si>
  <si>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</si>
  <si>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</si>
  <si>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</si>
  <si>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</si>
  <si>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</si>
  <si>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</si>
  <si>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</si>
  <si>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</si>
  <si>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</si>
  <si>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</si>
  <si>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</si>
  <si>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</si>
  <si>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</si>
  <si>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</si>
  <si>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</si>
  <si>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</si>
  <si>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</si>
  <si>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</si>
  <si>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</si>
  <si>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</si>
  <si>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</si>
  <si>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</si>
  <si>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</si>
  <si>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</si>
  <si>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</si>
  <si>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</si>
  <si>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</si>
  <si>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</si>
  <si>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</si>
  <si>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</si>
  <si>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</si>
  <si>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</si>
  <si>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</si>
  <si>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</si>
  <si>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</si>
  <si>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</si>
  <si>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</si>
  <si>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</si>
  <si>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</si>
  <si>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</si>
  <si>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</si>
  <si>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</si>
  <si>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</si>
  <si>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</si>
  <si>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</si>
  <si>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</si>
  <si>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</si>
  <si>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</si>
  <si>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</si>
  <si>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</si>
  <si>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</si>
  <si>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</si>
  <si>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</si>
  <si>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</si>
  <si>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</si>
  <si>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</si>
  <si>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</si>
  <si>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</si>
  <si>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</si>
  <si>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</si>
  <si>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</si>
  <si>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</si>
  <si>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</si>
  <si>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</si>
  <si>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</si>
  <si>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</si>
  <si>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</si>
  <si>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</si>
  <si>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</si>
  <si>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</si>
  <si>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</si>
  <si>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</si>
  <si>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</si>
  <si>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</si>
  <si>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</si>
  <si>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</si>
  <si>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</si>
  <si>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</si>
  <si>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</si>
  <si>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</si>
  <si>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</si>
  <si>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</si>
  <si>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</si>
  <si>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</si>
  <si>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</si>
  <si>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</si>
  <si>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</si>
  <si>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</si>
  <si>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</si>
  <si>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</si>
  <si>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</si>
  <si>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</si>
  <si>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</si>
  <si>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</si>
  <si>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</si>
  <si>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</si>
  <si>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</si>
  <si>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</si>
  <si>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</si>
  <si>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</si>
  <si>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</si>
  <si>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</si>
  <si>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</si>
  <si>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</si>
  <si>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</si>
  <si>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</si>
  <si>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</si>
  <si>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</si>
  <si>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</si>
  <si>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</si>
  <si>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</si>
  <si>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</si>
  <si>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</si>
  <si>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</si>
  <si>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</si>
  <si>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</si>
  <si>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</si>
  <si>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</si>
  <si>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</si>
  <si>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</si>
  <si>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</si>
  <si>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</si>
  <si>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</si>
  <si>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</si>
  <si>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</si>
  <si>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</si>
  <si>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</si>
  <si>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</si>
  <si>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</si>
  <si>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</si>
  <si>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</si>
  <si>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</si>
  <si>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</si>
  <si>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</si>
  <si>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</si>
  <si>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</si>
  <si>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</si>
  <si>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</si>
  <si>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</si>
  <si>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</si>
  <si>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</si>
  <si>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</si>
  <si>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</si>
  <si>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</si>
  <si>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</si>
  <si>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</si>
  <si>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</si>
  <si>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</si>
  <si>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</si>
  <si>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</si>
  <si>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</si>
  <si>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</si>
  <si>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</si>
  <si>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</si>
  <si>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</si>
  <si>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</si>
  <si>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</si>
  <si>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</si>
  <si>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</si>
  <si>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</si>
  <si>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</si>
  <si>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</si>
  <si>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</si>
  <si>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</si>
  <si>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</si>
  <si>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</si>
  <si>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</si>
  <si>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</si>
  <si>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</si>
  <si>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</si>
  <si>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</si>
  <si>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</si>
  <si>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</si>
  <si>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</si>
  <si>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</si>
  <si>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</si>
  <si>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</si>
  <si>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</si>
  <si>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</si>
  <si>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</si>
  <si>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</si>
  <si>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</si>
  <si>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</si>
  <si>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</si>
  <si>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</si>
  <si>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</si>
  <si>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</si>
  <si>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</si>
  <si>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</si>
  <si>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</si>
  <si>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</si>
  <si>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</si>
  <si>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</si>
  <si>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</si>
  <si>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</si>
  <si>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</si>
  <si>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</si>
  <si>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</si>
  <si>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</si>
  <si>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</si>
  <si>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</si>
  <si>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</si>
  <si>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</si>
  <si>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</si>
  <si>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</si>
  <si>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</si>
  <si>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</si>
  <si>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</si>
  <si>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</si>
  <si>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</si>
  <si>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</si>
  <si>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</si>
  <si>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</si>
  <si>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</si>
  <si>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</si>
  <si>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</si>
  <si>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</si>
  <si>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</si>
  <si>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</si>
  <si>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</si>
  <si>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</si>
  <si>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</si>
  <si>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</si>
  <si>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</si>
  <si>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</si>
  <si>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</si>
  <si>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</si>
  <si>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</si>
  <si>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</si>
  <si>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</si>
  <si>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</si>
  <si>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</si>
  <si>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</si>
  <si>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</si>
  <si>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</si>
  <si>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</si>
  <si>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</si>
  <si>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</si>
  <si>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</si>
  <si>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</si>
  <si>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</si>
  <si>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</si>
  <si>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</si>
  <si>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</si>
  <si>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</si>
  <si>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</si>
  <si>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</si>
  <si>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</si>
  <si>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</si>
  <si>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</si>
  <si>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</si>
  <si>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</si>
  <si>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</si>
  <si>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</si>
  <si>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</si>
  <si>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</si>
  <si>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</si>
  <si>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</si>
  <si>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</si>
  <si>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</si>
  <si>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</si>
  <si>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</si>
  <si>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</si>
  <si>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</si>
  <si>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</si>
  <si>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</si>
  <si>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</si>
  <si>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</si>
  <si>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</si>
  <si>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</si>
  <si>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</si>
  <si>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</si>
  <si>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</si>
  <si>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</si>
  <si>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</si>
  <si>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</si>
  <si>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</si>
  <si>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</si>
  <si>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</si>
  <si>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</si>
  <si>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</si>
  <si>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</si>
  <si>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</si>
  <si>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</si>
  <si>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</si>
  <si>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</si>
  <si>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</si>
  <si>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</si>
  <si>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</si>
  <si>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</si>
  <si>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</si>
  <si>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</si>
  <si>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</si>
  <si>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</si>
  <si>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</si>
  <si>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</si>
  <si>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</si>
  <si>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</si>
  <si>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</si>
  <si>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</si>
  <si>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</si>
  <si>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</si>
  <si>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</si>
  <si>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</si>
  <si>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</si>
  <si>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</si>
  <si>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</si>
  <si>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</si>
  <si>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</si>
  <si>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</si>
  <si>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</si>
  <si>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</si>
  <si>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</si>
  <si>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</si>
  <si>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</si>
  <si>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</si>
  <si>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</si>
  <si>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</si>
  <si>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</si>
  <si>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</si>
  <si>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</si>
  <si>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</si>
  <si>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</si>
  <si>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</si>
  <si>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</si>
  <si>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</si>
  <si>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</si>
  <si>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</si>
  <si>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</si>
  <si>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</si>
  <si>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</si>
  <si>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</si>
  <si>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</si>
  <si>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</si>
  <si>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</si>
  <si>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</si>
  <si>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</si>
  <si>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</si>
  <si>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</si>
  <si>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</si>
  <si>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</si>
  <si>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</si>
  <si>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</si>
  <si>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</si>
  <si>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</si>
  <si>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</si>
  <si>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</si>
  <si>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</si>
  <si>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</si>
  <si>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</si>
  <si>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</si>
  <si>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</si>
  <si>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</si>
  <si>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</si>
  <si>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</si>
  <si>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</si>
  <si>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</si>
  <si>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</si>
  <si>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</si>
  <si>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</si>
  <si>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</si>
  <si>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</si>
  <si>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</si>
  <si>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</si>
  <si>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</si>
  <si>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</si>
  <si>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</si>
  <si>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</si>
  <si>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</si>
  <si>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</si>
  <si>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</si>
  <si>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</si>
  <si>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</si>
  <si>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</si>
  <si>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</si>
  <si>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</si>
  <si>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</si>
  <si>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</si>
  <si>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</si>
  <si>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</si>
  <si>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</si>
  <si>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</si>
  <si>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</si>
  <si>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</si>
  <si>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</si>
  <si>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</si>
  <si>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</si>
  <si>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</si>
  <si>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</si>
  <si>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</si>
  <si>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</si>
  <si>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</si>
  <si>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</si>
  <si>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</si>
  <si>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</si>
  <si>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</si>
  <si>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</si>
  <si>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</si>
  <si>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</si>
  <si>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</si>
  <si>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</si>
  <si>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</si>
  <si>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</si>
  <si>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</si>
  <si>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</si>
  <si>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</si>
  <si>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</si>
  <si>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</si>
  <si>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</si>
  <si>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</si>
  <si>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</si>
  <si>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</si>
  <si>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</si>
  <si>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</si>
  <si>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</si>
  <si>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</si>
  <si>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</si>
  <si>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</si>
  <si>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</si>
  <si>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</si>
  <si>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</si>
  <si>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</si>
  <si>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</si>
  <si>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</si>
  <si>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</si>
  <si>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</si>
  <si>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</si>
  <si>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</si>
  <si>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</si>
  <si>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</si>
  <si>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</si>
  <si>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</si>
  <si>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</si>
  <si>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</si>
  <si>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</si>
  <si>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</si>
  <si>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</si>
  <si>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</si>
  <si>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</si>
  <si>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</si>
  <si>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</si>
  <si>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</si>
  <si>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</si>
  <si>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</si>
  <si>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</si>
  <si>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</si>
  <si>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</si>
  <si>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</si>
  <si>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</si>
  <si>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</si>
  <si>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</si>
  <si>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</si>
  <si>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</si>
  <si>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</si>
  <si>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</si>
  <si>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</si>
  <si>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</si>
  <si>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</si>
  <si>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</si>
  <si>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</si>
  <si>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</si>
  <si>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</si>
  <si>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</si>
  <si>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</si>
  <si>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</si>
  <si>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</si>
  <si>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</si>
  <si>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</si>
  <si>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</si>
  <si>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</si>
  <si>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</si>
  <si>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</si>
  <si>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</si>
  <si>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</si>
  <si>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</si>
  <si>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</si>
  <si>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</si>
  <si>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</si>
  <si>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</si>
  <si>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</si>
  <si>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</si>
  <si>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</si>
  <si>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</si>
  <si>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</si>
  <si>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</si>
  <si>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</si>
  <si>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</si>
  <si>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</si>
  <si>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</si>
  <si>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</si>
  <si>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</si>
  <si>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</si>
  <si>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</si>
  <si>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</si>
  <si>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</si>
  <si>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</si>
  <si>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</si>
  <si>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</si>
  <si>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</si>
  <si>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</si>
  <si>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</si>
  <si>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</si>
  <si>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</si>
  <si>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</si>
  <si>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</si>
  <si>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</si>
  <si>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</si>
  <si>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</si>
  <si>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</si>
  <si>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</si>
  <si>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</si>
  <si>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</si>
  <si>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</si>
  <si>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</si>
  <si>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</si>
  <si>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</si>
  <si>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</si>
  <si>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</si>
  <si>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</si>
  <si>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</si>
  <si>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</si>
  <si>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</si>
  <si>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</si>
  <si>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</si>
  <si>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</si>
  <si>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</si>
  <si>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</si>
  <si>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</si>
  <si>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</si>
  <si>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</si>
  <si>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</si>
  <si>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</si>
  <si>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</si>
  <si>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</si>
  <si>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</si>
  <si>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</si>
  <si>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</si>
  <si>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</si>
  <si>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</si>
  <si>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</si>
  <si>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</si>
  <si>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</si>
  <si>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</si>
  <si>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</si>
  <si>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</si>
  <si>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</si>
  <si>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</si>
  <si>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</si>
  <si>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</si>
  <si>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</si>
  <si>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</si>
  <si>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</si>
  <si>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</si>
  <si>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</si>
  <si>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</si>
  <si>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</si>
  <si>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</si>
  <si>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</si>
  <si>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</si>
  <si>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</si>
  <si>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</si>
  <si>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</si>
  <si>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</si>
  <si>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</si>
  <si>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</si>
  <si>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</si>
  <si>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</si>
  <si>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</si>
  <si>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</si>
  <si>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</si>
  <si>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</si>
  <si>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</si>
  <si>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</si>
  <si>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</si>
  <si>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</si>
  <si>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</si>
  <si>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</si>
  <si>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</si>
  <si>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</si>
  <si>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</si>
  <si>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</si>
  <si>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</si>
  <si>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</si>
  <si>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</si>
  <si>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</si>
  <si>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</si>
  <si>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</si>
  <si>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</si>
  <si>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</si>
  <si>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</si>
  <si>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</si>
  <si>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</si>
  <si>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</si>
  <si>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</si>
  <si>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</si>
  <si>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</si>
  <si>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</si>
  <si>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</si>
  <si>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</si>
  <si>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</si>
  <si>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</si>
  <si>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</si>
  <si>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</si>
  <si>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</si>
  <si>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</si>
  <si>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</si>
  <si>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</si>
  <si>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</si>
  <si>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</si>
  <si>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</si>
  <si>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</si>
  <si>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</si>
  <si>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</si>
  <si>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</si>
  <si>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</si>
  <si>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</si>
  <si>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</si>
  <si>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</si>
  <si>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</si>
  <si>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</si>
  <si>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</si>
  <si>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</si>
  <si>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</si>
  <si>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</si>
  <si>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</si>
  <si>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</si>
  <si>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</si>
  <si>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</si>
  <si>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</si>
  <si>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</si>
  <si>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</si>
  <si>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</si>
  <si>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</si>
  <si>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</si>
  <si>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</si>
  <si>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</si>
  <si>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</si>
  <si>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</si>
  <si>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</si>
  <si>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</si>
  <si>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</si>
  <si>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</si>
  <si>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</si>
  <si>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</si>
  <si>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</si>
  <si>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</si>
  <si>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</si>
  <si>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</si>
  <si>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</si>
  <si>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</si>
  <si>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</si>
  <si>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</si>
  <si>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</si>
  <si>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</si>
  <si>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</si>
  <si>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</si>
  <si>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</si>
  <si>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</si>
  <si>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</si>
  <si>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</si>
  <si>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</si>
  <si>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</si>
  <si>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</si>
  <si>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</si>
  <si>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</si>
  <si>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</si>
  <si>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</si>
  <si>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</si>
  <si>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</si>
  <si>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</si>
  <si>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</si>
  <si>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</si>
  <si>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</si>
  <si>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</si>
  <si>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</si>
  <si>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</si>
  <si>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</si>
  <si>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</si>
  <si>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</si>
  <si>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</si>
  <si>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</si>
  <si>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</si>
  <si>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</si>
  <si>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</si>
  <si>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</si>
  <si>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</si>
  <si>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</si>
  <si>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</si>
  <si>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</si>
  <si>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</si>
  <si>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</si>
  <si>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</si>
  <si>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</si>
  <si>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</si>
  <si>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</si>
  <si>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</si>
  <si>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</si>
  <si>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</si>
  <si>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</si>
  <si>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</si>
  <si>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</si>
  <si>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</si>
  <si>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</si>
  <si>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</si>
  <si>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</si>
  <si>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</si>
  <si>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</si>
  <si>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</si>
  <si>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</si>
  <si>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</si>
  <si>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</si>
  <si>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</si>
  <si>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</si>
  <si>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</si>
  <si>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</si>
  <si>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</si>
  <si>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</si>
  <si>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</si>
  <si>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</si>
  <si>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</si>
  <si>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</si>
  <si>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</si>
  <si>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</si>
  <si>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</si>
  <si>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</si>
  <si>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</si>
  <si>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</si>
  <si>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</si>
  <si>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</si>
  <si>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</si>
  <si>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</si>
  <si>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</si>
  <si>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</si>
  <si>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</si>
  <si>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</si>
  <si>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</si>
  <si>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</si>
  <si>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</si>
  <si>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</si>
  <si>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</si>
  <si>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</si>
  <si>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</si>
  <si>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</si>
  <si>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</si>
  <si>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</si>
  <si>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</si>
  <si>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</si>
  <si>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</si>
  <si>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</si>
  <si>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</si>
  <si>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</si>
  <si>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</si>
  <si>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</si>
  <si>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</si>
  <si>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</si>
  <si>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</si>
  <si>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</si>
  <si>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</si>
  <si>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</si>
  <si>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</si>
  <si>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</si>
  <si>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</si>
  <si>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</si>
  <si>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</si>
  <si>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</si>
  <si>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</si>
  <si>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</si>
  <si>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</si>
  <si>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</si>
  <si>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</si>
  <si>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</si>
  <si>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</si>
  <si>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</si>
  <si>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</si>
  <si>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</si>
  <si>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</si>
  <si>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</si>
  <si>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</si>
  <si>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</si>
  <si>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</si>
  <si>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</si>
  <si>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</si>
  <si>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</si>
  <si>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</si>
  <si>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</si>
  <si>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</si>
  <si>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</si>
  <si>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</si>
  <si>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</si>
  <si>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</si>
  <si>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</si>
  <si>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</si>
  <si>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</si>
  <si>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</si>
  <si>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</si>
  <si>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</si>
  <si>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</si>
  <si>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</si>
  <si>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</si>
  <si>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</si>
  <si>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</si>
  <si>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</si>
  <si>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</si>
  <si>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</si>
  <si>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</si>
  <si>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</si>
  <si>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</si>
  <si>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</si>
  <si>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</si>
  <si>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</si>
  <si>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</si>
  <si>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</si>
  <si>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</si>
  <si>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</si>
  <si>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</si>
  <si>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</si>
  <si>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</si>
  <si>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</si>
  <si>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</si>
  <si>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</si>
  <si>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</si>
  <si>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</si>
  <si>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</si>
  <si>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</si>
  <si>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</si>
  <si>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</si>
  <si>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</si>
  <si>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</si>
  <si>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</si>
  <si>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</si>
  <si>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</si>
  <si>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</si>
  <si>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</si>
  <si>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</si>
  <si>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</si>
  <si>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</si>
  <si>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</si>
  <si>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</si>
  <si>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</si>
  <si>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</si>
  <si>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</si>
  <si>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</si>
  <si>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</si>
  <si>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</si>
  <si>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</si>
  <si>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</si>
  <si>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</si>
  <si>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</si>
  <si>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</si>
  <si>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</si>
  <si>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</si>
  <si>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</si>
  <si>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</si>
  <si>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</si>
  <si>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</si>
  <si>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</si>
  <si>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</si>
  <si>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</si>
  <si>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</si>
  <si>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</si>
  <si>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</si>
  <si>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</si>
  <si>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</si>
  <si>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</si>
  <si>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</si>
  <si>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</si>
  <si>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</si>
  <si>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</si>
  <si>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</si>
  <si>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</si>
  <si>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</si>
  <si>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</si>
  <si>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</si>
  <si>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</si>
  <si>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</si>
  <si>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</si>
  <si>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</si>
  <si>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</si>
  <si>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</si>
  <si>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</si>
  <si>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</si>
  <si>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</si>
  <si>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</si>
  <si>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</si>
  <si>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</si>
  <si>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</si>
  <si>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</si>
  <si>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</si>
  <si>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</si>
  <si>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</si>
  <si>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</si>
  <si>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</si>
  <si>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</si>
  <si>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</si>
  <si>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</si>
  <si>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</si>
  <si>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</si>
  <si>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</si>
  <si>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</si>
  <si>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</si>
  <si>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</si>
  <si>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</si>
  <si>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</si>
  <si>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</si>
  <si>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</si>
  <si>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</si>
  <si>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</si>
  <si>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</si>
  <si>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</si>
  <si>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</si>
  <si>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</si>
  <si>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</si>
  <si>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</si>
  <si>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</si>
  <si>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</si>
  <si>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</si>
  <si>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</si>
  <si>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</si>
  <si>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</si>
  <si>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</si>
  <si>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</si>
  <si>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</si>
  <si>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</si>
  <si>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</si>
  <si>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</si>
  <si>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</si>
  <si>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</si>
  <si>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</si>
  <si>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</si>
  <si>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</si>
  <si>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</si>
  <si>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</si>
  <si>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</si>
  <si>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</si>
  <si>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</si>
  <si>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</si>
  <si>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</si>
  <si>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</si>
  <si>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</si>
  <si>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</si>
  <si>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</si>
  <si>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</si>
  <si>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</si>
  <si>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</si>
  <si>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</si>
  <si>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</si>
  <si>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</si>
  <si>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</si>
  <si>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</si>
  <si>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</si>
  <si>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</si>
  <si>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</si>
  <si>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</si>
  <si>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</si>
  <si>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</si>
  <si>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</si>
  <si>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</si>
  <si>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</si>
  <si>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</si>
  <si>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</si>
  <si>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</si>
  <si>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</si>
  <si>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</si>
  <si>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</si>
  <si>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</si>
  <si>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</si>
  <si>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</si>
  <si>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</si>
  <si>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</si>
  <si>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</si>
  <si>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</si>
  <si>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</si>
  <si>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</si>
  <si>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</si>
  <si>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</si>
  <si>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</si>
  <si>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</si>
  <si>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</si>
  <si>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</si>
  <si>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</si>
  <si>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</si>
  <si>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</si>
  <si>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</si>
  <si>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</si>
  <si>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</si>
  <si>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</si>
  <si>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</si>
  <si>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</si>
  <si>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</si>
  <si>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</si>
  <si>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</si>
  <si>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</si>
  <si>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</si>
  <si>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</si>
  <si>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</si>
  <si>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</si>
  <si>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</si>
  <si>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</si>
  <si>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</si>
  <si>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</si>
  <si>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</si>
  <si>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</si>
  <si>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</si>
  <si>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</si>
  <si>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</si>
  <si>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</si>
  <si>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</si>
  <si>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</si>
  <si>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</si>
  <si>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</si>
  <si>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</si>
  <si>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</si>
  <si>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</si>
  <si>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</si>
  <si>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</si>
  <si>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</si>
  <si>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</si>
  <si>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</si>
  <si>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</si>
  <si>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</si>
  <si>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</si>
  <si>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</si>
  <si>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</si>
  <si>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</si>
  <si>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</si>
  <si>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</si>
  <si>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</si>
  <si>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</si>
  <si>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</si>
  <si>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</si>
  <si>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</si>
  <si>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</si>
  <si>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</si>
  <si>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</si>
  <si>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</si>
  <si>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</si>
  <si>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</si>
  <si>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</si>
  <si>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</si>
  <si>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</si>
  <si>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</si>
  <si>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</si>
  <si>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</si>
  <si>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</si>
  <si>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</si>
  <si>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</si>
  <si>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</si>
  <si>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</si>
  <si>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</si>
  <si>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</si>
  <si>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</si>
  <si>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</si>
  <si>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</si>
  <si>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</si>
  <si>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</si>
  <si>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</si>
  <si>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</si>
  <si>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</si>
  <si>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</si>
  <si>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</si>
  <si>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</si>
  <si>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</si>
  <si>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</si>
  <si>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</si>
  <si>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</si>
  <si>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</si>
  <si>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</si>
  <si>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</si>
  <si>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</si>
  <si>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</si>
  <si>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</si>
  <si>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</si>
  <si>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</si>
  <si>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</si>
  <si>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</si>
  <si>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</si>
  <si>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</si>
  <si>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</si>
  <si>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</si>
  <si>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</si>
  <si>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</si>
  <si>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</si>
  <si>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</si>
  <si>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</si>
  <si>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</si>
  <si>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</si>
  <si>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</si>
  <si>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</si>
  <si>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</si>
  <si>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</si>
  <si>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</si>
  <si>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</si>
  <si>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</si>
  <si>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</si>
  <si>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</si>
  <si>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</si>
  <si>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</si>
  <si>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</si>
  <si>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</si>
  <si>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</si>
  <si>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</si>
  <si>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</si>
  <si>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</si>
  <si>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</si>
  <si>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</si>
  <si>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</si>
  <si>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</si>
  <si>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</si>
  <si>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</si>
  <si>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</si>
  <si>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</si>
  <si>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</si>
  <si>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</si>
  <si>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</si>
  <si>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</si>
  <si>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</si>
  <si>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</si>
  <si>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</si>
  <si>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</si>
  <si>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</si>
  <si>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</si>
  <si>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</si>
  <si>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</si>
  <si>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</si>
  <si>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</si>
  <si>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</si>
  <si>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</si>
  <si>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</si>
  <si>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</si>
  <si>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</si>
  <si>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</si>
  <si>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</si>
  <si>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</si>
  <si>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</si>
  <si>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</si>
  <si>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</si>
  <si>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</si>
  <si>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</si>
  <si>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</si>
  <si>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</si>
  <si>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</si>
  <si>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</si>
  <si>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</si>
  <si>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</si>
  <si>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</si>
  <si>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</si>
  <si>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</si>
  <si>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</si>
  <si>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</si>
  <si>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</si>
  <si>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</si>
  <si>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</si>
  <si>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</si>
  <si>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</si>
  <si>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</si>
  <si>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</si>
  <si>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</si>
  <si>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</si>
  <si>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</si>
  <si>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</si>
  <si>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</si>
  <si>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</si>
  <si>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</si>
  <si>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</si>
  <si>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</si>
  <si>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</si>
  <si>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</si>
  <si>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</si>
  <si>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</si>
  <si>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</si>
  <si>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</si>
  <si>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</si>
  <si>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</si>
  <si>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</si>
  <si>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</si>
  <si>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</si>
  <si>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</si>
  <si>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</si>
  <si>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</si>
  <si>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</si>
  <si>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</si>
  <si>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</si>
  <si>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</si>
  <si>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</si>
  <si>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</si>
  <si>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</si>
  <si>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</si>
  <si>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</si>
  <si>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</si>
  <si>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</si>
  <si>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</si>
  <si>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</si>
  <si>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</si>
  <si>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</si>
  <si>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</si>
  <si>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</si>
  <si>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</si>
  <si>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</si>
  <si>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</si>
  <si>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</si>
  <si>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</si>
  <si>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</si>
  <si>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</si>
  <si>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</si>
  <si>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</si>
  <si>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</si>
  <si>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</si>
  <si>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</si>
  <si>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</si>
  <si>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</si>
  <si>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</si>
  <si>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</si>
  <si>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</si>
  <si>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</si>
  <si>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</si>
  <si>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</si>
  <si>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</si>
  <si>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</si>
  <si>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</si>
  <si>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</si>
  <si>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</si>
  <si>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</si>
  <si>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</si>
  <si>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</si>
  <si>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</si>
  <si>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</si>
  <si>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</si>
  <si>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</si>
  <si>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</si>
  <si>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</si>
  <si>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</si>
  <si>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</si>
  <si>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</si>
  <si>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</si>
  <si>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</si>
  <si>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</si>
  <si>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</si>
  <si>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</si>
  <si>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</si>
  <si>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</si>
  <si>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</si>
  <si>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</si>
  <si>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</si>
  <si>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</si>
  <si>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</si>
  <si>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</si>
  <si>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</si>
  <si>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</si>
  <si>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</si>
  <si>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</si>
  <si>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</si>
  <si>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</si>
  <si>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</si>
  <si>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</si>
  <si>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</si>
  <si>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</si>
  <si>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</si>
  <si>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</si>
  <si>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</si>
  <si>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</si>
  <si>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</si>
  <si>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</si>
  <si>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</si>
  <si>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</si>
  <si>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</si>
  <si>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</si>
  <si>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</si>
  <si>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</si>
  <si>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</si>
  <si>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</si>
  <si>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</si>
  <si>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</si>
  <si>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</si>
  <si>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</si>
  <si>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</si>
  <si>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</si>
  <si>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</si>
  <si>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</si>
  <si>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</si>
  <si>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</si>
  <si>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</si>
  <si>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</si>
  <si>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</si>
  <si>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</si>
  <si>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</si>
  <si>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</si>
  <si>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</si>
  <si>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</si>
  <si>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</si>
  <si>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</si>
  <si>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</si>
  <si>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</si>
  <si>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</si>
  <si>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</si>
  <si>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</si>
  <si>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</si>
  <si>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</si>
  <si>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</si>
  <si>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</si>
  <si>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</si>
  <si>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</si>
  <si>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</si>
  <si>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</si>
  <si>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</si>
  <si>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</si>
  <si>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</si>
  <si>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</si>
  <si>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</si>
  <si>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</si>
  <si>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</si>
  <si>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</si>
  <si>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</si>
  <si>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</si>
  <si>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</si>
  <si>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</si>
  <si>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</si>
  <si>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</si>
  <si>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</si>
  <si>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</si>
  <si>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</si>
  <si>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</si>
  <si>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</si>
  <si>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</si>
  <si>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</si>
  <si>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</si>
  <si>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</si>
  <si>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</si>
  <si>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</si>
  <si>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</si>
  <si>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</si>
  <si>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</si>
  <si>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</si>
  <si>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</si>
  <si>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</si>
  <si>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</si>
  <si>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</si>
  <si>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</si>
  <si>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</si>
  <si>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</si>
  <si>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</si>
  <si>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</si>
  <si>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</si>
  <si>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</si>
  <si>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</si>
  <si>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</si>
  <si>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</si>
  <si>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</si>
  <si>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</si>
  <si>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</si>
  <si>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</si>
  <si>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</si>
  <si>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</si>
  <si>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</si>
  <si>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</si>
  <si>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</si>
  <si>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</si>
  <si>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</si>
  <si>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</si>
  <si>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</si>
  <si>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</si>
  <si>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</si>
  <si>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</si>
  <si>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</si>
  <si>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</si>
  <si>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</si>
  <si>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</si>
  <si>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</si>
  <si>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</si>
  <si>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</si>
  <si>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</si>
  <si>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</si>
  <si>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</si>
  <si>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</si>
  <si>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</si>
  <si>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</si>
  <si>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</si>
  <si>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</si>
  <si>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</si>
  <si>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</si>
  <si>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</si>
  <si>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</si>
  <si>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</si>
  <si>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</si>
  <si>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</si>
  <si>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</si>
  <si>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</si>
  <si>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</si>
  <si>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</si>
  <si>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</si>
  <si>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</si>
  <si>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</si>
  <si>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</si>
  <si>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</si>
  <si>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</si>
  <si>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</si>
  <si>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</si>
  <si>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</si>
  <si>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</si>
  <si>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</si>
  <si>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</si>
  <si>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</si>
  <si>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</si>
  <si>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</si>
  <si>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</si>
  <si>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</si>
  <si>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</si>
  <si>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</si>
  <si>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</si>
  <si>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</si>
  <si>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</si>
  <si>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</si>
  <si>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</si>
  <si>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</si>
  <si>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</si>
  <si>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</si>
  <si>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</si>
  <si>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</si>
  <si>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</si>
  <si>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</si>
  <si>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</si>
  <si>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</si>
  <si>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</si>
  <si>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</si>
  <si>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</si>
  <si>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</si>
  <si>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</si>
  <si>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</si>
  <si>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</si>
  <si>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</si>
  <si>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</si>
  <si>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</si>
  <si>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</si>
  <si>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</si>
  <si>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</si>
  <si>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</si>
  <si>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</si>
  <si>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</si>
  <si>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</si>
  <si>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</si>
  <si>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</si>
  <si>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</si>
  <si>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</si>
  <si>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</si>
  <si>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</si>
  <si>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</si>
  <si>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</si>
  <si>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</si>
  <si>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</si>
  <si>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</si>
  <si>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</si>
  <si>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</si>
  <si>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</si>
  <si>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</si>
  <si>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</si>
  <si>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</si>
  <si>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</si>
  <si>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</si>
  <si>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</si>
  <si>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</si>
  <si>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</si>
  <si>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</si>
  <si>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</si>
  <si>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</si>
  <si>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</si>
  <si>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</si>
  <si>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</si>
  <si>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</si>
  <si>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</si>
  <si>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</si>
  <si>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</si>
  <si>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</si>
  <si>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</si>
  <si>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</si>
  <si>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</si>
  <si>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</si>
  <si>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</si>
  <si>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</si>
  <si>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</si>
  <si>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</si>
  <si>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</si>
  <si>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</si>
  <si>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</si>
  <si>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</si>
  <si>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</si>
  <si>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</si>
  <si>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</si>
  <si>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</si>
  <si>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</si>
  <si>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</si>
  <si>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</si>
  <si>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</si>
  <si>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</si>
  <si>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</si>
  <si>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</si>
  <si>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</si>
  <si>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</si>
  <si>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</si>
  <si>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</si>
  <si>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</si>
  <si>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</si>
  <si>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</si>
  <si>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</si>
  <si>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</si>
  <si>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</si>
  <si>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</si>
  <si>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</si>
  <si>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</si>
  <si>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</si>
  <si>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</si>
  <si>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</si>
  <si>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</si>
  <si>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</si>
  <si>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</si>
  <si>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</si>
  <si>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</si>
  <si>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</si>
  <si>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</si>
  <si>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</si>
  <si>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</si>
  <si>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</si>
  <si>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</si>
  <si>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</si>
  <si>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</si>
  <si>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</si>
  <si>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</si>
  <si>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</si>
  <si>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</si>
  <si>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</si>
  <si>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</si>
  <si>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</si>
  <si>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</si>
  <si>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</si>
  <si>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</si>
  <si>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</si>
  <si>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</si>
  <si>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</si>
  <si>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</si>
  <si>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</si>
  <si>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</si>
  <si>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</si>
  <si>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</si>
  <si>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</si>
  <si>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</si>
  <si>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</si>
  <si>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</si>
  <si>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</si>
  <si>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</si>
  <si>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</si>
  <si>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</si>
  <si>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</si>
  <si>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</si>
  <si>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</si>
  <si>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</si>
  <si>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</si>
  <si>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</si>
  <si>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</si>
  <si>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</si>
  <si>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</si>
  <si>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</si>
  <si>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</si>
  <si>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</si>
  <si>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</si>
  <si>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</si>
  <si>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</si>
  <si>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</si>
  <si>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</si>
  <si>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</si>
  <si>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</si>
  <si>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</si>
  <si>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</si>
  <si>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</si>
  <si>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</si>
  <si>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</si>
  <si>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</si>
  <si>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</si>
  <si>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</si>
  <si>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</si>
  <si>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</si>
  <si>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</si>
  <si>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</si>
  <si>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</si>
  <si>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</si>
  <si>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</si>
  <si>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</si>
  <si>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</si>
  <si>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</si>
  <si>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</si>
  <si>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</si>
  <si>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</si>
  <si>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</si>
  <si>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</si>
  <si>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</si>
  <si>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</si>
  <si>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</si>
  <si>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</si>
  <si>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</si>
  <si>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</si>
  <si>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</si>
  <si>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</si>
  <si>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</si>
  <si>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</si>
  <si>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</si>
  <si>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</si>
  <si>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</si>
  <si>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</si>
  <si>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</si>
  <si>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</si>
  <si>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</si>
  <si>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</si>
  <si>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</si>
  <si>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</si>
  <si>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</si>
  <si>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</si>
  <si>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</si>
  <si>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</si>
  <si>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</si>
  <si>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</si>
  <si>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</si>
  <si>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</si>
  <si>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</si>
  <si>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</si>
  <si>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</si>
  <si>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</si>
  <si>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</si>
  <si>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</si>
  <si>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</si>
  <si>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</si>
  <si>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</si>
  <si>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</si>
  <si>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</si>
  <si>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</si>
  <si>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</si>
  <si>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</si>
  <si>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</si>
  <si>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</si>
  <si>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</si>
  <si>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</si>
  <si>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</si>
  <si>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</si>
  <si>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</si>
  <si>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</si>
  <si>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</si>
  <si>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</si>
  <si>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</si>
  <si>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</si>
  <si>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</si>
  <si>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</si>
  <si>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</si>
  <si>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</si>
  <si>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</si>
  <si>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</si>
  <si>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</si>
  <si>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</si>
  <si>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</si>
  <si>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</si>
  <si>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</si>
  <si>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</si>
  <si>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</si>
  <si>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</si>
  <si>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</si>
  <si>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</si>
  <si>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</si>
  <si>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</si>
  <si>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</si>
  <si>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</si>
  <si>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</si>
  <si>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</si>
  <si>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</si>
  <si>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</si>
  <si>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</si>
  <si>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</si>
  <si>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</si>
  <si>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</si>
  <si>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</si>
  <si>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</si>
  <si>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</si>
  <si>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</si>
  <si>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</si>
  <si>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</si>
  <si>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</si>
  <si>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</si>
  <si>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</si>
  <si>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</si>
  <si>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</si>
  <si>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</si>
  <si>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</si>
  <si>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</si>
  <si>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</si>
  <si>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</si>
  <si>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</si>
  <si>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</si>
  <si>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</si>
  <si>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</si>
  <si>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</si>
  <si>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</si>
  <si>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</si>
  <si>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</si>
  <si>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</si>
  <si>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</si>
  <si>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</si>
  <si>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</si>
  <si>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</si>
  <si>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</si>
  <si>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</si>
  <si>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</si>
  <si>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</si>
  <si>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</si>
  <si>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</si>
  <si>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</si>
  <si>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</si>
  <si>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</si>
  <si>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</si>
  <si>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</si>
  <si>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</si>
  <si>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</si>
  <si>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</si>
  <si>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</si>
  <si>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</si>
  <si>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</si>
  <si>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</si>
  <si>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</si>
  <si>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</si>
  <si>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</si>
  <si>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</si>
  <si>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</si>
  <si>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</si>
  <si>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</si>
  <si>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</si>
  <si>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</si>
  <si>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</si>
  <si>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</si>
  <si>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</si>
  <si>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</si>
  <si>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</si>
  <si>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</si>
  <si>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</si>
  <si>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</si>
  <si>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</si>
  <si>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</si>
  <si>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</si>
  <si>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</si>
  <si>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</si>
  <si>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</si>
  <si>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</si>
  <si>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</si>
  <si>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</si>
  <si>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</si>
  <si>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</si>
  <si>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</si>
  <si>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</si>
  <si>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</si>
  <si>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</si>
  <si>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</si>
  <si>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</si>
  <si>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</si>
  <si>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</si>
  <si>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</si>
  <si>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</si>
  <si>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</si>
  <si>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</si>
  <si>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</si>
  <si>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</si>
  <si>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</si>
  <si>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</si>
  <si>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</si>
  <si>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</si>
  <si>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</si>
  <si>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</si>
  <si>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</si>
  <si>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</si>
  <si>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</si>
  <si>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</si>
  <si>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</si>
  <si>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</si>
  <si>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</si>
  <si>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</si>
  <si>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</si>
  <si>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</si>
  <si>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</si>
  <si>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</si>
  <si>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</si>
  <si>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</si>
  <si>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</si>
  <si>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</si>
  <si>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</si>
  <si>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</si>
  <si>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</si>
  <si>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</si>
  <si>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</si>
  <si>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</si>
  <si>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</si>
  <si>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</si>
  <si>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</si>
  <si>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</si>
  <si>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</si>
  <si>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</si>
  <si>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</si>
  <si>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</si>
  <si>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</si>
  <si>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</si>
  <si>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</si>
  <si>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</si>
  <si>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</si>
  <si>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</si>
  <si>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</si>
  <si>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</si>
  <si>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</si>
  <si>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</si>
  <si>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</si>
  <si>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</si>
  <si>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</si>
  <si>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</si>
  <si>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</si>
  <si>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</si>
  <si>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</si>
  <si>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</si>
  <si>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</si>
  <si>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</si>
  <si>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</si>
  <si>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</si>
  <si>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</si>
  <si>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</si>
  <si>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</si>
  <si>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</si>
  <si>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</si>
  <si>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</si>
  <si>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</si>
  <si>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</si>
  <si>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</si>
  <si>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</si>
  <si>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</si>
  <si>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</si>
  <si>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</si>
  <si>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</si>
  <si>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</si>
  <si>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</si>
  <si>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</si>
  <si>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</si>
  <si>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</si>
  <si>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</si>
  <si>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</si>
  <si>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</si>
  <si>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</si>
  <si>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</si>
  <si>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</si>
  <si>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</si>
  <si>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</si>
  <si>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</si>
  <si>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</si>
  <si>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</si>
  <si>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</si>
  <si>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</si>
  <si>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</si>
  <si>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</si>
  <si>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</si>
  <si>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</si>
  <si>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</si>
  <si>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</si>
  <si>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</si>
  <si>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</si>
  <si>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</si>
  <si>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</si>
  <si>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</si>
  <si>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</si>
  <si>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</si>
  <si>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</si>
  <si>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</si>
  <si>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</si>
  <si>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</si>
  <si>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</si>
  <si>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</si>
  <si>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</si>
  <si>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</si>
  <si>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</si>
  <si>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</si>
  <si>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</si>
  <si>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</si>
  <si>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</si>
  <si>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</si>
  <si>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</si>
  <si>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</si>
  <si>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</si>
  <si>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</si>
  <si>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</si>
  <si>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</si>
  <si>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</si>
  <si>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</si>
  <si>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</si>
  <si>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</si>
  <si>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</si>
  <si>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</si>
  <si>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</si>
  <si>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</si>
  <si>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</si>
  <si>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</si>
  <si>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</si>
  <si>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</si>
  <si>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</si>
  <si>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</si>
  <si>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</si>
  <si>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</si>
  <si>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</si>
  <si>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</si>
  <si>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</si>
  <si>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</si>
  <si>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</si>
  <si>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</si>
  <si>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</si>
  <si>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</si>
  <si>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</si>
  <si>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</si>
  <si>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</si>
  <si>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</si>
  <si>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</si>
  <si>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</si>
  <si>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</si>
  <si>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</si>
  <si>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</si>
  <si>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</si>
  <si>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</si>
  <si>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</si>
  <si>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</si>
  <si>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</si>
  <si>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</si>
  <si>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</si>
  <si>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</si>
  <si>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</si>
  <si>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</si>
  <si>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</si>
  <si>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</si>
  <si>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</si>
  <si>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</si>
  <si>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</si>
  <si>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</si>
  <si>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</si>
  <si>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</si>
  <si>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</si>
  <si>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</si>
  <si>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</si>
  <si>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</si>
  <si>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</si>
  <si>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</si>
  <si>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</si>
  <si>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</si>
  <si>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</si>
  <si>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</si>
  <si>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</si>
  <si>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</si>
  <si>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</si>
  <si>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</si>
  <si>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</si>
  <si>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</si>
  <si>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</si>
  <si>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</si>
  <si>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</si>
  <si>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</si>
  <si>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</si>
  <si>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</si>
  <si>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</si>
  <si>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</si>
  <si>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</si>
  <si>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</si>
  <si>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</si>
  <si>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</si>
  <si>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</si>
  <si>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</si>
  <si>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</si>
  <si>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</si>
  <si>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</si>
  <si>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</si>
  <si>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</si>
  <si>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</si>
  <si>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</si>
  <si>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</si>
  <si>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</si>
  <si>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</si>
  <si>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</si>
  <si>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</si>
  <si>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</si>
  <si>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</si>
  <si>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</si>
  <si>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</si>
  <si>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</si>
  <si>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</si>
  <si>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</si>
  <si>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</si>
  <si>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</si>
  <si>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</si>
  <si>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</si>
  <si>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</si>
  <si>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</si>
  <si>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</si>
  <si>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</si>
  <si>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</si>
  <si>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</si>
  <si>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</si>
  <si>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</si>
  <si>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</si>
  <si>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</si>
  <si>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</si>
  <si>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</si>
  <si>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</si>
  <si>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</si>
  <si>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</si>
  <si>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</si>
  <si>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</si>
  <si>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</si>
  <si>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</si>
  <si>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</si>
  <si>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</si>
  <si>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</si>
  <si>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</si>
  <si>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</si>
  <si>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</si>
  <si>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</si>
  <si>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</si>
  <si>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</si>
  <si>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</si>
  <si>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</si>
  <si>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</si>
  <si>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</si>
  <si>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</si>
  <si>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</si>
  <si>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</si>
  <si>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</si>
  <si>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</si>
  <si>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</si>
  <si>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</si>
  <si>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</si>
  <si>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</si>
  <si>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</si>
  <si>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</si>
  <si>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</si>
  <si>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</si>
  <si>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</si>
  <si>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</si>
  <si>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</si>
  <si>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</si>
  <si>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</si>
  <si>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</si>
  <si>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</si>
  <si>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</si>
  <si>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</si>
  <si>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</si>
  <si>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</si>
  <si>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</si>
  <si>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</si>
  <si>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</si>
  <si>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</si>
  <si>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</si>
  <si>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</si>
  <si>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</si>
  <si>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</si>
  <si>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</si>
  <si>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</si>
  <si>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</si>
  <si>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</si>
  <si>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</si>
  <si>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</si>
  <si>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</si>
  <si>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</si>
  <si>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</si>
  <si>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</si>
  <si>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</si>
  <si>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</si>
  <si>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</si>
  <si>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</si>
  <si>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</si>
  <si>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</si>
  <si>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</si>
  <si>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</si>
  <si>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</si>
  <si>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</si>
  <si>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</si>
  <si>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</si>
  <si>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</si>
  <si>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</si>
  <si>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</si>
  <si>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</si>
  <si>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</si>
  <si>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</si>
  <si>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</si>
  <si>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</si>
  <si>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</si>
  <si>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</si>
  <si>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</si>
  <si>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</si>
  <si>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</si>
  <si>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</si>
  <si>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</si>
  <si>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</si>
  <si>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</si>
  <si>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</si>
  <si>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</si>
  <si>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</si>
  <si>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</si>
  <si>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</si>
  <si>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</si>
  <si>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</si>
  <si>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</si>
  <si>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</si>
  <si>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</si>
  <si>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</si>
  <si>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</si>
  <si>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</si>
  <si>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</si>
  <si>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</si>
  <si>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</si>
  <si>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</si>
  <si>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</si>
  <si>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</si>
  <si>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</si>
  <si>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</si>
  <si>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</si>
  <si>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</si>
  <si>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</si>
  <si>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</si>
  <si>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</si>
  <si>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</si>
  <si>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</si>
  <si>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</si>
  <si>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</si>
  <si>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</si>
  <si>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</si>
  <si>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</si>
  <si>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</si>
  <si>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</si>
  <si>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</si>
  <si>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</si>
  <si>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</si>
  <si>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</si>
  <si>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</si>
  <si>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</si>
  <si>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</si>
  <si>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</si>
  <si>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</si>
  <si>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</si>
  <si>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</si>
  <si>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</si>
  <si>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</si>
  <si>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</si>
  <si>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</si>
  <si>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</si>
  <si>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</si>
  <si>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</si>
  <si>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</si>
  <si>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</si>
  <si>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</si>
  <si>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</si>
  <si>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</si>
  <si>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</si>
  <si>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</si>
  <si>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</si>
  <si>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</si>
  <si>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</si>
  <si>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</si>
  <si>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</si>
  <si>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</si>
  <si>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</si>
  <si>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</si>
  <si>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</si>
  <si>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</si>
  <si>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</si>
  <si>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</si>
  <si>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</si>
  <si>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</si>
  <si>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</si>
  <si>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</si>
  <si>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</si>
  <si>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</si>
  <si>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</si>
  <si>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</si>
  <si>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</si>
  <si>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</si>
  <si>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</si>
  <si>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</si>
  <si>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</si>
  <si>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</si>
  <si>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</si>
  <si>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</si>
  <si>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</si>
  <si>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</si>
  <si>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</si>
  <si>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</si>
  <si>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</si>
  <si>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</si>
  <si>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</si>
  <si>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</si>
  <si>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</si>
  <si>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</si>
  <si>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</si>
  <si>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</si>
  <si>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</si>
  <si>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</si>
  <si>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</si>
  <si>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</si>
  <si>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</si>
  <si>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</si>
  <si>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</si>
  <si>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</si>
  <si>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</si>
  <si>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</si>
  <si>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</si>
  <si>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</si>
  <si>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</si>
  <si>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</si>
  <si>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</si>
  <si>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</si>
  <si>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</si>
  <si>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</si>
  <si>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</si>
  <si>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</si>
  <si>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</si>
  <si>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</si>
  <si>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</si>
  <si>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</si>
  <si>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</si>
  <si>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</si>
  <si>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</si>
  <si>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</si>
  <si>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</si>
  <si>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</si>
  <si>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</si>
  <si>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</si>
  <si>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</si>
  <si>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</si>
  <si>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</si>
  <si>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</si>
  <si>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</si>
  <si>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</si>
  <si>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</si>
  <si>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</si>
  <si>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</si>
  <si>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</si>
  <si>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</si>
  <si>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</si>
  <si>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</si>
  <si>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</si>
  <si>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</si>
  <si>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</si>
  <si>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</si>
  <si>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</si>
  <si>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</si>
  <si>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</si>
  <si>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</si>
  <si>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</si>
  <si>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</si>
  <si>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</si>
  <si>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</si>
  <si>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</si>
  <si>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</si>
  <si>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</si>
  <si>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</si>
  <si>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</si>
  <si>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</si>
  <si>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</si>
  <si>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</si>
  <si>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</si>
  <si>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</si>
  <si>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</si>
  <si>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</si>
  <si>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</si>
  <si>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</si>
  <si>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</si>
  <si>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</si>
  <si>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</si>
  <si>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</si>
  <si>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</si>
  <si>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</si>
  <si>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</si>
  <si>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</si>
  <si>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</si>
  <si>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</si>
  <si>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</si>
  <si>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</si>
  <si>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</si>
  <si>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</si>
  <si>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</si>
  <si>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</si>
  <si>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</si>
  <si>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</si>
  <si>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</si>
  <si>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</si>
  <si>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</si>
  <si>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</si>
  <si>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</si>
  <si>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</si>
  <si>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</si>
  <si>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</si>
  <si>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</si>
  <si>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</si>
  <si>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</si>
  <si>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</si>
  <si>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</si>
  <si>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</si>
  <si>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</si>
  <si>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</si>
  <si>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</si>
  <si>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</si>
  <si>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</si>
  <si>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</si>
  <si>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</si>
  <si>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</si>
  <si>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</si>
  <si>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</si>
  <si>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</si>
  <si>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</si>
  <si>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</si>
  <si>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</si>
  <si>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</si>
  <si>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</si>
  <si>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</si>
  <si>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</si>
  <si>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</si>
  <si>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</si>
  <si>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</si>
  <si>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</si>
  <si>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</si>
  <si>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</si>
  <si>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</si>
  <si>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</si>
  <si>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</si>
  <si>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</si>
  <si>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</si>
  <si>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</si>
  <si>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</si>
  <si>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</si>
  <si>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</si>
  <si>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</si>
  <si>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</si>
  <si>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</si>
  <si>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</si>
  <si>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</si>
  <si>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</si>
  <si>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</si>
  <si>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</si>
  <si>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</si>
  <si>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</si>
  <si>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</si>
  <si>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</si>
  <si>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</si>
  <si>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</si>
  <si>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</si>
  <si>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</si>
  <si>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</si>
  <si>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</si>
  <si>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</si>
  <si>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</si>
  <si>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</si>
  <si>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</si>
  <si>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</si>
  <si>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</si>
  <si>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</si>
  <si>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</si>
  <si>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</si>
  <si>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</si>
  <si>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</si>
  <si>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</si>
  <si>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</si>
  <si>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</si>
  <si>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</si>
  <si>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</si>
  <si>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</si>
  <si>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</si>
  <si>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</si>
  <si>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</si>
  <si>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</si>
  <si>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</si>
  <si>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</si>
  <si>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</si>
  <si>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</si>
  <si>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</si>
  <si>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</si>
  <si>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</si>
  <si>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</si>
  <si>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</si>
  <si>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</si>
  <si>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</si>
  <si>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</si>
  <si>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</si>
  <si>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</si>
  <si>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</si>
  <si>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</si>
  <si>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</si>
  <si>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</si>
  <si>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</si>
  <si>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</si>
  <si>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</si>
  <si>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</si>
  <si>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</si>
  <si>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</si>
  <si>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</si>
  <si>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</si>
  <si>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</si>
  <si>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</si>
  <si>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</si>
  <si>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</si>
  <si>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</si>
  <si>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</si>
  <si>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</si>
  <si>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</si>
  <si>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</si>
  <si>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</si>
  <si>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</si>
  <si>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</si>
  <si>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</si>
  <si>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</si>
  <si>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</si>
  <si>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</si>
  <si>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</si>
  <si>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</si>
  <si>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</si>
  <si>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</si>
  <si>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</si>
  <si>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</si>
  <si>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</si>
  <si>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</si>
  <si>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</si>
  <si>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</si>
  <si>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</si>
  <si>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</si>
  <si>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</si>
  <si>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</si>
  <si>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</si>
  <si>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</si>
  <si>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</si>
  <si>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</si>
  <si>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</si>
  <si>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</si>
  <si>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</si>
  <si>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</si>
  <si>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</si>
  <si>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</si>
  <si>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</si>
  <si>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</si>
  <si>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</si>
  <si>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</si>
  <si>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</si>
  <si>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</si>
  <si>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</si>
  <si>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</si>
  <si>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</si>
  <si>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</si>
  <si>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</si>
  <si>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</si>
  <si>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</si>
  <si>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</si>
  <si>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</si>
  <si>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</si>
  <si>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</si>
  <si>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</si>
  <si>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</si>
  <si>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</si>
  <si>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</si>
  <si>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</si>
  <si>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</si>
  <si>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</si>
  <si>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</si>
  <si>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</si>
  <si>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</si>
  <si>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</si>
  <si>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</si>
  <si>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</si>
  <si>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</si>
  <si>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</si>
  <si>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</si>
  <si>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</si>
  <si>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</si>
  <si>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</si>
  <si>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</si>
  <si>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</si>
  <si>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</si>
  <si>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</si>
  <si>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</si>
  <si>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</si>
  <si>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</si>
  <si>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</si>
  <si>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</si>
  <si>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</si>
  <si>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</si>
  <si>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</si>
  <si>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</si>
  <si>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</si>
  <si>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</si>
  <si>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</si>
  <si>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</si>
  <si>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</si>
  <si>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</si>
  <si>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</si>
  <si>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</si>
  <si>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</si>
  <si>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</si>
  <si>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</si>
  <si>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</si>
  <si>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</si>
  <si>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</si>
  <si>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</si>
  <si>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</si>
  <si>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</si>
  <si>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</si>
  <si>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</si>
  <si>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</si>
  <si>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</si>
  <si>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</si>
  <si>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</si>
  <si>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</si>
  <si>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</si>
  <si>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</si>
  <si>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</si>
  <si>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</si>
  <si>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</si>
  <si>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</si>
  <si>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</si>
  <si>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</si>
  <si>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</si>
  <si>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</si>
  <si>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</si>
  <si>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</si>
  <si>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</si>
  <si>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</si>
  <si>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</si>
  <si>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</si>
  <si>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</si>
  <si>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</si>
  <si>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</si>
  <si>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</si>
  <si>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</si>
  <si>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</si>
  <si>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</si>
  <si>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</si>
  <si>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</si>
  <si>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</si>
  <si>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</si>
  <si>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</si>
  <si>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</si>
  <si>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</si>
  <si>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</si>
  <si>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</si>
  <si>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</si>
  <si>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</si>
  <si>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</si>
  <si>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</si>
  <si>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</si>
  <si>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</si>
  <si>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</si>
  <si>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</si>
  <si>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</si>
  <si>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</si>
  <si>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</si>
  <si>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</si>
  <si>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</si>
  <si>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</si>
  <si>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</si>
  <si>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</si>
  <si>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</si>
  <si>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</si>
  <si>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</si>
  <si>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</si>
  <si>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</si>
  <si>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</si>
  <si>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</si>
  <si>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</si>
  <si>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</si>
  <si>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</si>
  <si>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</si>
  <si>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</si>
  <si>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</si>
  <si>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</si>
  <si>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</si>
  <si>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</si>
  <si>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</si>
  <si>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</si>
  <si>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</si>
  <si>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</si>
  <si>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</si>
  <si>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</si>
  <si>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</si>
  <si>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</si>
  <si>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</si>
  <si>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</si>
  <si>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</si>
  <si>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</si>
  <si>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UPI Fraud Analytics</t>
  </si>
  <si>
    <t>Total Fraud Cases</t>
  </si>
  <si>
    <t>Total Fraud Value (₹Cr)</t>
  </si>
  <si>
    <t>Average Fraud Value (₹Lakh)</t>
  </si>
  <si>
    <t>Fraud Rate /Mn Txn (Latest)</t>
  </si>
  <si>
    <t>Fraud Statistics by Fiscal Year</t>
  </si>
  <si>
    <t>Insights</t>
  </si>
  <si>
    <t>Fraud Metrics Summary</t>
  </si>
  <si>
    <t>fraud_cases</t>
  </si>
  <si>
    <t>fraud_value_crores</t>
  </si>
  <si>
    <t>total_txn_volume_billions</t>
  </si>
  <si>
    <t>fraud_rate_per_million_txn</t>
  </si>
  <si>
    <t>avg_fraud_value_lakhs</t>
  </si>
  <si>
    <t>Highest Fraud Year</t>
  </si>
  <si>
    <t>Cases</t>
  </si>
  <si>
    <t>Value (₹Cr)</t>
  </si>
  <si>
    <t>Rate/Mn</t>
  </si>
  <si>
    <t>Avg Value (₹L)</t>
  </si>
  <si>
    <t>Lowest Fraud Year</t>
  </si>
  <si>
    <t>Largest Fraud Growth (Cases)</t>
  </si>
  <si>
    <t>Lowest Fraud Rate /Mn Txn</t>
  </si>
  <si>
    <t>India Digital Payments Comparison</t>
  </si>
  <si>
    <t>UPI Share of Digital Payments</t>
  </si>
  <si>
    <t>Latest UPI Volume (Bn)</t>
  </si>
  <si>
    <t>Latest NEFT Volume (Bn)</t>
  </si>
  <si>
    <t>Latest RTGS Volume (Bn)</t>
  </si>
  <si>
    <t>Latest IMPS Volume (Bn)</t>
  </si>
  <si>
    <t>Digital Payments Comparison by Fiscal Year</t>
  </si>
  <si>
    <t>Payment System Summary (Total across years)</t>
  </si>
  <si>
    <t>upi_volume_bn</t>
  </si>
  <si>
    <t>imps_volume_bn</t>
  </si>
  <si>
    <t>neft_volume_bn</t>
  </si>
  <si>
    <t>rtgs_volume_bn</t>
  </si>
  <si>
    <t>debit_card_volume_bn</t>
  </si>
  <si>
    <t>credit_card_volume_bn</t>
  </si>
  <si>
    <t>cheque_volume_bn</t>
  </si>
  <si>
    <t>upi_share_of_digital_pct</t>
  </si>
  <si>
    <t>Payment System</t>
  </si>
  <si>
    <t>Total Volume (Bn)</t>
  </si>
  <si>
    <t>UPI</t>
  </si>
  <si>
    <t>IMPS</t>
  </si>
  <si>
    <t>NEFT</t>
  </si>
  <si>
    <t>RTGS</t>
  </si>
  <si>
    <t>Debit Card</t>
  </si>
  <si>
    <t>Credit Card</t>
  </si>
  <si>
    <t>Cheque</t>
  </si>
  <si>
    <t>UPI Payments Ecosystem Analytics Dashboard</t>
  </si>
  <si>
    <t>Filters available via AutoFilter dropdowns on each sheet's data table: Fiscal Year | Year | Quarter | Month</t>
  </si>
  <si>
    <t>Total Transaction Volume (Bn)</t>
  </si>
  <si>
    <t>Total Transaction Value (₹Bn INR)</t>
  </si>
  <si>
    <t>Banks Live (Latest)</t>
  </si>
  <si>
    <t>Largest Bank/App</t>
  </si>
  <si>
    <t>Highest Adoption State</t>
  </si>
  <si>
    <t>Monthly UPI Transaction Volume</t>
  </si>
  <si>
    <t>Top States by Volume</t>
  </si>
  <si>
    <t>Top Banks by Volume</t>
  </si>
  <si>
    <t>Digital Payment Comparison</t>
  </si>
  <si>
    <t>UPI Market Share Growth</t>
  </si>
  <si>
    <t>Fraud Trend</t>
  </si>
  <si>
    <t>Weekend vs Weekday Analysis</t>
  </si>
  <si>
    <t>Executive Insights</t>
  </si>
  <si>
    <t>Fastest Growing Year (Volume)</t>
  </si>
  <si>
    <t>Peak Transaction Month</t>
  </si>
  <si>
    <t>Largest Market Share Bank</t>
  </si>
  <si>
    <t>Fraud Rate Trend (Latest vs First)</t>
  </si>
  <si>
    <t>Average Transaction Value (₹)</t>
  </si>
  <si>
    <t>Key Business Observations</t>
  </si>
  <si>
    <t>• UPI transaction volume has scaled from near-zero at launch (Aug-2016) to becoming India's dominant retail payment rail, now processing the majority of digital transaction volume nationally.</t>
  </si>
  <si>
    <t>• UPI's share of India's digital payments has grown substantially, overtaking cards, NEFT, RTGS and cheques combined in recent fiscal years.</t>
  </si>
  <si>
    <t>• Market share among UPI apps remains concentrated in the top two-three players (PhonePe and Google Pay), consistent with strong network-effect dynamics in payments platforms.</t>
  </si>
  <si>
    <t>• State-level adoption remains skewed toward large, urbanised states (Maharashtra, Karnataka, Delhi), suggesting continued headroom for growth in smaller/rural states.</t>
  </si>
  <si>
    <t>• Daily transaction patterns show consistently higher volumes on weekdays vs weekends, reflecting salary-linked and business/commercial payment cycles.</t>
  </si>
  <si>
    <t>• While absolute fraud case counts and value have risen alongside transaction volume growth, the fraud rate per million transactions has trended down in recent years, indicating improving platform risk controls.</t>
  </si>
  <si>
    <t>• Average transaction value has moderated over time even as total volume rises sharply, consistent with UPI's expansion into small-ticket, everyday retail and P2M payments.</t>
  </si>
  <si>
    <t>• Continued growth in banks live on the UPI network signals expanding interoperability and issuer participation, supporting the ecosystem's long-term scalability.</t>
  </si>
  <si>
    <t>FY2016-18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</si>
</sst>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\%"/>
    <numFmt numFmtId="166" formatCode="0.0"/>
    <numFmt numFmtId="167" formatCode="#,##0.0"/>
    <numFmt numFmtId="168" formatCode="0.000"/>
    <numFmt numFmtId="169" formatCode="\+0.000;\-0.000"/>
  </numFmts>
  <fonts count="20" x14ac:knownFonts="1">
    <font>
      <sz val="11"/>
      <color theme="1"/>
      <name val="Calibri"/>
      <family val="2"/>
      <charset val="1"/>
    </font>
    <font>
      <b/>
      <sz val="20"/>
      <color rgb="FF1F3864"/>
      <name val="Times New Roman"/>
      <charset val="1"/>
    </font>
    <font>
      <i/>
      <sz val="12"/>
      <color rgb="FF2E5C8A"/>
      <name val="Times New Roman"/>
      <charset val="1"/>
    </font>
    <font>
      <b/>
      <sz val="13"/>
      <color rgb="FFFFFFFF"/>
      <name val="Times New Roman"/>
      <charset val="1"/>
    </font>
    <font>
      <b/>
      <sz val="10"/>
      <color rgb="FF1F3864"/>
      <name val="Times New Roman"/>
      <charset val="1"/>
    </font>
    <font>
      <sz val="10"/>
      <color rgb="FF1F2A44"/>
      <name val="Times New Roman"/>
      <charset val="1"/>
    </font>
    <font>
      <b/>
      <sz val="16"/>
      <color rgb="FF1F3864"/>
      <name val="Times New Roman"/>
      <charset val="1"/>
    </font>
    <font>
      <b/>
      <sz val="10"/>
      <color rgb="FFFFFFFF"/>
      <name val="Times New Roman"/>
      <charset val="1"/>
    </font>
    <font>
      <b/>
      <sz val="14"/>
      <color rgb="FF1F3864"/>
      <name val="Times New Roman"/>
      <charset val="1"/>
    </font>
    <font>
      <b/>
      <sz val="12"/>
      <color rgb="FF1F3864"/>
      <name val="Times New Roman"/>
      <charset val="1"/>
    </font>
    <font>
      <b/>
      <sz val="11"/>
      <color rgb="FFFFFFFF"/>
      <name val="Times New Roman"/>
      <charset val="1"/>
    </font>
    <font>
      <sz val="10"/>
      <name val="Times New Roman"/>
      <charset val="1"/>
    </font>
    <font>
      <sz val="11"/>
      <color theme="1"/>
      <name val="Times New Roman"/>
      <charset val="1"/>
    </font>
    <font>
      <sz val="9"/>
      <name val="Times New Roman"/>
      <charset val="1"/>
    </font>
    <font>
      <b/>
      <sz val="22"/>
      <color rgb="FF1F3864"/>
      <name val="Times New Roman"/>
      <charset val="1"/>
    </font>
    <font>
      <i/>
      <sz val="11"/>
      <color rgb="FF2E5C8A"/>
      <name val="Times New Roman"/>
      <charset val="1"/>
    </font>
    <font>
      <b/>
      <sz val="14"/>
      <color rgb="FFFFFFFF"/>
      <name val="Times New Roman"/>
      <charset val="1"/>
    </font>
    <font>
      <b/>
      <sz val="10"/>
      <color rgb="FF2E5C8A"/>
      <name val="Times New Roman"/>
      <charset val="1"/>
    </font>
    <font>
      <b/>
      <sz val="12"/>
      <color rgb="FFFFFFFF"/>
      <name val="Times New Roman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2A44"/>
      </patternFill>
    </fill>
    <fill>
      <patternFill patternType="solid">
        <fgColor rgb="FFDEEBF7"/>
        <bgColor rgb="FFD9E6F5"/>
      </patternFill>
    </fill>
    <fill>
      <patternFill patternType="solid">
        <fgColor rgb="FF2E5C8A"/>
        <bgColor rgb="FF1F4E7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8FAADC"/>
      </left>
      <right style="thin">
        <color rgb="FF8FAADC"/>
      </right>
      <top style="thin">
        <color rgb="FF8FAADC"/>
      </top>
      <bottom style="thin">
        <color rgb="FF8FAAD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5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4" fontId="8" fillId="3" borderId="1" xfId="0" applyNumberFormat="1" applyFont="1" applyFill="1" applyBorder="1" applyAlignment="1">
      <alignment horizontal="center" vertical="center"/>
    </xf>
    <xf numFmtId="168" fontId="8" fillId="3" borderId="1" xfId="0" applyNumberFormat="1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/>
    <xf numFmtId="0" fontId="3" fillId="2" borderId="0" xfId="0" applyFont="1" applyFill="1" applyAlignment="1">
      <alignment horizontal="left" vertical="center" indent="1"/>
    </xf>
    <xf numFmtId="0" fontId="2" fillId="0" borderId="0" xfId="0" applyFont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3" fontId="12" fillId="0" borderId="0" xfId="0" applyNumberFormat="1" applyFont="1"/>
    <xf numFmtId="166" fontId="12" fillId="0" borderId="0" xfId="0" applyNumberFormat="1" applyFont="1"/>
    <xf numFmtId="3" fontId="11" fillId="0" borderId="0" xfId="0" applyNumberFormat="1" applyFont="1" applyAlignment="1">
      <alignment horizontal="center"/>
    </xf>
    <xf numFmtId="0" fontId="13" fillId="0" borderId="0" xfId="0" applyFont="1"/>
    <xf numFmtId="0" fontId="4" fillId="3" borderId="0" xfId="0" applyFont="1" applyFill="1"/>
    <xf numFmtId="49" fontId="11" fillId="3" borderId="0" xfId="0" applyNumberFormat="1" applyFont="1" applyFill="1"/>
    <xf numFmtId="168" fontId="12" fillId="0" borderId="0" xfId="0" applyNumberFormat="1" applyFont="1"/>
    <xf numFmtId="167" fontId="12" fillId="0" borderId="0" xfId="0" applyNumberFormat="1" applyFont="1"/>
    <xf numFmtId="3" fontId="11" fillId="3" borderId="0" xfId="0" applyNumberFormat="1" applyFont="1" applyFill="1"/>
    <xf numFmtId="168" fontId="11" fillId="3" borderId="0" xfId="0" applyNumberFormat="1" applyFont="1" applyFill="1"/>
    <xf numFmtId="0" fontId="16" fillId="2" borderId="0" xfId="0" applyFont="1" applyFill="1" applyAlignment="1">
      <alignment horizontal="left" vertical="center" indent="1"/>
    </xf>
    <xf numFmtId="0" fontId="4" fillId="3" borderId="0" xfId="0" applyFont="1" applyFill="1"/>
    <xf numFmtId="49" fontId="17" fillId="5" borderId="0" xfId="0" applyNumberFormat="1" applyFont="1" applyFill="1"/>
    <xf numFmtId="165" fontId="17" fillId="5" borderId="0" xfId="0" applyNumberFormat="1" applyFont="1" applyFill="1"/>
    <xf numFmtId="169" fontId="17" fillId="5" borderId="0" xfId="0" applyNumberFormat="1" applyFont="1" applyFill="1"/>
    <xf numFmtId="3" fontId="17" fillId="5" borderId="0" xfId="0" applyNumberFormat="1" applyFont="1" applyFill="1"/>
    <xf numFmtId="164" fontId="17" fillId="5" borderId="0" xfId="0" applyNumberFormat="1" applyFont="1" applyFill="1"/>
    <xf numFmtId="0" fontId="18" fillId="4" borderId="0" xfId="0" applyFont="1" applyFill="1" applyAlignment="1">
      <alignment horizontal="left" vertical="center" inden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BDD7EE"/>
        </patternFill>
      </fill>
    </dxf>
    <dxf>
      <fill>
        <patternFill>
          <bgColor rgb="FFF4B6B6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472A8"/>
      <rgbColor rgb="FFD9D9D9"/>
      <rgbColor rgb="FF878787"/>
      <rgbColor rgb="FF8FAADC"/>
      <rgbColor rgb="FFAB4744"/>
      <rgbColor rgb="FFFFFFCC"/>
      <rgbColor rgb="FFDEEBF7"/>
      <rgbColor rgb="FF660066"/>
      <rgbColor rgb="FFDC853E"/>
      <rgbColor rgb="FF2E5C8A"/>
      <rgbColor rgb="FFBDD7EE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D9E6F5"/>
      <rgbColor rgb="FFCCFFCC"/>
      <rgbColor rgb="FFFFFF99"/>
      <rgbColor rgb="FF9DC3E6"/>
      <rgbColor rgb="FFFF99CC"/>
      <rgbColor rgb="FFCC99FF"/>
      <rgbColor rgb="FFF4B6B6"/>
      <rgbColor rgb="FF2E75B6"/>
      <rgbColor rgb="FF33CCCC"/>
      <rgbColor rgb="FF99CC00"/>
      <rgbColor rgb="FFFFCC00"/>
      <rgbColor rgb="FFFF9900"/>
      <rgbColor rgb="FFFF6600"/>
      <rgbColor rgb="FF725990"/>
      <rgbColor rgb="FF93A9CE"/>
      <rgbColor rgb="FF1F3864"/>
      <rgbColor rgb="FF4299B0"/>
      <rgbColor rgb="FF003300"/>
      <rgbColor rgb="FF333300"/>
      <rgbColor rgb="FF993300"/>
      <rgbColor rgb="FF993366"/>
      <rgbColor rgb="FF1F4E7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Transaction Volume (Mn)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Monthly_Statistics!$D$10</c:f>
              <c:strCache>
                <c:ptCount val="1"/>
                <c:pt idx="0">
                  <c:v>volume_millions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Monthly_Statistics!$D$11:$D$113</c:f>
              <c:numCache>
                <c:formatCode>General</c:formatCode>
                <c:ptCount val="103"/>
                <c:pt idx="0">
                  <c:v>0.09</c:v>
                </c:pt>
                <c:pt idx="1">
                  <c:v>0.13</c:v>
                </c:pt>
                <c:pt idx="2">
                  <c:v>0.3</c:v>
                </c:pt>
                <c:pt idx="3">
                  <c:v>0.5</c:v>
                </c:pt>
                <c:pt idx="4">
                  <c:v>2</c:v>
                </c:pt>
                <c:pt idx="5">
                  <c:v>4.2</c:v>
                </c:pt>
                <c:pt idx="6">
                  <c:v>4.2</c:v>
                </c:pt>
                <c:pt idx="7">
                  <c:v>6.2</c:v>
                </c:pt>
                <c:pt idx="8">
                  <c:v>6.9</c:v>
                </c:pt>
                <c:pt idx="9">
                  <c:v>9.3000000000000007</c:v>
                </c:pt>
                <c:pt idx="10">
                  <c:v>10.199999999999999</c:v>
                </c:pt>
                <c:pt idx="11">
                  <c:v>16.600000000000001</c:v>
                </c:pt>
                <c:pt idx="12">
                  <c:v>30.8</c:v>
                </c:pt>
                <c:pt idx="13">
                  <c:v>52.9</c:v>
                </c:pt>
                <c:pt idx="14">
                  <c:v>76.8</c:v>
                </c:pt>
                <c:pt idx="15">
                  <c:v>104.8</c:v>
                </c:pt>
                <c:pt idx="16">
                  <c:v>145.5</c:v>
                </c:pt>
                <c:pt idx="17">
                  <c:v>151.80000000000001</c:v>
                </c:pt>
                <c:pt idx="18">
                  <c:v>171.4</c:v>
                </c:pt>
                <c:pt idx="19">
                  <c:v>178.1</c:v>
                </c:pt>
                <c:pt idx="20">
                  <c:v>190</c:v>
                </c:pt>
                <c:pt idx="21">
                  <c:v>224.6</c:v>
                </c:pt>
                <c:pt idx="22">
                  <c:v>246.4</c:v>
                </c:pt>
                <c:pt idx="23">
                  <c:v>235.7</c:v>
                </c:pt>
                <c:pt idx="24">
                  <c:v>312.3</c:v>
                </c:pt>
                <c:pt idx="25">
                  <c:v>405.8</c:v>
                </c:pt>
                <c:pt idx="26">
                  <c:v>482.3</c:v>
                </c:pt>
                <c:pt idx="27">
                  <c:v>524.9</c:v>
                </c:pt>
                <c:pt idx="28">
                  <c:v>620.9</c:v>
                </c:pt>
                <c:pt idx="29">
                  <c:v>672.7</c:v>
                </c:pt>
                <c:pt idx="30">
                  <c:v>674.2</c:v>
                </c:pt>
                <c:pt idx="31">
                  <c:v>799.5</c:v>
                </c:pt>
                <c:pt idx="32">
                  <c:v>782</c:v>
                </c:pt>
                <c:pt idx="33">
                  <c:v>733.4</c:v>
                </c:pt>
                <c:pt idx="34">
                  <c:v>754.5</c:v>
                </c:pt>
                <c:pt idx="35">
                  <c:v>822.3</c:v>
                </c:pt>
                <c:pt idx="36">
                  <c:v>918.3</c:v>
                </c:pt>
                <c:pt idx="37">
                  <c:v>955</c:v>
                </c:pt>
                <c:pt idx="38">
                  <c:v>1148.4000000000001</c:v>
                </c:pt>
                <c:pt idx="39">
                  <c:v>1218.8</c:v>
                </c:pt>
                <c:pt idx="40">
                  <c:v>1308.4000000000001</c:v>
                </c:pt>
                <c:pt idx="41">
                  <c:v>1302.4000000000001</c:v>
                </c:pt>
                <c:pt idx="42">
                  <c:v>1325.7</c:v>
                </c:pt>
                <c:pt idx="43">
                  <c:v>1246.8</c:v>
                </c:pt>
                <c:pt idx="44">
                  <c:v>999.6</c:v>
                </c:pt>
                <c:pt idx="45">
                  <c:v>1234.5</c:v>
                </c:pt>
                <c:pt idx="46">
                  <c:v>1340.1</c:v>
                </c:pt>
                <c:pt idx="47">
                  <c:v>1497.4</c:v>
                </c:pt>
                <c:pt idx="48">
                  <c:v>1618.8</c:v>
                </c:pt>
                <c:pt idx="49">
                  <c:v>1800.1</c:v>
                </c:pt>
                <c:pt idx="50">
                  <c:v>2071.1999999999998</c:v>
                </c:pt>
                <c:pt idx="51">
                  <c:v>2210.4</c:v>
                </c:pt>
                <c:pt idx="52">
                  <c:v>2233.5</c:v>
                </c:pt>
                <c:pt idx="53">
                  <c:v>2302.6999999999998</c:v>
                </c:pt>
                <c:pt idx="54">
                  <c:v>2292.4</c:v>
                </c:pt>
                <c:pt idx="55">
                  <c:v>2731.8</c:v>
                </c:pt>
                <c:pt idx="56">
                  <c:v>2641.2</c:v>
                </c:pt>
                <c:pt idx="57">
                  <c:v>2536.5</c:v>
                </c:pt>
                <c:pt idx="58">
                  <c:v>2802.3</c:v>
                </c:pt>
                <c:pt idx="59">
                  <c:v>3243</c:v>
                </c:pt>
                <c:pt idx="60">
                  <c:v>3554.8</c:v>
                </c:pt>
                <c:pt idx="61">
                  <c:v>3652</c:v>
                </c:pt>
                <c:pt idx="62">
                  <c:v>4218.5</c:v>
                </c:pt>
                <c:pt idx="63">
                  <c:v>4186.3999999999996</c:v>
                </c:pt>
                <c:pt idx="64">
                  <c:v>4560.7</c:v>
                </c:pt>
                <c:pt idx="65">
                  <c:v>4622.3</c:v>
                </c:pt>
                <c:pt idx="66">
                  <c:v>4527.5</c:v>
                </c:pt>
                <c:pt idx="67">
                  <c:v>5404.4</c:v>
                </c:pt>
                <c:pt idx="68">
                  <c:v>5580</c:v>
                </c:pt>
                <c:pt idx="69">
                  <c:v>5955</c:v>
                </c:pt>
                <c:pt idx="70">
                  <c:v>5860</c:v>
                </c:pt>
                <c:pt idx="71">
                  <c:v>6280</c:v>
                </c:pt>
                <c:pt idx="72">
                  <c:v>6579</c:v>
                </c:pt>
                <c:pt idx="73">
                  <c:v>6781</c:v>
                </c:pt>
                <c:pt idx="74">
                  <c:v>7305</c:v>
                </c:pt>
                <c:pt idx="75">
                  <c:v>7310</c:v>
                </c:pt>
                <c:pt idx="76">
                  <c:v>7829</c:v>
                </c:pt>
                <c:pt idx="77">
                  <c:v>8038</c:v>
                </c:pt>
                <c:pt idx="78">
                  <c:v>7540</c:v>
                </c:pt>
                <c:pt idx="79">
                  <c:v>8657</c:v>
                </c:pt>
                <c:pt idx="80">
                  <c:v>8895</c:v>
                </c:pt>
                <c:pt idx="81">
                  <c:v>9017</c:v>
                </c:pt>
                <c:pt idx="82">
                  <c:v>9335</c:v>
                </c:pt>
                <c:pt idx="83">
                  <c:v>9964</c:v>
                </c:pt>
                <c:pt idx="84">
                  <c:v>10584</c:v>
                </c:pt>
                <c:pt idx="85">
                  <c:v>10566</c:v>
                </c:pt>
                <c:pt idx="86">
                  <c:v>11400</c:v>
                </c:pt>
                <c:pt idx="87">
                  <c:v>11165</c:v>
                </c:pt>
                <c:pt idx="88">
                  <c:v>12020</c:v>
                </c:pt>
                <c:pt idx="89">
                  <c:v>12203</c:v>
                </c:pt>
                <c:pt idx="90">
                  <c:v>11439</c:v>
                </c:pt>
                <c:pt idx="91">
                  <c:v>13445</c:v>
                </c:pt>
                <c:pt idx="92">
                  <c:v>13322</c:v>
                </c:pt>
                <c:pt idx="93">
                  <c:v>14036</c:v>
                </c:pt>
                <c:pt idx="94">
                  <c:v>13885</c:v>
                </c:pt>
                <c:pt idx="95">
                  <c:v>14437</c:v>
                </c:pt>
                <c:pt idx="96">
                  <c:v>15044</c:v>
                </c:pt>
                <c:pt idx="97">
                  <c:v>15040</c:v>
                </c:pt>
                <c:pt idx="98">
                  <c:v>16584</c:v>
                </c:pt>
                <c:pt idx="99">
                  <c:v>15487</c:v>
                </c:pt>
                <c:pt idx="100">
                  <c:v>16727</c:v>
                </c:pt>
                <c:pt idx="101">
                  <c:v>16994</c:v>
                </c:pt>
                <c:pt idx="102">
                  <c:v>15650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EA-4716-A8C7-DC3D815E6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104213"/>
        <c:axId val="61510611"/>
      </c:lineChart>
      <c:catAx>
        <c:axId val="87104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10611"/>
        <c:crosses val="autoZero"/>
        <c:auto val="1"/>
        <c:lblAlgn val="ctr"/>
        <c:lblOffset val="100"/>
        <c:noMultiLvlLbl val="0"/>
      </c:catAx>
      <c:valAx>
        <c:axId val="61510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04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Transaction Value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Monthly_Statistics!$T$10</c:f>
              <c:strCache>
                <c:ptCount val="1"/>
                <c:pt idx="0">
                  <c:v>Volume (Mn)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Monthly_Statistics!$C$15:$C$117</c:f>
              <c:strCache>
                <c:ptCount val="99"/>
                <c:pt idx="0">
                  <c:v>2016-12-01</c:v>
                </c:pt>
                <c:pt idx="1">
                  <c:v>2017-01-01</c:v>
                </c:pt>
                <c:pt idx="2">
                  <c:v>2017-02-01</c:v>
                </c:pt>
                <c:pt idx="3">
                  <c:v>2017-03-01</c:v>
                </c:pt>
                <c:pt idx="4">
                  <c:v>2017-04-01</c:v>
                </c:pt>
                <c:pt idx="5">
                  <c:v>2017-05-01</c:v>
                </c:pt>
                <c:pt idx="6">
                  <c:v>2017-06-01</c:v>
                </c:pt>
                <c:pt idx="7">
                  <c:v>2017-07-01</c:v>
                </c:pt>
                <c:pt idx="8">
                  <c:v>2017-08-01</c:v>
                </c:pt>
                <c:pt idx="9">
                  <c:v>2017-09-01</c:v>
                </c:pt>
                <c:pt idx="10">
                  <c:v>2017-10-01</c:v>
                </c:pt>
                <c:pt idx="11">
                  <c:v>2017-11-01</c:v>
                </c:pt>
                <c:pt idx="12">
                  <c:v>2017-12-01</c:v>
                </c:pt>
                <c:pt idx="13">
                  <c:v>2018-01-01</c:v>
                </c:pt>
                <c:pt idx="14">
                  <c:v>2018-02-01</c:v>
                </c:pt>
                <c:pt idx="15">
                  <c:v>2018-03-01</c:v>
                </c:pt>
                <c:pt idx="16">
                  <c:v>2018-04-01</c:v>
                </c:pt>
                <c:pt idx="17">
                  <c:v>2018-05-01</c:v>
                </c:pt>
                <c:pt idx="18">
                  <c:v>2018-06-01</c:v>
                </c:pt>
                <c:pt idx="19">
                  <c:v>2018-07-01</c:v>
                </c:pt>
                <c:pt idx="20">
                  <c:v>2018-08-01</c:v>
                </c:pt>
                <c:pt idx="21">
                  <c:v>2018-09-01</c:v>
                </c:pt>
                <c:pt idx="22">
                  <c:v>2018-10-01</c:v>
                </c:pt>
                <c:pt idx="23">
                  <c:v>2018-11-01</c:v>
                </c:pt>
                <c:pt idx="24">
                  <c:v>2018-12-01</c:v>
                </c:pt>
                <c:pt idx="25">
                  <c:v>2019-01-01</c:v>
                </c:pt>
                <c:pt idx="26">
                  <c:v>2019-02-01</c:v>
                </c:pt>
                <c:pt idx="27">
                  <c:v>2019-03-01</c:v>
                </c:pt>
                <c:pt idx="28">
                  <c:v>2019-04-01</c:v>
                </c:pt>
                <c:pt idx="29">
                  <c:v>2019-05-01</c:v>
                </c:pt>
                <c:pt idx="30">
                  <c:v>2019-06-01</c:v>
                </c:pt>
                <c:pt idx="31">
                  <c:v>2019-07-01</c:v>
                </c:pt>
                <c:pt idx="32">
                  <c:v>2019-08-01</c:v>
                </c:pt>
                <c:pt idx="33">
                  <c:v>2019-09-01</c:v>
                </c:pt>
                <c:pt idx="34">
                  <c:v>2019-10-01</c:v>
                </c:pt>
                <c:pt idx="35">
                  <c:v>2019-11-01</c:v>
                </c:pt>
                <c:pt idx="36">
                  <c:v>2019-12-01</c:v>
                </c:pt>
                <c:pt idx="37">
                  <c:v>2020-01-01</c:v>
                </c:pt>
                <c:pt idx="38">
                  <c:v>2020-02-01</c:v>
                </c:pt>
                <c:pt idx="39">
                  <c:v>2020-03-01</c:v>
                </c:pt>
                <c:pt idx="40">
                  <c:v>2020-04-01</c:v>
                </c:pt>
                <c:pt idx="41">
                  <c:v>2020-05-01</c:v>
                </c:pt>
                <c:pt idx="42">
                  <c:v>2020-06-01</c:v>
                </c:pt>
                <c:pt idx="43">
                  <c:v>2020-07-01</c:v>
                </c:pt>
                <c:pt idx="44">
                  <c:v>2020-08-01</c:v>
                </c:pt>
                <c:pt idx="45">
                  <c:v>2020-09-01</c:v>
                </c:pt>
                <c:pt idx="46">
                  <c:v>2020-10-01</c:v>
                </c:pt>
                <c:pt idx="47">
                  <c:v>2020-11-01</c:v>
                </c:pt>
                <c:pt idx="48">
                  <c:v>2020-12-01</c:v>
                </c:pt>
                <c:pt idx="49">
                  <c:v>2021-01-01</c:v>
                </c:pt>
                <c:pt idx="50">
                  <c:v>2021-02-01</c:v>
                </c:pt>
                <c:pt idx="51">
                  <c:v>2021-03-01</c:v>
                </c:pt>
                <c:pt idx="52">
                  <c:v>2021-04-01</c:v>
                </c:pt>
                <c:pt idx="53">
                  <c:v>2021-05-01</c:v>
                </c:pt>
                <c:pt idx="54">
                  <c:v>2021-06-01</c:v>
                </c:pt>
                <c:pt idx="55">
                  <c:v>2021-07-01</c:v>
                </c:pt>
                <c:pt idx="56">
                  <c:v>2021-08-01</c:v>
                </c:pt>
                <c:pt idx="57">
                  <c:v>2021-09-01</c:v>
                </c:pt>
                <c:pt idx="58">
                  <c:v>2021-10-01</c:v>
                </c:pt>
                <c:pt idx="59">
                  <c:v>2021-11-01</c:v>
                </c:pt>
                <c:pt idx="60">
                  <c:v>2021-12-01</c:v>
                </c:pt>
                <c:pt idx="61">
                  <c:v>2022-01-01</c:v>
                </c:pt>
                <c:pt idx="62">
                  <c:v>2022-02-01</c:v>
                </c:pt>
                <c:pt idx="63">
                  <c:v>2022-03-01</c:v>
                </c:pt>
                <c:pt idx="64">
                  <c:v>2022-04-01</c:v>
                </c:pt>
                <c:pt idx="65">
                  <c:v>2022-05-01</c:v>
                </c:pt>
                <c:pt idx="66">
                  <c:v>2022-06-01</c:v>
                </c:pt>
                <c:pt idx="67">
                  <c:v>2022-07-01</c:v>
                </c:pt>
                <c:pt idx="68">
                  <c:v>2022-08-01</c:v>
                </c:pt>
                <c:pt idx="69">
                  <c:v>2022-09-01</c:v>
                </c:pt>
                <c:pt idx="70">
                  <c:v>2022-10-01</c:v>
                </c:pt>
                <c:pt idx="71">
                  <c:v>2022-11-01</c:v>
                </c:pt>
                <c:pt idx="72">
                  <c:v>2022-12-01</c:v>
                </c:pt>
                <c:pt idx="73">
                  <c:v>2023-01-01</c:v>
                </c:pt>
                <c:pt idx="74">
                  <c:v>2023-02-01</c:v>
                </c:pt>
                <c:pt idx="75">
                  <c:v>2023-03-01</c:v>
                </c:pt>
                <c:pt idx="76">
                  <c:v>2023-04-01</c:v>
                </c:pt>
                <c:pt idx="77">
                  <c:v>2023-05-01</c:v>
                </c:pt>
                <c:pt idx="78">
                  <c:v>2023-06-01</c:v>
                </c:pt>
                <c:pt idx="79">
                  <c:v>2023-07-01</c:v>
                </c:pt>
                <c:pt idx="80">
                  <c:v>2023-08-01</c:v>
                </c:pt>
                <c:pt idx="81">
                  <c:v>2023-09-01</c:v>
                </c:pt>
                <c:pt idx="82">
                  <c:v>2023-10-01</c:v>
                </c:pt>
                <c:pt idx="83">
                  <c:v>2023-11-01</c:v>
                </c:pt>
                <c:pt idx="84">
                  <c:v>2023-12-01</c:v>
                </c:pt>
                <c:pt idx="85">
                  <c:v>2024-01-01</c:v>
                </c:pt>
                <c:pt idx="86">
                  <c:v>2024-02-01</c:v>
                </c:pt>
                <c:pt idx="87">
                  <c:v>2024-03-01</c:v>
                </c:pt>
                <c:pt idx="88">
                  <c:v>2024-04-01</c:v>
                </c:pt>
                <c:pt idx="89">
                  <c:v>2024-05-01</c:v>
                </c:pt>
                <c:pt idx="90">
                  <c:v>2024-06-01</c:v>
                </c:pt>
                <c:pt idx="91">
                  <c:v>2024-07-01</c:v>
                </c:pt>
                <c:pt idx="92">
                  <c:v>2024-08-01</c:v>
                </c:pt>
                <c:pt idx="93">
                  <c:v>2024-09-01</c:v>
                </c:pt>
                <c:pt idx="94">
                  <c:v>2024-10-01</c:v>
                </c:pt>
                <c:pt idx="95">
                  <c:v>2024-11-01</c:v>
                </c:pt>
                <c:pt idx="96">
                  <c:v>2024-12-01</c:v>
                </c:pt>
                <c:pt idx="97">
                  <c:v>2025-01-01</c:v>
                </c:pt>
                <c:pt idx="98">
                  <c:v>2025-02-01</c:v>
                </c:pt>
              </c:strCache>
            </c:strRef>
          </c:cat>
          <c:val>
            <c:numRef>
              <c:f>Monthly_Statistics!$T$15:$T$117</c:f>
              <c:numCache>
                <c:formatCode>#,##0</c:formatCode>
                <c:ptCount val="103"/>
                <c:pt idx="0">
                  <c:v>18880.5</c:v>
                </c:pt>
                <c:pt idx="1">
                  <c:v>38722.299999999996</c:v>
                </c:pt>
                <c:pt idx="2">
                  <c:v>74033.2</c:v>
                </c:pt>
                <c:pt idx="3">
                  <c:v>117181</c:v>
                </c:pt>
                <c:pt idx="4">
                  <c:v>171649</c:v>
                </c:pt>
                <c:pt idx="5">
                  <c:v>32644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75-40DF-AE23-E59FA9DB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947259"/>
        <c:axId val="62411363"/>
      </c:lineChart>
      <c:catAx>
        <c:axId val="829472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11363"/>
        <c:crosses val="autoZero"/>
        <c:auto val="1"/>
        <c:lblAlgn val="ctr"/>
        <c:lblOffset val="100"/>
        <c:noMultiLvlLbl val="0"/>
      </c:catAx>
      <c:valAx>
        <c:axId val="62411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47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Banks Live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Monthly_Statistics!$I$10</c:f>
              <c:strCache>
                <c:ptCount val="1"/>
                <c:pt idx="0">
                  <c:v>banks_live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Monthly_Statistics!$I$11:$I$113</c:f>
              <c:numCache>
                <c:formatCode>General</c:formatCode>
                <c:ptCount val="10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26</c:v>
                </c:pt>
                <c:pt idx="8">
                  <c:v>26</c:v>
                </c:pt>
                <c:pt idx="9">
                  <c:v>30</c:v>
                </c:pt>
                <c:pt idx="10">
                  <c:v>33</c:v>
                </c:pt>
                <c:pt idx="11">
                  <c:v>38</c:v>
                </c:pt>
                <c:pt idx="12">
                  <c:v>40</c:v>
                </c:pt>
                <c:pt idx="13">
                  <c:v>43</c:v>
                </c:pt>
                <c:pt idx="14">
                  <c:v>46</c:v>
                </c:pt>
                <c:pt idx="15">
                  <c:v>48</c:v>
                </c:pt>
                <c:pt idx="16">
                  <c:v>49</c:v>
                </c:pt>
                <c:pt idx="17">
                  <c:v>51</c:v>
                </c:pt>
                <c:pt idx="18">
                  <c:v>55</c:v>
                </c:pt>
                <c:pt idx="19">
                  <c:v>59</c:v>
                </c:pt>
                <c:pt idx="20">
                  <c:v>71</c:v>
                </c:pt>
                <c:pt idx="21">
                  <c:v>78</c:v>
                </c:pt>
                <c:pt idx="22">
                  <c:v>87</c:v>
                </c:pt>
                <c:pt idx="23">
                  <c:v>91</c:v>
                </c:pt>
                <c:pt idx="24">
                  <c:v>100</c:v>
                </c:pt>
                <c:pt idx="25">
                  <c:v>114</c:v>
                </c:pt>
                <c:pt idx="26">
                  <c:v>117</c:v>
                </c:pt>
                <c:pt idx="27">
                  <c:v>122</c:v>
                </c:pt>
                <c:pt idx="28">
                  <c:v>128</c:v>
                </c:pt>
                <c:pt idx="29">
                  <c:v>133</c:v>
                </c:pt>
                <c:pt idx="30">
                  <c:v>139</c:v>
                </c:pt>
                <c:pt idx="31">
                  <c:v>143</c:v>
                </c:pt>
                <c:pt idx="32">
                  <c:v>148</c:v>
                </c:pt>
                <c:pt idx="33">
                  <c:v>148</c:v>
                </c:pt>
                <c:pt idx="34">
                  <c:v>149</c:v>
                </c:pt>
                <c:pt idx="35">
                  <c:v>152</c:v>
                </c:pt>
                <c:pt idx="36">
                  <c:v>155</c:v>
                </c:pt>
                <c:pt idx="37">
                  <c:v>158</c:v>
                </c:pt>
                <c:pt idx="38">
                  <c:v>160</c:v>
                </c:pt>
                <c:pt idx="39">
                  <c:v>163</c:v>
                </c:pt>
                <c:pt idx="40">
                  <c:v>168</c:v>
                </c:pt>
                <c:pt idx="41">
                  <c:v>172</c:v>
                </c:pt>
                <c:pt idx="42">
                  <c:v>176</c:v>
                </c:pt>
                <c:pt idx="43">
                  <c:v>179</c:v>
                </c:pt>
                <c:pt idx="44">
                  <c:v>185</c:v>
                </c:pt>
                <c:pt idx="45">
                  <c:v>190</c:v>
                </c:pt>
                <c:pt idx="46">
                  <c:v>193</c:v>
                </c:pt>
                <c:pt idx="47">
                  <c:v>196</c:v>
                </c:pt>
                <c:pt idx="48">
                  <c:v>200</c:v>
                </c:pt>
                <c:pt idx="49">
                  <c:v>205</c:v>
                </c:pt>
                <c:pt idx="50">
                  <c:v>207</c:v>
                </c:pt>
                <c:pt idx="51">
                  <c:v>210</c:v>
                </c:pt>
                <c:pt idx="52">
                  <c:v>215</c:v>
                </c:pt>
                <c:pt idx="53">
                  <c:v>220</c:v>
                </c:pt>
                <c:pt idx="54">
                  <c:v>224</c:v>
                </c:pt>
                <c:pt idx="55">
                  <c:v>230</c:v>
                </c:pt>
                <c:pt idx="56">
                  <c:v>235</c:v>
                </c:pt>
                <c:pt idx="57">
                  <c:v>240</c:v>
                </c:pt>
                <c:pt idx="58">
                  <c:v>244</c:v>
                </c:pt>
                <c:pt idx="59">
                  <c:v>249</c:v>
                </c:pt>
                <c:pt idx="60">
                  <c:v>254</c:v>
                </c:pt>
                <c:pt idx="61">
                  <c:v>259</c:v>
                </c:pt>
                <c:pt idx="62">
                  <c:v>263</c:v>
                </c:pt>
                <c:pt idx="63">
                  <c:v>268</c:v>
                </c:pt>
                <c:pt idx="64">
                  <c:v>274</c:v>
                </c:pt>
                <c:pt idx="65">
                  <c:v>280</c:v>
                </c:pt>
                <c:pt idx="66">
                  <c:v>286</c:v>
                </c:pt>
                <c:pt idx="67">
                  <c:v>292</c:v>
                </c:pt>
                <c:pt idx="68">
                  <c:v>299</c:v>
                </c:pt>
                <c:pt idx="69">
                  <c:v>305</c:v>
                </c:pt>
                <c:pt idx="70">
                  <c:v>310</c:v>
                </c:pt>
                <c:pt idx="71">
                  <c:v>316</c:v>
                </c:pt>
                <c:pt idx="72">
                  <c:v>321</c:v>
                </c:pt>
                <c:pt idx="73">
                  <c:v>326</c:v>
                </c:pt>
                <c:pt idx="74">
                  <c:v>330</c:v>
                </c:pt>
                <c:pt idx="75">
                  <c:v>335</c:v>
                </c:pt>
                <c:pt idx="76">
                  <c:v>340</c:v>
                </c:pt>
                <c:pt idx="77">
                  <c:v>345</c:v>
                </c:pt>
                <c:pt idx="78">
                  <c:v>350</c:v>
                </c:pt>
                <c:pt idx="79">
                  <c:v>355</c:v>
                </c:pt>
                <c:pt idx="80">
                  <c:v>360</c:v>
                </c:pt>
                <c:pt idx="81">
                  <c:v>365</c:v>
                </c:pt>
                <c:pt idx="82">
                  <c:v>370</c:v>
                </c:pt>
                <c:pt idx="83">
                  <c:v>376</c:v>
                </c:pt>
                <c:pt idx="84">
                  <c:v>380</c:v>
                </c:pt>
                <c:pt idx="85">
                  <c:v>385</c:v>
                </c:pt>
                <c:pt idx="86">
                  <c:v>390</c:v>
                </c:pt>
                <c:pt idx="87">
                  <c:v>395</c:v>
                </c:pt>
                <c:pt idx="88">
                  <c:v>400</c:v>
                </c:pt>
                <c:pt idx="89">
                  <c:v>405</c:v>
                </c:pt>
                <c:pt idx="90">
                  <c:v>409</c:v>
                </c:pt>
                <c:pt idx="91">
                  <c:v>414</c:v>
                </c:pt>
                <c:pt idx="92">
                  <c:v>418</c:v>
                </c:pt>
                <c:pt idx="93">
                  <c:v>422</c:v>
                </c:pt>
                <c:pt idx="94">
                  <c:v>426</c:v>
                </c:pt>
                <c:pt idx="95">
                  <c:v>430</c:v>
                </c:pt>
                <c:pt idx="96">
                  <c:v>434</c:v>
                </c:pt>
                <c:pt idx="97">
                  <c:v>438</c:v>
                </c:pt>
                <c:pt idx="98">
                  <c:v>442</c:v>
                </c:pt>
                <c:pt idx="99">
                  <c:v>445</c:v>
                </c:pt>
                <c:pt idx="100">
                  <c:v>449</c:v>
                </c:pt>
                <c:pt idx="101">
                  <c:v>452</c:v>
                </c:pt>
                <c:pt idx="102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7F-4613-9273-EB77DF3DD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488638"/>
        <c:axId val="77525448"/>
      </c:lineChart>
      <c:catAx>
        <c:axId val="354886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25448"/>
        <c:crosses val="autoZero"/>
        <c:auto val="1"/>
        <c:lblAlgn val="ctr"/>
        <c:lblOffset val="100"/>
        <c:noMultiLvlLbl val="0"/>
      </c:catAx>
      <c:valAx>
        <c:axId val="77525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488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Transaction Value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Monthly_Statistics!$J$10</c:f>
              <c:strCache>
                <c:ptCount val="1"/>
                <c:pt idx="0">
                  <c:v>avg_transaction_value_inr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Monthly_Statistics!$J$11:$J$113</c:f>
              <c:numCache>
                <c:formatCode>General</c:formatCode>
                <c:ptCount val="103"/>
                <c:pt idx="0">
                  <c:v>343.33</c:v>
                </c:pt>
                <c:pt idx="1">
                  <c:v>406.15</c:v>
                </c:pt>
                <c:pt idx="2">
                  <c:v>533.66999999999996</c:v>
                </c:pt>
                <c:pt idx="3">
                  <c:v>481</c:v>
                </c:pt>
                <c:pt idx="4">
                  <c:v>356.75</c:v>
                </c:pt>
                <c:pt idx="5">
                  <c:v>403.48</c:v>
                </c:pt>
                <c:pt idx="6">
                  <c:v>454.21</c:v>
                </c:pt>
                <c:pt idx="7">
                  <c:v>379.03</c:v>
                </c:pt>
                <c:pt idx="8">
                  <c:v>391.3</c:v>
                </c:pt>
                <c:pt idx="9">
                  <c:v>430.11</c:v>
                </c:pt>
                <c:pt idx="10">
                  <c:v>441.18</c:v>
                </c:pt>
                <c:pt idx="11">
                  <c:v>325.3</c:v>
                </c:pt>
                <c:pt idx="12">
                  <c:v>344.16</c:v>
                </c:pt>
                <c:pt idx="13">
                  <c:v>371.08</c:v>
                </c:pt>
                <c:pt idx="14">
                  <c:v>352.86</c:v>
                </c:pt>
                <c:pt idx="15">
                  <c:v>374.43</c:v>
                </c:pt>
                <c:pt idx="16">
                  <c:v>345.02</c:v>
                </c:pt>
                <c:pt idx="17">
                  <c:v>346.77</c:v>
                </c:pt>
                <c:pt idx="18">
                  <c:v>344.57</c:v>
                </c:pt>
                <c:pt idx="19">
                  <c:v>342.5</c:v>
                </c:pt>
                <c:pt idx="20">
                  <c:v>338.63</c:v>
                </c:pt>
                <c:pt idx="21">
                  <c:v>339.31</c:v>
                </c:pt>
                <c:pt idx="22">
                  <c:v>339.41</c:v>
                </c:pt>
                <c:pt idx="23">
                  <c:v>351.55</c:v>
                </c:pt>
                <c:pt idx="24">
                  <c:v>338.94</c:v>
                </c:pt>
                <c:pt idx="25">
                  <c:v>348.99</c:v>
                </c:pt>
                <c:pt idx="26">
                  <c:v>354.24</c:v>
                </c:pt>
                <c:pt idx="27">
                  <c:v>347.4</c:v>
                </c:pt>
                <c:pt idx="28">
                  <c:v>339.41</c:v>
                </c:pt>
                <c:pt idx="29">
                  <c:v>343.24</c:v>
                </c:pt>
                <c:pt idx="30">
                  <c:v>341.83</c:v>
                </c:pt>
                <c:pt idx="31">
                  <c:v>338.2</c:v>
                </c:pt>
                <c:pt idx="32">
                  <c:v>343.91</c:v>
                </c:pt>
                <c:pt idx="33">
                  <c:v>342.11</c:v>
                </c:pt>
                <c:pt idx="34">
                  <c:v>341.68</c:v>
                </c:pt>
                <c:pt idx="35">
                  <c:v>346.09</c:v>
                </c:pt>
                <c:pt idx="36">
                  <c:v>344.54</c:v>
                </c:pt>
                <c:pt idx="37">
                  <c:v>352.57</c:v>
                </c:pt>
                <c:pt idx="38">
                  <c:v>352.12</c:v>
                </c:pt>
                <c:pt idx="39">
                  <c:v>358.07</c:v>
                </c:pt>
                <c:pt idx="40">
                  <c:v>355.11</c:v>
                </c:pt>
                <c:pt idx="41">
                  <c:v>353.85</c:v>
                </c:pt>
                <c:pt idx="42">
                  <c:v>352.49</c:v>
                </c:pt>
                <c:pt idx="43">
                  <c:v>348.74</c:v>
                </c:pt>
                <c:pt idx="44">
                  <c:v>342.31</c:v>
                </c:pt>
                <c:pt idx="45">
                  <c:v>340.95</c:v>
                </c:pt>
                <c:pt idx="46">
                  <c:v>343.63</c:v>
                </c:pt>
                <c:pt idx="47">
                  <c:v>343.76</c:v>
                </c:pt>
                <c:pt idx="48">
                  <c:v>354.03</c:v>
                </c:pt>
                <c:pt idx="49">
                  <c:v>346.76</c:v>
                </c:pt>
                <c:pt idx="50">
                  <c:v>345.6</c:v>
                </c:pt>
                <c:pt idx="51">
                  <c:v>346.45</c:v>
                </c:pt>
                <c:pt idx="52">
                  <c:v>349.5</c:v>
                </c:pt>
                <c:pt idx="53">
                  <c:v>350.68</c:v>
                </c:pt>
                <c:pt idx="54">
                  <c:v>351.25</c:v>
                </c:pt>
                <c:pt idx="55">
                  <c:v>344.94</c:v>
                </c:pt>
                <c:pt idx="56">
                  <c:v>343.97</c:v>
                </c:pt>
                <c:pt idx="57">
                  <c:v>343.62</c:v>
                </c:pt>
                <c:pt idx="58">
                  <c:v>343.25</c:v>
                </c:pt>
                <c:pt idx="59">
                  <c:v>338.67</c:v>
                </c:pt>
                <c:pt idx="60">
                  <c:v>338.36</c:v>
                </c:pt>
                <c:pt idx="61">
                  <c:v>338.36</c:v>
                </c:pt>
                <c:pt idx="62">
                  <c:v>339.46</c:v>
                </c:pt>
                <c:pt idx="63">
                  <c:v>339.43</c:v>
                </c:pt>
                <c:pt idx="64">
                  <c:v>336.88</c:v>
                </c:pt>
                <c:pt idx="65">
                  <c:v>335.87</c:v>
                </c:pt>
                <c:pt idx="66">
                  <c:v>335.99</c:v>
                </c:pt>
                <c:pt idx="67">
                  <c:v>334.89</c:v>
                </c:pt>
                <c:pt idx="68">
                  <c:v>342.29</c:v>
                </c:pt>
                <c:pt idx="69">
                  <c:v>340.89</c:v>
                </c:pt>
                <c:pt idx="70">
                  <c:v>337.88</c:v>
                </c:pt>
                <c:pt idx="71">
                  <c:v>335.29</c:v>
                </c:pt>
                <c:pt idx="72">
                  <c:v>342.92</c:v>
                </c:pt>
                <c:pt idx="73">
                  <c:v>345.52</c:v>
                </c:pt>
                <c:pt idx="74">
                  <c:v>344.39</c:v>
                </c:pt>
                <c:pt idx="75">
                  <c:v>339.99</c:v>
                </c:pt>
                <c:pt idx="76">
                  <c:v>342.55</c:v>
                </c:pt>
                <c:pt idx="77">
                  <c:v>342.2</c:v>
                </c:pt>
                <c:pt idx="78">
                  <c:v>342.18</c:v>
                </c:pt>
                <c:pt idx="79">
                  <c:v>342.35</c:v>
                </c:pt>
                <c:pt idx="80">
                  <c:v>346.26</c:v>
                </c:pt>
                <c:pt idx="81">
                  <c:v>348.06</c:v>
                </c:pt>
                <c:pt idx="82">
                  <c:v>347.65</c:v>
                </c:pt>
                <c:pt idx="83">
                  <c:v>341.23</c:v>
                </c:pt>
                <c:pt idx="84">
                  <c:v>342.7</c:v>
                </c:pt>
                <c:pt idx="85">
                  <c:v>343.37</c:v>
                </c:pt>
                <c:pt idx="86">
                  <c:v>341.24</c:v>
                </c:pt>
                <c:pt idx="87">
                  <c:v>342.8</c:v>
                </c:pt>
                <c:pt idx="88">
                  <c:v>341.31</c:v>
                </c:pt>
                <c:pt idx="89">
                  <c:v>342.9</c:v>
                </c:pt>
                <c:pt idx="90">
                  <c:v>343.06</c:v>
                </c:pt>
                <c:pt idx="91">
                  <c:v>342.45</c:v>
                </c:pt>
                <c:pt idx="92">
                  <c:v>342.58</c:v>
                </c:pt>
                <c:pt idx="93">
                  <c:v>342.26</c:v>
                </c:pt>
                <c:pt idx="94">
                  <c:v>342.27</c:v>
                </c:pt>
                <c:pt idx="95">
                  <c:v>341.78</c:v>
                </c:pt>
                <c:pt idx="96">
                  <c:v>342.26</c:v>
                </c:pt>
                <c:pt idx="97">
                  <c:v>341.95</c:v>
                </c:pt>
                <c:pt idx="98">
                  <c:v>342.24</c:v>
                </c:pt>
                <c:pt idx="99">
                  <c:v>342.38</c:v>
                </c:pt>
                <c:pt idx="100">
                  <c:v>342.42</c:v>
                </c:pt>
                <c:pt idx="101">
                  <c:v>342.66</c:v>
                </c:pt>
                <c:pt idx="102">
                  <c:v>342.61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91-4EF6-B8FB-706E26AE0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521229"/>
        <c:axId val="7631805"/>
      </c:lineChart>
      <c:catAx>
        <c:axId val="295212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1805"/>
        <c:crosses val="autoZero"/>
        <c:auto val="1"/>
        <c:lblAlgn val="ctr"/>
        <c:lblOffset val="100"/>
        <c:noMultiLvlLbl val="0"/>
      </c:catAx>
      <c:valAx>
        <c:axId val="7631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1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Volume vs Value (Dual Axis)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Monthly_Statistics!$D$10</c:f>
              <c:strCache>
                <c:ptCount val="1"/>
                <c:pt idx="0">
                  <c:v>volume_millions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Monthly_Statistics!$D$11:$D$113</c:f>
              <c:numCache>
                <c:formatCode>General</c:formatCode>
                <c:ptCount val="103"/>
                <c:pt idx="0">
                  <c:v>0.09</c:v>
                </c:pt>
                <c:pt idx="1">
                  <c:v>0.13</c:v>
                </c:pt>
                <c:pt idx="2">
                  <c:v>0.3</c:v>
                </c:pt>
                <c:pt idx="3">
                  <c:v>0.5</c:v>
                </c:pt>
                <c:pt idx="4">
                  <c:v>2</c:v>
                </c:pt>
                <c:pt idx="5">
                  <c:v>4.2</c:v>
                </c:pt>
                <c:pt idx="6">
                  <c:v>4.2</c:v>
                </c:pt>
                <c:pt idx="7">
                  <c:v>6.2</c:v>
                </c:pt>
                <c:pt idx="8">
                  <c:v>6.9</c:v>
                </c:pt>
                <c:pt idx="9">
                  <c:v>9.3000000000000007</c:v>
                </c:pt>
                <c:pt idx="10">
                  <c:v>10.199999999999999</c:v>
                </c:pt>
                <c:pt idx="11">
                  <c:v>16.600000000000001</c:v>
                </c:pt>
                <c:pt idx="12">
                  <c:v>30.8</c:v>
                </c:pt>
                <c:pt idx="13">
                  <c:v>52.9</c:v>
                </c:pt>
                <c:pt idx="14">
                  <c:v>76.8</c:v>
                </c:pt>
                <c:pt idx="15">
                  <c:v>104.8</c:v>
                </c:pt>
                <c:pt idx="16">
                  <c:v>145.5</c:v>
                </c:pt>
                <c:pt idx="17">
                  <c:v>151.80000000000001</c:v>
                </c:pt>
                <c:pt idx="18">
                  <c:v>171.4</c:v>
                </c:pt>
                <c:pt idx="19">
                  <c:v>178.1</c:v>
                </c:pt>
                <c:pt idx="20">
                  <c:v>190</c:v>
                </c:pt>
                <c:pt idx="21">
                  <c:v>224.6</c:v>
                </c:pt>
                <c:pt idx="22">
                  <c:v>246.4</c:v>
                </c:pt>
                <c:pt idx="23">
                  <c:v>235.7</c:v>
                </c:pt>
                <c:pt idx="24">
                  <c:v>312.3</c:v>
                </c:pt>
                <c:pt idx="25">
                  <c:v>405.8</c:v>
                </c:pt>
                <c:pt idx="26">
                  <c:v>482.3</c:v>
                </c:pt>
                <c:pt idx="27">
                  <c:v>524.9</c:v>
                </c:pt>
                <c:pt idx="28">
                  <c:v>620.9</c:v>
                </c:pt>
                <c:pt idx="29">
                  <c:v>672.7</c:v>
                </c:pt>
                <c:pt idx="30">
                  <c:v>674.2</c:v>
                </c:pt>
                <c:pt idx="31">
                  <c:v>799.5</c:v>
                </c:pt>
                <c:pt idx="32">
                  <c:v>782</c:v>
                </c:pt>
                <c:pt idx="33">
                  <c:v>733.4</c:v>
                </c:pt>
                <c:pt idx="34">
                  <c:v>754.5</c:v>
                </c:pt>
                <c:pt idx="35">
                  <c:v>822.3</c:v>
                </c:pt>
                <c:pt idx="36">
                  <c:v>918.3</c:v>
                </c:pt>
                <c:pt idx="37">
                  <c:v>955</c:v>
                </c:pt>
                <c:pt idx="38">
                  <c:v>1148.4000000000001</c:v>
                </c:pt>
                <c:pt idx="39">
                  <c:v>1218.8</c:v>
                </c:pt>
                <c:pt idx="40">
                  <c:v>1308.4000000000001</c:v>
                </c:pt>
                <c:pt idx="41">
                  <c:v>1302.4000000000001</c:v>
                </c:pt>
                <c:pt idx="42">
                  <c:v>1325.7</c:v>
                </c:pt>
                <c:pt idx="43">
                  <c:v>1246.8</c:v>
                </c:pt>
                <c:pt idx="44">
                  <c:v>999.6</c:v>
                </c:pt>
                <c:pt idx="45">
                  <c:v>1234.5</c:v>
                </c:pt>
                <c:pt idx="46">
                  <c:v>1340.1</c:v>
                </c:pt>
                <c:pt idx="47">
                  <c:v>1497.4</c:v>
                </c:pt>
                <c:pt idx="48">
                  <c:v>1618.8</c:v>
                </c:pt>
                <c:pt idx="49">
                  <c:v>1800.1</c:v>
                </c:pt>
                <c:pt idx="50">
                  <c:v>2071.1999999999998</c:v>
                </c:pt>
                <c:pt idx="51">
                  <c:v>2210.4</c:v>
                </c:pt>
                <c:pt idx="52">
                  <c:v>2233.5</c:v>
                </c:pt>
                <c:pt idx="53">
                  <c:v>2302.6999999999998</c:v>
                </c:pt>
                <c:pt idx="54">
                  <c:v>2292.4</c:v>
                </c:pt>
                <c:pt idx="55">
                  <c:v>2731.8</c:v>
                </c:pt>
                <c:pt idx="56">
                  <c:v>2641.2</c:v>
                </c:pt>
                <c:pt idx="57">
                  <c:v>2536.5</c:v>
                </c:pt>
                <c:pt idx="58">
                  <c:v>2802.3</c:v>
                </c:pt>
                <c:pt idx="59">
                  <c:v>3243</c:v>
                </c:pt>
                <c:pt idx="60">
                  <c:v>3554.8</c:v>
                </c:pt>
                <c:pt idx="61">
                  <c:v>3652</c:v>
                </c:pt>
                <c:pt idx="62">
                  <c:v>4218.5</c:v>
                </c:pt>
                <c:pt idx="63">
                  <c:v>4186.3999999999996</c:v>
                </c:pt>
                <c:pt idx="64">
                  <c:v>4560.7</c:v>
                </c:pt>
                <c:pt idx="65">
                  <c:v>4622.3</c:v>
                </c:pt>
                <c:pt idx="66">
                  <c:v>4527.5</c:v>
                </c:pt>
                <c:pt idx="67">
                  <c:v>5404.4</c:v>
                </c:pt>
                <c:pt idx="68">
                  <c:v>5580</c:v>
                </c:pt>
                <c:pt idx="69">
                  <c:v>5955</c:v>
                </c:pt>
                <c:pt idx="70">
                  <c:v>5860</c:v>
                </c:pt>
                <c:pt idx="71">
                  <c:v>6280</c:v>
                </c:pt>
                <c:pt idx="72">
                  <c:v>6579</c:v>
                </c:pt>
                <c:pt idx="73">
                  <c:v>6781</c:v>
                </c:pt>
                <c:pt idx="74">
                  <c:v>7305</c:v>
                </c:pt>
                <c:pt idx="75">
                  <c:v>7310</c:v>
                </c:pt>
                <c:pt idx="76">
                  <c:v>7829</c:v>
                </c:pt>
                <c:pt idx="77">
                  <c:v>8038</c:v>
                </c:pt>
                <c:pt idx="78">
                  <c:v>7540</c:v>
                </c:pt>
                <c:pt idx="79">
                  <c:v>8657</c:v>
                </c:pt>
                <c:pt idx="80">
                  <c:v>8895</c:v>
                </c:pt>
                <c:pt idx="81">
                  <c:v>9017</c:v>
                </c:pt>
                <c:pt idx="82">
                  <c:v>9335</c:v>
                </c:pt>
                <c:pt idx="83">
                  <c:v>9964</c:v>
                </c:pt>
                <c:pt idx="84">
                  <c:v>10584</c:v>
                </c:pt>
                <c:pt idx="85">
                  <c:v>10566</c:v>
                </c:pt>
                <c:pt idx="86">
                  <c:v>11400</c:v>
                </c:pt>
                <c:pt idx="87">
                  <c:v>11165</c:v>
                </c:pt>
                <c:pt idx="88">
                  <c:v>12020</c:v>
                </c:pt>
                <c:pt idx="89">
                  <c:v>12203</c:v>
                </c:pt>
                <c:pt idx="90">
                  <c:v>11439</c:v>
                </c:pt>
                <c:pt idx="91">
                  <c:v>13445</c:v>
                </c:pt>
                <c:pt idx="92">
                  <c:v>13322</c:v>
                </c:pt>
                <c:pt idx="93">
                  <c:v>14036</c:v>
                </c:pt>
                <c:pt idx="94">
                  <c:v>13885</c:v>
                </c:pt>
                <c:pt idx="95">
                  <c:v>14437</c:v>
                </c:pt>
                <c:pt idx="96">
                  <c:v>15044</c:v>
                </c:pt>
                <c:pt idx="97">
                  <c:v>15040</c:v>
                </c:pt>
                <c:pt idx="98">
                  <c:v>16584</c:v>
                </c:pt>
                <c:pt idx="99">
                  <c:v>15487</c:v>
                </c:pt>
                <c:pt idx="100">
                  <c:v>16727</c:v>
                </c:pt>
                <c:pt idx="101">
                  <c:v>16994</c:v>
                </c:pt>
                <c:pt idx="102">
                  <c:v>15650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0C-4F9B-ADA7-E14EA94F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173874"/>
        <c:axId val="25341818"/>
      </c:lineChart>
      <c:lineChart>
        <c:grouping val="standard"/>
        <c:varyColors val="0"/>
        <c:ser>
          <c:idx val="1"/>
          <c:order val="1"/>
          <c:tx>
            <c:strRef>
              <c:f>Monthly_Statistics!$F$10</c:f>
              <c:strCache>
                <c:ptCount val="1"/>
                <c:pt idx="0">
                  <c:v>value_crores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Monthly_Statistics!$F$11:$F$113</c:f>
              <c:numCache>
                <c:formatCode>General</c:formatCode>
                <c:ptCount val="103"/>
                <c:pt idx="0">
                  <c:v>3.09</c:v>
                </c:pt>
                <c:pt idx="1">
                  <c:v>5.28</c:v>
                </c:pt>
                <c:pt idx="2">
                  <c:v>16.010000000000002</c:v>
                </c:pt>
                <c:pt idx="3">
                  <c:v>24.05</c:v>
                </c:pt>
                <c:pt idx="4">
                  <c:v>71.349999999999994</c:v>
                </c:pt>
                <c:pt idx="5">
                  <c:v>169.46</c:v>
                </c:pt>
                <c:pt idx="6">
                  <c:v>190.77</c:v>
                </c:pt>
                <c:pt idx="7">
                  <c:v>235</c:v>
                </c:pt>
                <c:pt idx="8">
                  <c:v>270</c:v>
                </c:pt>
                <c:pt idx="9">
                  <c:v>400</c:v>
                </c:pt>
                <c:pt idx="10">
                  <c:v>450</c:v>
                </c:pt>
                <c:pt idx="11">
                  <c:v>540</c:v>
                </c:pt>
                <c:pt idx="12">
                  <c:v>1060</c:v>
                </c:pt>
                <c:pt idx="13">
                  <c:v>1963</c:v>
                </c:pt>
                <c:pt idx="14">
                  <c:v>2710</c:v>
                </c:pt>
                <c:pt idx="15">
                  <c:v>3924</c:v>
                </c:pt>
                <c:pt idx="16">
                  <c:v>5020</c:v>
                </c:pt>
                <c:pt idx="17">
                  <c:v>5264</c:v>
                </c:pt>
                <c:pt idx="18">
                  <c:v>5906</c:v>
                </c:pt>
                <c:pt idx="19">
                  <c:v>6100</c:v>
                </c:pt>
                <c:pt idx="20">
                  <c:v>6434</c:v>
                </c:pt>
                <c:pt idx="21">
                  <c:v>7621</c:v>
                </c:pt>
                <c:pt idx="22">
                  <c:v>8363</c:v>
                </c:pt>
                <c:pt idx="23">
                  <c:v>8286</c:v>
                </c:pt>
                <c:pt idx="24">
                  <c:v>10585</c:v>
                </c:pt>
                <c:pt idx="25">
                  <c:v>14162</c:v>
                </c:pt>
                <c:pt idx="26">
                  <c:v>17085</c:v>
                </c:pt>
                <c:pt idx="27">
                  <c:v>18235</c:v>
                </c:pt>
                <c:pt idx="28">
                  <c:v>21074</c:v>
                </c:pt>
                <c:pt idx="29">
                  <c:v>23090</c:v>
                </c:pt>
                <c:pt idx="30">
                  <c:v>23046</c:v>
                </c:pt>
                <c:pt idx="31">
                  <c:v>27039</c:v>
                </c:pt>
                <c:pt idx="32">
                  <c:v>26894</c:v>
                </c:pt>
                <c:pt idx="33">
                  <c:v>25090</c:v>
                </c:pt>
                <c:pt idx="34">
                  <c:v>25780</c:v>
                </c:pt>
                <c:pt idx="35">
                  <c:v>28459</c:v>
                </c:pt>
                <c:pt idx="36">
                  <c:v>31639</c:v>
                </c:pt>
                <c:pt idx="37">
                  <c:v>33670</c:v>
                </c:pt>
                <c:pt idx="38">
                  <c:v>40437</c:v>
                </c:pt>
                <c:pt idx="39">
                  <c:v>43642</c:v>
                </c:pt>
                <c:pt idx="40">
                  <c:v>46463</c:v>
                </c:pt>
                <c:pt idx="41">
                  <c:v>46085</c:v>
                </c:pt>
                <c:pt idx="42">
                  <c:v>46729</c:v>
                </c:pt>
                <c:pt idx="43">
                  <c:v>43481</c:v>
                </c:pt>
                <c:pt idx="44">
                  <c:v>34217</c:v>
                </c:pt>
                <c:pt idx="45">
                  <c:v>42090</c:v>
                </c:pt>
                <c:pt idx="46">
                  <c:v>46050</c:v>
                </c:pt>
                <c:pt idx="47">
                  <c:v>51475</c:v>
                </c:pt>
                <c:pt idx="48">
                  <c:v>57310</c:v>
                </c:pt>
                <c:pt idx="49">
                  <c:v>62420</c:v>
                </c:pt>
                <c:pt idx="50">
                  <c:v>71580</c:v>
                </c:pt>
                <c:pt idx="51">
                  <c:v>76580</c:v>
                </c:pt>
                <c:pt idx="52">
                  <c:v>78060</c:v>
                </c:pt>
                <c:pt idx="53">
                  <c:v>80750</c:v>
                </c:pt>
                <c:pt idx="54">
                  <c:v>80520</c:v>
                </c:pt>
                <c:pt idx="55">
                  <c:v>94230</c:v>
                </c:pt>
                <c:pt idx="56">
                  <c:v>90850</c:v>
                </c:pt>
                <c:pt idx="57">
                  <c:v>87160</c:v>
                </c:pt>
                <c:pt idx="58">
                  <c:v>96190</c:v>
                </c:pt>
                <c:pt idx="59">
                  <c:v>109830</c:v>
                </c:pt>
                <c:pt idx="60">
                  <c:v>120280</c:v>
                </c:pt>
                <c:pt idx="61">
                  <c:v>123570</c:v>
                </c:pt>
                <c:pt idx="62">
                  <c:v>143200</c:v>
                </c:pt>
                <c:pt idx="63">
                  <c:v>142100</c:v>
                </c:pt>
                <c:pt idx="64">
                  <c:v>153640</c:v>
                </c:pt>
                <c:pt idx="65">
                  <c:v>155250</c:v>
                </c:pt>
                <c:pt idx="66">
                  <c:v>152120</c:v>
                </c:pt>
                <c:pt idx="67">
                  <c:v>180990</c:v>
                </c:pt>
                <c:pt idx="68">
                  <c:v>191000</c:v>
                </c:pt>
                <c:pt idx="69">
                  <c:v>203000</c:v>
                </c:pt>
                <c:pt idx="70">
                  <c:v>198000</c:v>
                </c:pt>
                <c:pt idx="71">
                  <c:v>210560</c:v>
                </c:pt>
                <c:pt idx="72">
                  <c:v>225610</c:v>
                </c:pt>
                <c:pt idx="73">
                  <c:v>234300</c:v>
                </c:pt>
                <c:pt idx="74">
                  <c:v>251580</c:v>
                </c:pt>
                <c:pt idx="75">
                  <c:v>248530</c:v>
                </c:pt>
                <c:pt idx="76">
                  <c:v>268180</c:v>
                </c:pt>
                <c:pt idx="77">
                  <c:v>275060</c:v>
                </c:pt>
                <c:pt idx="78">
                  <c:v>258000</c:v>
                </c:pt>
                <c:pt idx="79">
                  <c:v>296370</c:v>
                </c:pt>
                <c:pt idx="80">
                  <c:v>308000</c:v>
                </c:pt>
                <c:pt idx="81">
                  <c:v>313850</c:v>
                </c:pt>
                <c:pt idx="82">
                  <c:v>324530</c:v>
                </c:pt>
                <c:pt idx="83">
                  <c:v>340000</c:v>
                </c:pt>
                <c:pt idx="84">
                  <c:v>362710</c:v>
                </c:pt>
                <c:pt idx="85">
                  <c:v>362800</c:v>
                </c:pt>
                <c:pt idx="86">
                  <c:v>389010</c:v>
                </c:pt>
                <c:pt idx="87">
                  <c:v>382740</c:v>
                </c:pt>
                <c:pt idx="88">
                  <c:v>410250</c:v>
                </c:pt>
                <c:pt idx="89">
                  <c:v>418440</c:v>
                </c:pt>
                <c:pt idx="90">
                  <c:v>392430</c:v>
                </c:pt>
                <c:pt idx="91">
                  <c:v>460430</c:v>
                </c:pt>
                <c:pt idx="92">
                  <c:v>456380</c:v>
                </c:pt>
                <c:pt idx="93">
                  <c:v>480400</c:v>
                </c:pt>
                <c:pt idx="94">
                  <c:v>475240</c:v>
                </c:pt>
                <c:pt idx="95">
                  <c:v>493430</c:v>
                </c:pt>
                <c:pt idx="96">
                  <c:v>514890</c:v>
                </c:pt>
                <c:pt idx="97">
                  <c:v>514290</c:v>
                </c:pt>
                <c:pt idx="98">
                  <c:v>567570</c:v>
                </c:pt>
                <c:pt idx="99">
                  <c:v>530240</c:v>
                </c:pt>
                <c:pt idx="100">
                  <c:v>572770</c:v>
                </c:pt>
                <c:pt idx="101">
                  <c:v>582310</c:v>
                </c:pt>
                <c:pt idx="102">
                  <c:v>536180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0C-4F9B-ADA7-E14EA94F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679392"/>
        <c:axId val="73981910"/>
      </c:lineChart>
      <c:catAx>
        <c:axId val="30173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41818"/>
        <c:crosses val="autoZero"/>
        <c:auto val="1"/>
        <c:lblAlgn val="ctr"/>
        <c:lblOffset val="100"/>
        <c:noMultiLvlLbl val="0"/>
      </c:catAx>
      <c:valAx>
        <c:axId val="25341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(Mn)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73874"/>
        <c:crosses val="autoZero"/>
        <c:crossBetween val="between"/>
      </c:valAx>
      <c:catAx>
        <c:axId val="6967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81910"/>
        <c:crosses val="autoZero"/>
        <c:auto val="1"/>
        <c:lblAlgn val="ctr"/>
        <c:lblOffset val="100"/>
        <c:noMultiLvlLbl val="0"/>
      </c:catAx>
      <c:valAx>
        <c:axId val="739819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 (₹ 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7939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YoY Volume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Monthly_Statistics!$M$10</c:f>
              <c:strCache>
                <c:ptCount val="1"/>
                <c:pt idx="0">
                  <c:v>yoy_volume_growth_pct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Monthly_Statistics!$M$11:$M$113</c:f>
              <c:numCache>
                <c:formatCode>General</c:formatCode>
                <c:ptCount val="103"/>
                <c:pt idx="12">
                  <c:v>34122.22</c:v>
                </c:pt>
                <c:pt idx="13">
                  <c:v>40592.31</c:v>
                </c:pt>
                <c:pt idx="14">
                  <c:v>25500</c:v>
                </c:pt>
                <c:pt idx="15">
                  <c:v>20860</c:v>
                </c:pt>
                <c:pt idx="16">
                  <c:v>7175</c:v>
                </c:pt>
                <c:pt idx="17">
                  <c:v>3514.29</c:v>
                </c:pt>
                <c:pt idx="18">
                  <c:v>3980.95</c:v>
                </c:pt>
                <c:pt idx="19">
                  <c:v>2772.58</c:v>
                </c:pt>
                <c:pt idx="20">
                  <c:v>2653.62</c:v>
                </c:pt>
                <c:pt idx="21">
                  <c:v>2315.0500000000002</c:v>
                </c:pt>
                <c:pt idx="22">
                  <c:v>2315.69</c:v>
                </c:pt>
                <c:pt idx="23">
                  <c:v>1319.88</c:v>
                </c:pt>
                <c:pt idx="24">
                  <c:v>913.96</c:v>
                </c:pt>
                <c:pt idx="25">
                  <c:v>667.11</c:v>
                </c:pt>
                <c:pt idx="26">
                  <c:v>527.99</c:v>
                </c:pt>
                <c:pt idx="27">
                  <c:v>400.86</c:v>
                </c:pt>
                <c:pt idx="28">
                  <c:v>326.74</c:v>
                </c:pt>
                <c:pt idx="29">
                  <c:v>343.15</c:v>
                </c:pt>
                <c:pt idx="30">
                  <c:v>293.35000000000002</c:v>
                </c:pt>
                <c:pt idx="31">
                  <c:v>348.91</c:v>
                </c:pt>
                <c:pt idx="32">
                  <c:v>311.58</c:v>
                </c:pt>
                <c:pt idx="33">
                  <c:v>226.54</c:v>
                </c:pt>
                <c:pt idx="34">
                  <c:v>206.21</c:v>
                </c:pt>
                <c:pt idx="35">
                  <c:v>248.88</c:v>
                </c:pt>
                <c:pt idx="36">
                  <c:v>194.04</c:v>
                </c:pt>
                <c:pt idx="37">
                  <c:v>135.34</c:v>
                </c:pt>
                <c:pt idx="38">
                  <c:v>138.11000000000001</c:v>
                </c:pt>
                <c:pt idx="39">
                  <c:v>132.19999999999999</c:v>
                </c:pt>
                <c:pt idx="40">
                  <c:v>110.73</c:v>
                </c:pt>
                <c:pt idx="41">
                  <c:v>93.61</c:v>
                </c:pt>
                <c:pt idx="42">
                  <c:v>96.63</c:v>
                </c:pt>
                <c:pt idx="43">
                  <c:v>55.95</c:v>
                </c:pt>
                <c:pt idx="44">
                  <c:v>27.83</c:v>
                </c:pt>
                <c:pt idx="45">
                  <c:v>68.33</c:v>
                </c:pt>
                <c:pt idx="46">
                  <c:v>77.61</c:v>
                </c:pt>
                <c:pt idx="47">
                  <c:v>82.1</c:v>
                </c:pt>
                <c:pt idx="48">
                  <c:v>76.28</c:v>
                </c:pt>
                <c:pt idx="49">
                  <c:v>88.49</c:v>
                </c:pt>
                <c:pt idx="50">
                  <c:v>80.36</c:v>
                </c:pt>
                <c:pt idx="51">
                  <c:v>81.36</c:v>
                </c:pt>
                <c:pt idx="52">
                  <c:v>70.7</c:v>
                </c:pt>
                <c:pt idx="53">
                  <c:v>76.8</c:v>
                </c:pt>
                <c:pt idx="54">
                  <c:v>72.92</c:v>
                </c:pt>
                <c:pt idx="55">
                  <c:v>119.1</c:v>
                </c:pt>
                <c:pt idx="56">
                  <c:v>164.23</c:v>
                </c:pt>
                <c:pt idx="57">
                  <c:v>105.47</c:v>
                </c:pt>
                <c:pt idx="58">
                  <c:v>109.11</c:v>
                </c:pt>
                <c:pt idx="59">
                  <c:v>116.58</c:v>
                </c:pt>
                <c:pt idx="60">
                  <c:v>119.59</c:v>
                </c:pt>
                <c:pt idx="61">
                  <c:v>102.88</c:v>
                </c:pt>
                <c:pt idx="62">
                  <c:v>103.67</c:v>
                </c:pt>
                <c:pt idx="63">
                  <c:v>89.4</c:v>
                </c:pt>
                <c:pt idx="64">
                  <c:v>104.2</c:v>
                </c:pt>
                <c:pt idx="65">
                  <c:v>100.73</c:v>
                </c:pt>
                <c:pt idx="66">
                  <c:v>97.5</c:v>
                </c:pt>
                <c:pt idx="67">
                  <c:v>97.83</c:v>
                </c:pt>
                <c:pt idx="68">
                  <c:v>111.27</c:v>
                </c:pt>
                <c:pt idx="69">
                  <c:v>134.77000000000001</c:v>
                </c:pt>
                <c:pt idx="70">
                  <c:v>109.11</c:v>
                </c:pt>
                <c:pt idx="71">
                  <c:v>93.65</c:v>
                </c:pt>
                <c:pt idx="72">
                  <c:v>85.07</c:v>
                </c:pt>
                <c:pt idx="73">
                  <c:v>85.68</c:v>
                </c:pt>
                <c:pt idx="74">
                  <c:v>73.17</c:v>
                </c:pt>
                <c:pt idx="75">
                  <c:v>74.61</c:v>
                </c:pt>
                <c:pt idx="76">
                  <c:v>71.66</c:v>
                </c:pt>
                <c:pt idx="77">
                  <c:v>73.900000000000006</c:v>
                </c:pt>
                <c:pt idx="78">
                  <c:v>66.540000000000006</c:v>
                </c:pt>
                <c:pt idx="79">
                  <c:v>60.18</c:v>
                </c:pt>
                <c:pt idx="80">
                  <c:v>59.41</c:v>
                </c:pt>
                <c:pt idx="81">
                  <c:v>51.42</c:v>
                </c:pt>
                <c:pt idx="82">
                  <c:v>59.3</c:v>
                </c:pt>
                <c:pt idx="83">
                  <c:v>58.66</c:v>
                </c:pt>
                <c:pt idx="84">
                  <c:v>60.88</c:v>
                </c:pt>
                <c:pt idx="85">
                  <c:v>55.82</c:v>
                </c:pt>
                <c:pt idx="86">
                  <c:v>56.06</c:v>
                </c:pt>
                <c:pt idx="87">
                  <c:v>52.74</c:v>
                </c:pt>
                <c:pt idx="88">
                  <c:v>53.53</c:v>
                </c:pt>
                <c:pt idx="89">
                  <c:v>51.82</c:v>
                </c:pt>
                <c:pt idx="90">
                  <c:v>51.71</c:v>
                </c:pt>
                <c:pt idx="91">
                  <c:v>55.31</c:v>
                </c:pt>
                <c:pt idx="92">
                  <c:v>49.77</c:v>
                </c:pt>
                <c:pt idx="93">
                  <c:v>55.66</c:v>
                </c:pt>
                <c:pt idx="94">
                  <c:v>48.74</c:v>
                </c:pt>
                <c:pt idx="95">
                  <c:v>44.89</c:v>
                </c:pt>
                <c:pt idx="96">
                  <c:v>42.14</c:v>
                </c:pt>
                <c:pt idx="97">
                  <c:v>42.34</c:v>
                </c:pt>
                <c:pt idx="98">
                  <c:v>45.47</c:v>
                </c:pt>
                <c:pt idx="99">
                  <c:v>38.71</c:v>
                </c:pt>
                <c:pt idx="100">
                  <c:v>39.159999999999997</c:v>
                </c:pt>
                <c:pt idx="101">
                  <c:v>39.26</c:v>
                </c:pt>
                <c:pt idx="102">
                  <c:v>36.81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BE-4825-80DA-634DE8120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241659"/>
        <c:axId val="71902725"/>
      </c:lineChart>
      <c:catAx>
        <c:axId val="242416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02725"/>
        <c:crosses val="autoZero"/>
        <c:auto val="1"/>
        <c:lblAlgn val="ctr"/>
        <c:lblOffset val="100"/>
        <c:noMultiLvlLbl val="0"/>
      </c:catAx>
      <c:valAx>
        <c:axId val="71902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41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YoY Value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Monthly_Statistics!$N$10</c:f>
              <c:strCache>
                <c:ptCount val="1"/>
                <c:pt idx="0">
                  <c:v>yoy_value_growth_pct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Monthly_Statistics!$N$11:$N$113</c:f>
              <c:numCache>
                <c:formatCode>General</c:formatCode>
                <c:ptCount val="103"/>
                <c:pt idx="12">
                  <c:v>34204.21</c:v>
                </c:pt>
                <c:pt idx="13">
                  <c:v>37078.03</c:v>
                </c:pt>
                <c:pt idx="14">
                  <c:v>16826.919999999998</c:v>
                </c:pt>
                <c:pt idx="15">
                  <c:v>16216.01</c:v>
                </c:pt>
                <c:pt idx="16">
                  <c:v>6935.74</c:v>
                </c:pt>
                <c:pt idx="17">
                  <c:v>3006.34</c:v>
                </c:pt>
                <c:pt idx="18">
                  <c:v>2995.87</c:v>
                </c:pt>
                <c:pt idx="19">
                  <c:v>2495.7399999999998</c:v>
                </c:pt>
                <c:pt idx="20">
                  <c:v>2282.96</c:v>
                </c:pt>
                <c:pt idx="21">
                  <c:v>1805.25</c:v>
                </c:pt>
                <c:pt idx="22">
                  <c:v>1758.44</c:v>
                </c:pt>
                <c:pt idx="23">
                  <c:v>1434.44</c:v>
                </c:pt>
                <c:pt idx="24">
                  <c:v>898.58</c:v>
                </c:pt>
                <c:pt idx="25">
                  <c:v>621.45000000000005</c:v>
                </c:pt>
                <c:pt idx="26">
                  <c:v>530.44000000000005</c:v>
                </c:pt>
                <c:pt idx="27">
                  <c:v>364.7</c:v>
                </c:pt>
                <c:pt idx="28">
                  <c:v>319.8</c:v>
                </c:pt>
                <c:pt idx="29">
                  <c:v>338.64</c:v>
                </c:pt>
                <c:pt idx="30">
                  <c:v>290.20999999999998</c:v>
                </c:pt>
                <c:pt idx="31">
                  <c:v>343.26</c:v>
                </c:pt>
                <c:pt idx="32">
                  <c:v>318</c:v>
                </c:pt>
                <c:pt idx="33">
                  <c:v>229.22</c:v>
                </c:pt>
                <c:pt idx="34">
                  <c:v>208.26</c:v>
                </c:pt>
                <c:pt idx="35">
                  <c:v>243.46</c:v>
                </c:pt>
                <c:pt idx="36">
                  <c:v>198.9</c:v>
                </c:pt>
                <c:pt idx="37">
                  <c:v>137.75</c:v>
                </c:pt>
                <c:pt idx="38">
                  <c:v>136.68</c:v>
                </c:pt>
                <c:pt idx="39">
                  <c:v>139.33000000000001</c:v>
                </c:pt>
                <c:pt idx="40">
                  <c:v>120.48</c:v>
                </c:pt>
                <c:pt idx="41">
                  <c:v>99.59</c:v>
                </c:pt>
                <c:pt idx="42">
                  <c:v>102.76</c:v>
                </c:pt>
                <c:pt idx="43">
                  <c:v>60.81</c:v>
                </c:pt>
                <c:pt idx="44">
                  <c:v>27.23</c:v>
                </c:pt>
                <c:pt idx="45">
                  <c:v>67.760000000000005</c:v>
                </c:pt>
                <c:pt idx="46">
                  <c:v>78.63</c:v>
                </c:pt>
                <c:pt idx="47">
                  <c:v>80.87</c:v>
                </c:pt>
                <c:pt idx="48">
                  <c:v>81.14</c:v>
                </c:pt>
                <c:pt idx="49">
                  <c:v>85.39</c:v>
                </c:pt>
                <c:pt idx="50">
                  <c:v>77.02</c:v>
                </c:pt>
                <c:pt idx="51">
                  <c:v>75.47</c:v>
                </c:pt>
                <c:pt idx="52">
                  <c:v>68</c:v>
                </c:pt>
                <c:pt idx="53">
                  <c:v>75.22</c:v>
                </c:pt>
                <c:pt idx="54">
                  <c:v>72.31</c:v>
                </c:pt>
                <c:pt idx="55">
                  <c:v>116.72</c:v>
                </c:pt>
                <c:pt idx="56">
                  <c:v>165.51</c:v>
                </c:pt>
                <c:pt idx="57">
                  <c:v>107.08</c:v>
                </c:pt>
                <c:pt idx="58">
                  <c:v>108.88</c:v>
                </c:pt>
                <c:pt idx="59">
                  <c:v>113.37</c:v>
                </c:pt>
                <c:pt idx="60">
                  <c:v>109.88</c:v>
                </c:pt>
                <c:pt idx="61">
                  <c:v>97.97</c:v>
                </c:pt>
                <c:pt idx="62">
                  <c:v>100.06</c:v>
                </c:pt>
                <c:pt idx="63">
                  <c:v>85.56</c:v>
                </c:pt>
                <c:pt idx="64">
                  <c:v>96.82</c:v>
                </c:pt>
                <c:pt idx="65">
                  <c:v>92.26</c:v>
                </c:pt>
                <c:pt idx="66">
                  <c:v>88.92</c:v>
                </c:pt>
                <c:pt idx="67">
                  <c:v>92.07</c:v>
                </c:pt>
                <c:pt idx="68">
                  <c:v>110.24</c:v>
                </c:pt>
                <c:pt idx="69">
                  <c:v>132.91</c:v>
                </c:pt>
                <c:pt idx="70">
                  <c:v>105.84</c:v>
                </c:pt>
                <c:pt idx="71">
                  <c:v>91.71</c:v>
                </c:pt>
                <c:pt idx="72">
                  <c:v>87.57</c:v>
                </c:pt>
                <c:pt idx="73">
                  <c:v>89.61</c:v>
                </c:pt>
                <c:pt idx="74">
                  <c:v>75.680000000000007</c:v>
                </c:pt>
                <c:pt idx="75">
                  <c:v>74.900000000000006</c:v>
                </c:pt>
                <c:pt idx="76">
                  <c:v>74.55</c:v>
                </c:pt>
                <c:pt idx="77">
                  <c:v>77.17</c:v>
                </c:pt>
                <c:pt idx="78">
                  <c:v>69.599999999999994</c:v>
                </c:pt>
                <c:pt idx="79">
                  <c:v>63.75</c:v>
                </c:pt>
                <c:pt idx="80">
                  <c:v>61.26</c:v>
                </c:pt>
                <c:pt idx="81">
                  <c:v>54.61</c:v>
                </c:pt>
                <c:pt idx="82">
                  <c:v>63.9</c:v>
                </c:pt>
                <c:pt idx="83">
                  <c:v>61.47</c:v>
                </c:pt>
                <c:pt idx="84">
                  <c:v>60.77</c:v>
                </c:pt>
                <c:pt idx="85">
                  <c:v>54.84</c:v>
                </c:pt>
                <c:pt idx="86">
                  <c:v>54.63</c:v>
                </c:pt>
                <c:pt idx="87">
                  <c:v>54</c:v>
                </c:pt>
                <c:pt idx="88">
                  <c:v>52.98</c:v>
                </c:pt>
                <c:pt idx="89">
                  <c:v>52.13</c:v>
                </c:pt>
                <c:pt idx="90">
                  <c:v>52.1</c:v>
                </c:pt>
                <c:pt idx="91">
                  <c:v>55.36</c:v>
                </c:pt>
                <c:pt idx="92">
                  <c:v>48.18</c:v>
                </c:pt>
                <c:pt idx="93">
                  <c:v>53.07</c:v>
                </c:pt>
                <c:pt idx="94">
                  <c:v>46.44</c:v>
                </c:pt>
                <c:pt idx="95">
                  <c:v>45.13</c:v>
                </c:pt>
                <c:pt idx="96">
                  <c:v>41.96</c:v>
                </c:pt>
                <c:pt idx="97">
                  <c:v>41.76</c:v>
                </c:pt>
                <c:pt idx="98">
                  <c:v>45.9</c:v>
                </c:pt>
                <c:pt idx="99">
                  <c:v>38.54</c:v>
                </c:pt>
                <c:pt idx="100">
                  <c:v>39.61</c:v>
                </c:pt>
                <c:pt idx="101">
                  <c:v>39.159999999999997</c:v>
                </c:pt>
                <c:pt idx="102">
                  <c:v>36.630000000000003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E7-48E2-B3D1-386DC026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335903"/>
        <c:axId val="63101153"/>
      </c:lineChart>
      <c:catAx>
        <c:axId val="693359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01153"/>
        <c:crosses val="autoZero"/>
        <c:auto val="1"/>
        <c:lblAlgn val="ctr"/>
        <c:lblOffset val="100"/>
        <c:noMultiLvlLbl val="0"/>
      </c:catAx>
      <c:valAx>
        <c:axId val="63101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35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MoM Volume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Monthly_Statistics!$O$10</c:f>
              <c:strCache>
                <c:ptCount val="1"/>
                <c:pt idx="0">
                  <c:v>mom_volume_growth_pct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Monthly_Statistics!$O$11:$O$113</c:f>
              <c:numCache>
                <c:formatCode>General</c:formatCode>
                <c:ptCount val="103"/>
                <c:pt idx="1">
                  <c:v>44.44</c:v>
                </c:pt>
                <c:pt idx="2">
                  <c:v>130.77000000000001</c:v>
                </c:pt>
                <c:pt idx="3">
                  <c:v>66.67</c:v>
                </c:pt>
                <c:pt idx="4">
                  <c:v>300</c:v>
                </c:pt>
                <c:pt idx="5">
                  <c:v>110</c:v>
                </c:pt>
                <c:pt idx="6">
                  <c:v>0</c:v>
                </c:pt>
                <c:pt idx="7">
                  <c:v>47.62</c:v>
                </c:pt>
                <c:pt idx="8">
                  <c:v>11.29</c:v>
                </c:pt>
                <c:pt idx="9">
                  <c:v>34.78</c:v>
                </c:pt>
                <c:pt idx="10">
                  <c:v>9.68</c:v>
                </c:pt>
                <c:pt idx="11">
                  <c:v>62.75</c:v>
                </c:pt>
                <c:pt idx="12">
                  <c:v>85.54</c:v>
                </c:pt>
                <c:pt idx="13">
                  <c:v>71.75</c:v>
                </c:pt>
                <c:pt idx="14">
                  <c:v>45.18</c:v>
                </c:pt>
                <c:pt idx="15">
                  <c:v>36.46</c:v>
                </c:pt>
                <c:pt idx="16">
                  <c:v>38.840000000000003</c:v>
                </c:pt>
                <c:pt idx="17">
                  <c:v>4.33</c:v>
                </c:pt>
                <c:pt idx="18">
                  <c:v>12.91</c:v>
                </c:pt>
                <c:pt idx="19">
                  <c:v>3.91</c:v>
                </c:pt>
                <c:pt idx="20">
                  <c:v>6.68</c:v>
                </c:pt>
                <c:pt idx="21">
                  <c:v>18.21</c:v>
                </c:pt>
                <c:pt idx="22">
                  <c:v>9.7100000000000009</c:v>
                </c:pt>
                <c:pt idx="23">
                  <c:v>-4.34</c:v>
                </c:pt>
                <c:pt idx="24">
                  <c:v>32.5</c:v>
                </c:pt>
                <c:pt idx="25">
                  <c:v>29.94</c:v>
                </c:pt>
                <c:pt idx="26">
                  <c:v>18.850000000000001</c:v>
                </c:pt>
                <c:pt idx="27">
                  <c:v>8.83</c:v>
                </c:pt>
                <c:pt idx="28">
                  <c:v>18.29</c:v>
                </c:pt>
                <c:pt idx="29">
                  <c:v>8.34</c:v>
                </c:pt>
                <c:pt idx="30">
                  <c:v>0.22</c:v>
                </c:pt>
                <c:pt idx="31">
                  <c:v>18.579999999999998</c:v>
                </c:pt>
                <c:pt idx="32">
                  <c:v>-2.19</c:v>
                </c:pt>
                <c:pt idx="33">
                  <c:v>-6.21</c:v>
                </c:pt>
                <c:pt idx="34">
                  <c:v>2.88</c:v>
                </c:pt>
                <c:pt idx="35">
                  <c:v>8.99</c:v>
                </c:pt>
                <c:pt idx="36">
                  <c:v>11.67</c:v>
                </c:pt>
                <c:pt idx="37">
                  <c:v>4</c:v>
                </c:pt>
                <c:pt idx="38">
                  <c:v>20.25</c:v>
                </c:pt>
                <c:pt idx="39">
                  <c:v>6.13</c:v>
                </c:pt>
                <c:pt idx="40">
                  <c:v>7.35</c:v>
                </c:pt>
                <c:pt idx="41">
                  <c:v>-0.46</c:v>
                </c:pt>
                <c:pt idx="42">
                  <c:v>1.79</c:v>
                </c:pt>
                <c:pt idx="43">
                  <c:v>-5.95</c:v>
                </c:pt>
                <c:pt idx="44">
                  <c:v>-19.829999999999998</c:v>
                </c:pt>
                <c:pt idx="45">
                  <c:v>23.5</c:v>
                </c:pt>
                <c:pt idx="46">
                  <c:v>8.5500000000000007</c:v>
                </c:pt>
                <c:pt idx="47">
                  <c:v>11.74</c:v>
                </c:pt>
                <c:pt idx="48">
                  <c:v>8.11</c:v>
                </c:pt>
                <c:pt idx="49">
                  <c:v>11.2</c:v>
                </c:pt>
                <c:pt idx="50">
                  <c:v>15.06</c:v>
                </c:pt>
                <c:pt idx="51">
                  <c:v>6.72</c:v>
                </c:pt>
                <c:pt idx="52">
                  <c:v>1.05</c:v>
                </c:pt>
                <c:pt idx="53">
                  <c:v>3.1</c:v>
                </c:pt>
                <c:pt idx="54">
                  <c:v>-0.45</c:v>
                </c:pt>
                <c:pt idx="55">
                  <c:v>19.170000000000002</c:v>
                </c:pt>
                <c:pt idx="56">
                  <c:v>-3.32</c:v>
                </c:pt>
                <c:pt idx="57">
                  <c:v>-3.96</c:v>
                </c:pt>
                <c:pt idx="58">
                  <c:v>10.48</c:v>
                </c:pt>
                <c:pt idx="59">
                  <c:v>15.73</c:v>
                </c:pt>
                <c:pt idx="60">
                  <c:v>9.61</c:v>
                </c:pt>
                <c:pt idx="61">
                  <c:v>2.73</c:v>
                </c:pt>
                <c:pt idx="62">
                  <c:v>15.51</c:v>
                </c:pt>
                <c:pt idx="63">
                  <c:v>-0.76</c:v>
                </c:pt>
                <c:pt idx="64">
                  <c:v>8.94</c:v>
                </c:pt>
                <c:pt idx="65">
                  <c:v>1.35</c:v>
                </c:pt>
                <c:pt idx="66">
                  <c:v>-2.0499999999999998</c:v>
                </c:pt>
                <c:pt idx="67">
                  <c:v>19.37</c:v>
                </c:pt>
                <c:pt idx="68">
                  <c:v>3.25</c:v>
                </c:pt>
                <c:pt idx="69">
                  <c:v>6.72</c:v>
                </c:pt>
                <c:pt idx="70">
                  <c:v>-1.6</c:v>
                </c:pt>
                <c:pt idx="71">
                  <c:v>7.17</c:v>
                </c:pt>
                <c:pt idx="72">
                  <c:v>4.76</c:v>
                </c:pt>
                <c:pt idx="73">
                  <c:v>3.07</c:v>
                </c:pt>
                <c:pt idx="74">
                  <c:v>7.73</c:v>
                </c:pt>
                <c:pt idx="75">
                  <c:v>7.0000000000000007E-2</c:v>
                </c:pt>
                <c:pt idx="76">
                  <c:v>7.1</c:v>
                </c:pt>
                <c:pt idx="77">
                  <c:v>2.67</c:v>
                </c:pt>
                <c:pt idx="78">
                  <c:v>-6.2</c:v>
                </c:pt>
                <c:pt idx="79">
                  <c:v>14.81</c:v>
                </c:pt>
                <c:pt idx="80">
                  <c:v>2.75</c:v>
                </c:pt>
                <c:pt idx="81">
                  <c:v>1.37</c:v>
                </c:pt>
                <c:pt idx="82">
                  <c:v>3.53</c:v>
                </c:pt>
                <c:pt idx="83">
                  <c:v>6.74</c:v>
                </c:pt>
                <c:pt idx="84">
                  <c:v>6.22</c:v>
                </c:pt>
                <c:pt idx="85">
                  <c:v>-0.17</c:v>
                </c:pt>
                <c:pt idx="86">
                  <c:v>7.89</c:v>
                </c:pt>
                <c:pt idx="87">
                  <c:v>-2.06</c:v>
                </c:pt>
                <c:pt idx="88">
                  <c:v>7.66</c:v>
                </c:pt>
                <c:pt idx="89">
                  <c:v>1.52</c:v>
                </c:pt>
                <c:pt idx="90">
                  <c:v>-6.26</c:v>
                </c:pt>
                <c:pt idx="91">
                  <c:v>17.54</c:v>
                </c:pt>
                <c:pt idx="92">
                  <c:v>-0.91</c:v>
                </c:pt>
                <c:pt idx="93">
                  <c:v>5.36</c:v>
                </c:pt>
                <c:pt idx="94">
                  <c:v>-1.08</c:v>
                </c:pt>
                <c:pt idx="95">
                  <c:v>3.98</c:v>
                </c:pt>
                <c:pt idx="96">
                  <c:v>4.2</c:v>
                </c:pt>
                <c:pt idx="97">
                  <c:v>-0.03</c:v>
                </c:pt>
                <c:pt idx="98">
                  <c:v>10.27</c:v>
                </c:pt>
                <c:pt idx="99">
                  <c:v>-6.61</c:v>
                </c:pt>
                <c:pt idx="100">
                  <c:v>8.01</c:v>
                </c:pt>
                <c:pt idx="101">
                  <c:v>1.6</c:v>
                </c:pt>
                <c:pt idx="102">
                  <c:v>-7.91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45-4F87-B31E-83825B66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167085"/>
        <c:axId val="19001930"/>
      </c:lineChart>
      <c:catAx>
        <c:axId val="59167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01930"/>
        <c:crosses val="autoZero"/>
        <c:auto val="1"/>
        <c:lblAlgn val="ctr"/>
        <c:lblOffset val="100"/>
        <c:noMultiLvlLbl val="0"/>
      </c:catAx>
      <c:valAx>
        <c:axId val="19001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67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MoM Value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Monthly_Statistics!$P$10</c:f>
              <c:strCache>
                <c:ptCount val="1"/>
                <c:pt idx="0">
                  <c:v>mom_value_growth_pct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Monthly_Statistics!$P$11:$P$113</c:f>
              <c:numCache>
                <c:formatCode>General</c:formatCode>
                <c:ptCount val="103"/>
                <c:pt idx="1">
                  <c:v>70.87</c:v>
                </c:pt>
                <c:pt idx="2">
                  <c:v>203.22</c:v>
                </c:pt>
                <c:pt idx="3">
                  <c:v>50.22</c:v>
                </c:pt>
                <c:pt idx="4">
                  <c:v>196.67</c:v>
                </c:pt>
                <c:pt idx="5">
                  <c:v>137.51</c:v>
                </c:pt>
                <c:pt idx="6">
                  <c:v>12.58</c:v>
                </c:pt>
                <c:pt idx="7">
                  <c:v>23.18</c:v>
                </c:pt>
                <c:pt idx="8">
                  <c:v>14.89</c:v>
                </c:pt>
                <c:pt idx="9">
                  <c:v>48.15</c:v>
                </c:pt>
                <c:pt idx="10">
                  <c:v>12.5</c:v>
                </c:pt>
                <c:pt idx="11">
                  <c:v>20</c:v>
                </c:pt>
                <c:pt idx="12">
                  <c:v>96.3</c:v>
                </c:pt>
                <c:pt idx="13">
                  <c:v>85.19</c:v>
                </c:pt>
                <c:pt idx="14">
                  <c:v>38.049999999999997</c:v>
                </c:pt>
                <c:pt idx="15">
                  <c:v>44.8</c:v>
                </c:pt>
                <c:pt idx="16">
                  <c:v>27.93</c:v>
                </c:pt>
                <c:pt idx="17">
                  <c:v>4.8600000000000003</c:v>
                </c:pt>
                <c:pt idx="18">
                  <c:v>12.2</c:v>
                </c:pt>
                <c:pt idx="19">
                  <c:v>3.28</c:v>
                </c:pt>
                <c:pt idx="20">
                  <c:v>5.48</c:v>
                </c:pt>
                <c:pt idx="21">
                  <c:v>18.45</c:v>
                </c:pt>
                <c:pt idx="22">
                  <c:v>9.74</c:v>
                </c:pt>
                <c:pt idx="23">
                  <c:v>-0.92</c:v>
                </c:pt>
                <c:pt idx="24">
                  <c:v>27.75</c:v>
                </c:pt>
                <c:pt idx="25">
                  <c:v>33.79</c:v>
                </c:pt>
                <c:pt idx="26">
                  <c:v>20.64</c:v>
                </c:pt>
                <c:pt idx="27">
                  <c:v>6.73</c:v>
                </c:pt>
                <c:pt idx="28">
                  <c:v>15.57</c:v>
                </c:pt>
                <c:pt idx="29">
                  <c:v>9.57</c:v>
                </c:pt>
                <c:pt idx="30">
                  <c:v>-0.19</c:v>
                </c:pt>
                <c:pt idx="31">
                  <c:v>17.329999999999998</c:v>
                </c:pt>
                <c:pt idx="32">
                  <c:v>-0.54</c:v>
                </c:pt>
                <c:pt idx="33">
                  <c:v>-6.71</c:v>
                </c:pt>
                <c:pt idx="34">
                  <c:v>2.75</c:v>
                </c:pt>
                <c:pt idx="35">
                  <c:v>10.39</c:v>
                </c:pt>
                <c:pt idx="36">
                  <c:v>11.17</c:v>
                </c:pt>
                <c:pt idx="37">
                  <c:v>6.42</c:v>
                </c:pt>
                <c:pt idx="38">
                  <c:v>20.100000000000001</c:v>
                </c:pt>
                <c:pt idx="39">
                  <c:v>7.93</c:v>
                </c:pt>
                <c:pt idx="40">
                  <c:v>6.46</c:v>
                </c:pt>
                <c:pt idx="41">
                  <c:v>-0.81</c:v>
                </c:pt>
                <c:pt idx="42">
                  <c:v>1.4</c:v>
                </c:pt>
                <c:pt idx="43">
                  <c:v>-6.95</c:v>
                </c:pt>
                <c:pt idx="44">
                  <c:v>-21.31</c:v>
                </c:pt>
                <c:pt idx="45">
                  <c:v>23.01</c:v>
                </c:pt>
                <c:pt idx="46">
                  <c:v>9.41</c:v>
                </c:pt>
                <c:pt idx="47">
                  <c:v>11.78</c:v>
                </c:pt>
                <c:pt idx="48">
                  <c:v>11.34</c:v>
                </c:pt>
                <c:pt idx="49">
                  <c:v>8.92</c:v>
                </c:pt>
                <c:pt idx="50">
                  <c:v>14.67</c:v>
                </c:pt>
                <c:pt idx="51">
                  <c:v>6.99</c:v>
                </c:pt>
                <c:pt idx="52">
                  <c:v>1.93</c:v>
                </c:pt>
                <c:pt idx="53">
                  <c:v>3.45</c:v>
                </c:pt>
                <c:pt idx="54">
                  <c:v>-0.28000000000000003</c:v>
                </c:pt>
                <c:pt idx="55">
                  <c:v>17.03</c:v>
                </c:pt>
                <c:pt idx="56">
                  <c:v>-3.59</c:v>
                </c:pt>
                <c:pt idx="57">
                  <c:v>-4.0599999999999996</c:v>
                </c:pt>
                <c:pt idx="58">
                  <c:v>10.36</c:v>
                </c:pt>
                <c:pt idx="59">
                  <c:v>14.18</c:v>
                </c:pt>
                <c:pt idx="60">
                  <c:v>9.51</c:v>
                </c:pt>
                <c:pt idx="61">
                  <c:v>2.74</c:v>
                </c:pt>
                <c:pt idx="62">
                  <c:v>15.89</c:v>
                </c:pt>
                <c:pt idx="63">
                  <c:v>-0.77</c:v>
                </c:pt>
                <c:pt idx="64">
                  <c:v>8.1199999999999992</c:v>
                </c:pt>
                <c:pt idx="65">
                  <c:v>1.05</c:v>
                </c:pt>
                <c:pt idx="66">
                  <c:v>-2.02</c:v>
                </c:pt>
                <c:pt idx="67">
                  <c:v>18.98</c:v>
                </c:pt>
                <c:pt idx="68">
                  <c:v>5.53</c:v>
                </c:pt>
                <c:pt idx="69">
                  <c:v>6.28</c:v>
                </c:pt>
                <c:pt idx="70">
                  <c:v>-2.46</c:v>
                </c:pt>
                <c:pt idx="71">
                  <c:v>6.34</c:v>
                </c:pt>
                <c:pt idx="72">
                  <c:v>7.15</c:v>
                </c:pt>
                <c:pt idx="73">
                  <c:v>3.85</c:v>
                </c:pt>
                <c:pt idx="74">
                  <c:v>7.38</c:v>
                </c:pt>
                <c:pt idx="75">
                  <c:v>-1.21</c:v>
                </c:pt>
                <c:pt idx="76">
                  <c:v>7.91</c:v>
                </c:pt>
                <c:pt idx="77">
                  <c:v>2.57</c:v>
                </c:pt>
                <c:pt idx="78">
                  <c:v>-6.2</c:v>
                </c:pt>
                <c:pt idx="79">
                  <c:v>14.87</c:v>
                </c:pt>
                <c:pt idx="80">
                  <c:v>3.92</c:v>
                </c:pt>
                <c:pt idx="81">
                  <c:v>1.9</c:v>
                </c:pt>
                <c:pt idx="82">
                  <c:v>3.4</c:v>
                </c:pt>
                <c:pt idx="83">
                  <c:v>4.7699999999999996</c:v>
                </c:pt>
                <c:pt idx="84">
                  <c:v>6.68</c:v>
                </c:pt>
                <c:pt idx="85">
                  <c:v>0.02</c:v>
                </c:pt>
                <c:pt idx="86">
                  <c:v>7.22</c:v>
                </c:pt>
                <c:pt idx="87">
                  <c:v>-1.61</c:v>
                </c:pt>
                <c:pt idx="88">
                  <c:v>7.19</c:v>
                </c:pt>
                <c:pt idx="89">
                  <c:v>2</c:v>
                </c:pt>
                <c:pt idx="90">
                  <c:v>-6.22</c:v>
                </c:pt>
                <c:pt idx="91">
                  <c:v>17.329999999999998</c:v>
                </c:pt>
                <c:pt idx="92">
                  <c:v>-0.88</c:v>
                </c:pt>
                <c:pt idx="93">
                  <c:v>5.26</c:v>
                </c:pt>
                <c:pt idx="94">
                  <c:v>-1.07</c:v>
                </c:pt>
                <c:pt idx="95">
                  <c:v>3.83</c:v>
                </c:pt>
                <c:pt idx="96">
                  <c:v>4.3499999999999996</c:v>
                </c:pt>
                <c:pt idx="97">
                  <c:v>-0.12</c:v>
                </c:pt>
                <c:pt idx="98">
                  <c:v>10.36</c:v>
                </c:pt>
                <c:pt idx="99">
                  <c:v>-6.58</c:v>
                </c:pt>
                <c:pt idx="100">
                  <c:v>8.02</c:v>
                </c:pt>
                <c:pt idx="101">
                  <c:v>1.67</c:v>
                </c:pt>
                <c:pt idx="102">
                  <c:v>-7.92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D0-41E8-9C58-A89EFCA41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620569"/>
        <c:axId val="88800584"/>
      </c:lineChart>
      <c:catAx>
        <c:axId val="586205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0584"/>
        <c:crosses val="autoZero"/>
        <c:auto val="1"/>
        <c:lblAlgn val="ctr"/>
        <c:lblOffset val="100"/>
        <c:noMultiLvlLbl val="0"/>
      </c:catAx>
      <c:valAx>
        <c:axId val="88800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620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 Volume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Monthly_Statistics!$Y$10</c:f>
              <c:strCache>
                <c:ptCount val="1"/>
                <c:pt idx="0">
                  <c:v>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Monthly_Statistics!$X$11:$X$14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Monthly_Statistics!$Y$11:$Y$14</c:f>
              <c:numCache>
                <c:formatCode>#,##0</c:formatCode>
                <c:ptCount val="4"/>
                <c:pt idx="0">
                  <c:v>100396.5</c:v>
                </c:pt>
                <c:pt idx="1">
                  <c:v>114391.02</c:v>
                </c:pt>
                <c:pt idx="2">
                  <c:v>130941.3</c:v>
                </c:pt>
                <c:pt idx="3">
                  <c:v>122384.3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7-4265-B060-126AA657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3776"/>
        <c:axId val="32159976"/>
      </c:barChart>
      <c:catAx>
        <c:axId val="43373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59976"/>
        <c:crosses val="autoZero"/>
        <c:auto val="1"/>
        <c:lblAlgn val="ctr"/>
        <c:lblOffset val="100"/>
        <c:noMultiLvlLbl val="0"/>
      </c:catAx>
      <c:valAx>
        <c:axId val="32159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73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Banks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Bank_Market_Share!$Y$7</c:f>
              <c:strCache>
                <c:ptCount val="1"/>
                <c:pt idx="0">
                  <c:v>Total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Bank_Market_Share!$X$8:$X$17</c:f>
              <c:strCache>
                <c:ptCount val="7"/>
                <c:pt idx="0">
                  <c:v>PhonePe</c:v>
                </c:pt>
                <c:pt idx="1">
                  <c:v>Google Pay</c:v>
                </c:pt>
                <c:pt idx="2">
                  <c:v>Paytm</c:v>
                </c:pt>
                <c:pt idx="3">
                  <c:v>BHIM</c:v>
                </c:pt>
                <c:pt idx="4">
                  <c:v>CRED</c:v>
                </c:pt>
                <c:pt idx="5">
                  <c:v>Amazon Pay</c:v>
                </c:pt>
                <c:pt idx="6">
                  <c:v>WhatsApp Pay</c:v>
                </c:pt>
              </c:strCache>
            </c:strRef>
          </c:cat>
          <c:val>
            <c:numRef>
              <c:f>Bank_Market_Share!$Y$8:$Y$17</c:f>
              <c:numCache>
                <c:formatCode>#,##0</c:formatCode>
                <c:ptCount val="10"/>
                <c:pt idx="0">
                  <c:v>208055.86999999997</c:v>
                </c:pt>
                <c:pt idx="1">
                  <c:v>151107.59</c:v>
                </c:pt>
                <c:pt idx="2">
                  <c:v>59264.87000000001</c:v>
                </c:pt>
                <c:pt idx="3">
                  <c:v>10076.510000000004</c:v>
                </c:pt>
                <c:pt idx="4">
                  <c:v>9488.9100000000017</c:v>
                </c:pt>
                <c:pt idx="5">
                  <c:v>4712.1099999999997</c:v>
                </c:pt>
                <c:pt idx="6">
                  <c:v>2817.41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8-4125-BCB5-ECC76B6FD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13361"/>
        <c:axId val="43693181"/>
      </c:barChart>
      <c:catAx>
        <c:axId val="4191336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93181"/>
        <c:crosses val="autoZero"/>
        <c:auto val="1"/>
        <c:lblAlgn val="ctr"/>
        <c:lblOffset val="100"/>
        <c:noMultiLvlLbl val="0"/>
      </c:catAx>
      <c:valAx>
        <c:axId val="436931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13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1287621666034637"/>
          <c:y val="0.91885848024059502"/>
          <c:w val="0.18712378333965365"/>
          <c:h val="7.6937405295194231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Banks by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Bank_Market_Share!$AC$7</c:f>
              <c:strCache>
                <c:ptCount val="1"/>
                <c:pt idx="0">
                  <c:v>Total Value (₹Cr)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Bank_Market_Share!$AB$8:$AB$17</c:f>
              <c:strCache>
                <c:ptCount val="7"/>
                <c:pt idx="0">
                  <c:v>PhonePe</c:v>
                </c:pt>
                <c:pt idx="1">
                  <c:v>Google Pay</c:v>
                </c:pt>
                <c:pt idx="2">
                  <c:v>Paytm</c:v>
                </c:pt>
                <c:pt idx="3">
                  <c:v>BHIM</c:v>
                </c:pt>
                <c:pt idx="4">
                  <c:v>CRED</c:v>
                </c:pt>
                <c:pt idx="5">
                  <c:v>Amazon Pay</c:v>
                </c:pt>
                <c:pt idx="6">
                  <c:v>WhatsApp Pay</c:v>
                </c:pt>
              </c:strCache>
            </c:strRef>
          </c:cat>
          <c:val>
            <c:numRef>
              <c:f>Bank_Market_Share!$AC$8:$AC$17</c:f>
              <c:numCache>
                <c:formatCode>#,##0</c:formatCode>
                <c:ptCount val="10"/>
                <c:pt idx="0">
                  <c:v>7127102.1300000018</c:v>
                </c:pt>
                <c:pt idx="1">
                  <c:v>5176416.76</c:v>
                </c:pt>
                <c:pt idx="2">
                  <c:v>2031721.7699999996</c:v>
                </c:pt>
                <c:pt idx="3">
                  <c:v>345501.25</c:v>
                </c:pt>
                <c:pt idx="4">
                  <c:v>324938.21000000002</c:v>
                </c:pt>
                <c:pt idx="5">
                  <c:v>161424.05000000002</c:v>
                </c:pt>
                <c:pt idx="6">
                  <c:v>96456.35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A-4617-9E34-9E667C67A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66551"/>
        <c:axId val="56247178"/>
      </c:barChart>
      <c:catAx>
        <c:axId val="9006655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47178"/>
        <c:crosses val="autoZero"/>
        <c:auto val="1"/>
        <c:lblAlgn val="ctr"/>
        <c:lblOffset val="100"/>
        <c:noMultiLvlLbl val="0"/>
      </c:catAx>
      <c:valAx>
        <c:axId val="562471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66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Market Share Distribution (by Avg Share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Bank_Market_Share!$M$7</c:f>
              <c:strCache>
                <c:ptCount val="1"/>
                <c:pt idx="0">
                  <c:v>Avg Share %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009-4C59-A4D5-1BE5592BEECE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009-4C59-A4D5-1BE5592BEECE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009-4C59-A4D5-1BE5592BEECE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009-4C59-A4D5-1BE5592BEECE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009-4C59-A4D5-1BE5592BEECE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6009-4C59-A4D5-1BE5592BEECE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009-4C59-A4D5-1BE5592BEE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009-4C59-A4D5-1BE5592BEEC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009-4C59-A4D5-1BE5592BEEC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009-4C59-A4D5-1BE5592BEEC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009-4C59-A4D5-1BE5592BEEC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009-4C59-A4D5-1BE5592BEEC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009-4C59-A4D5-1BE5592BEEC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009-4C59-A4D5-1BE5592BEE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Bank_Market_Share!$J$8:$J$14</c:f>
              <c:strCache>
                <c:ptCount val="7"/>
                <c:pt idx="0">
                  <c:v>Amazon Pay</c:v>
                </c:pt>
                <c:pt idx="1">
                  <c:v>BHIM</c:v>
                </c:pt>
                <c:pt idx="2">
                  <c:v>CRED</c:v>
                </c:pt>
                <c:pt idx="3">
                  <c:v>Google Pay</c:v>
                </c:pt>
                <c:pt idx="4">
                  <c:v>Paytm</c:v>
                </c:pt>
                <c:pt idx="5">
                  <c:v>PhonePe</c:v>
                </c:pt>
                <c:pt idx="6">
                  <c:v>WhatsApp Pay</c:v>
                </c:pt>
              </c:strCache>
            </c:strRef>
          </c:cat>
          <c:val>
            <c:numRef>
              <c:f>Bank_Market_Share!$M$8:$M$14</c:f>
              <c:numCache>
                <c:formatCode>0.0</c:formatCode>
                <c:ptCount val="7"/>
                <c:pt idx="0">
                  <c:v>0.7329113924050632</c:v>
                </c:pt>
                <c:pt idx="1">
                  <c:v>4.285436893203884</c:v>
                </c:pt>
                <c:pt idx="2">
                  <c:v>1.5836363636363637</c:v>
                </c:pt>
                <c:pt idx="3">
                  <c:v>29.563106796116497</c:v>
                </c:pt>
                <c:pt idx="4">
                  <c:v>21.029126213592232</c:v>
                </c:pt>
                <c:pt idx="5">
                  <c:v>38.95631067961164</c:v>
                </c:pt>
                <c:pt idx="6">
                  <c:v>0.59534883720930232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009-4C59-A4D5-1BE5592BE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Bank Market Share Trend (Top 6, Yearly Avg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Bank_Market_Share!$P$7</c:f>
              <c:strCache>
                <c:ptCount val="1"/>
                <c:pt idx="0">
                  <c:v>PhonePe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Bank_Market_Share!$P$8:$P$17</c:f>
              <c:numCache>
                <c:formatCode>0.0</c:formatCode>
                <c:ptCount val="10"/>
                <c:pt idx="0">
                  <c:v>30.419999999999998</c:v>
                </c:pt>
                <c:pt idx="1">
                  <c:v>31.733333333333331</c:v>
                </c:pt>
                <c:pt idx="2">
                  <c:v>33.708333333333336</c:v>
                </c:pt>
                <c:pt idx="3">
                  <c:v>35.841666666666669</c:v>
                </c:pt>
                <c:pt idx="4">
                  <c:v>38.141666666666659</c:v>
                </c:pt>
                <c:pt idx="5">
                  <c:v>40.350000000000009</c:v>
                </c:pt>
                <c:pt idx="6">
                  <c:v>42.583333333333336</c:v>
                </c:pt>
                <c:pt idx="7">
                  <c:v>44.708333333333336</c:v>
                </c:pt>
                <c:pt idx="8">
                  <c:v>46.6</c:v>
                </c:pt>
                <c:pt idx="9">
                  <c:v>48.2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8C-46BF-8471-DE1955753C3A}"/>
            </c:ext>
          </c:extLst>
        </c:ser>
        <c:ser>
          <c:idx val="1"/>
          <c:order val="1"/>
          <c:tx>
            <c:strRef>
              <c:f>Bank_Market_Share!$Q$7</c:f>
              <c:strCache>
                <c:ptCount val="1"/>
                <c:pt idx="0">
                  <c:v>Google Pay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Bank_Market_Share!$Q$8:$Q$17</c:f>
              <c:numCache>
                <c:formatCode>0.0</c:formatCode>
                <c:ptCount val="10"/>
                <c:pt idx="0">
                  <c:v>25.459999999999997</c:v>
                </c:pt>
                <c:pt idx="1">
                  <c:v>25.941666666666666</c:v>
                </c:pt>
                <c:pt idx="2">
                  <c:v>27.158333333333331</c:v>
                </c:pt>
                <c:pt idx="3">
                  <c:v>28.116666666666671</c:v>
                </c:pt>
                <c:pt idx="4">
                  <c:v>28.991666666666664</c:v>
                </c:pt>
                <c:pt idx="5">
                  <c:v>30.083333333333332</c:v>
                </c:pt>
                <c:pt idx="6">
                  <c:v>31.416666666666668</c:v>
                </c:pt>
                <c:pt idx="7">
                  <c:v>32.358333333333327</c:v>
                </c:pt>
                <c:pt idx="8">
                  <c:v>33.31666666666667</c:v>
                </c:pt>
                <c:pt idx="9">
                  <c:v>34.549999999999997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8C-46BF-8471-DE1955753C3A}"/>
            </c:ext>
          </c:extLst>
        </c:ser>
        <c:ser>
          <c:idx val="2"/>
          <c:order val="2"/>
          <c:tx>
            <c:strRef>
              <c:f>Bank_Market_Share!$R$7</c:f>
              <c:strCache>
                <c:ptCount val="1"/>
                <c:pt idx="0">
                  <c:v>Paytm</c:v>
                </c:pt>
              </c:strCache>
            </c:strRef>
          </c:tx>
          <c:spPr>
            <a:ln w="28440">
              <a:solidFill>
                <a:srgbClr val="BDD7E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Bank_Market_Share!$R$8:$R$17</c:f>
              <c:numCache>
                <c:formatCode>0.0</c:formatCode>
                <c:ptCount val="10"/>
                <c:pt idx="0">
                  <c:v>34.42</c:v>
                </c:pt>
                <c:pt idx="1">
                  <c:v>32.216666666666669</c:v>
                </c:pt>
                <c:pt idx="2">
                  <c:v>28.525000000000002</c:v>
                </c:pt>
                <c:pt idx="3">
                  <c:v>25.525000000000002</c:v>
                </c:pt>
                <c:pt idx="4">
                  <c:v>22.275000000000002</c:v>
                </c:pt>
                <c:pt idx="5">
                  <c:v>19.191666666666666</c:v>
                </c:pt>
                <c:pt idx="6">
                  <c:v>15.65</c:v>
                </c:pt>
                <c:pt idx="7">
                  <c:v>12.341666666666667</c:v>
                </c:pt>
                <c:pt idx="8">
                  <c:v>9.2583333333333346</c:v>
                </c:pt>
                <c:pt idx="9">
                  <c:v>7.05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8C-46BF-8471-DE1955753C3A}"/>
            </c:ext>
          </c:extLst>
        </c:ser>
        <c:ser>
          <c:idx val="3"/>
          <c:order val="3"/>
          <c:tx>
            <c:strRef>
              <c:f>Bank_Market_Share!$S$7</c:f>
              <c:strCache>
                <c:ptCount val="1"/>
                <c:pt idx="0">
                  <c:v>BHIM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Bank_Market_Share!$S$8:$S$17</c:f>
              <c:numCache>
                <c:formatCode>0.0</c:formatCode>
                <c:ptCount val="10"/>
                <c:pt idx="0">
                  <c:v>7.88</c:v>
                </c:pt>
                <c:pt idx="1">
                  <c:v>7.0583333333333336</c:v>
                </c:pt>
                <c:pt idx="2">
                  <c:v>6.4666666666666677</c:v>
                </c:pt>
                <c:pt idx="3">
                  <c:v>5.291666666666667</c:v>
                </c:pt>
                <c:pt idx="4">
                  <c:v>4.6250000000000009</c:v>
                </c:pt>
                <c:pt idx="5">
                  <c:v>3.7333333333333325</c:v>
                </c:pt>
                <c:pt idx="6">
                  <c:v>2.8666666666666671</c:v>
                </c:pt>
                <c:pt idx="7">
                  <c:v>1.9749999999999999</c:v>
                </c:pt>
                <c:pt idx="8">
                  <c:v>1.3</c:v>
                </c:pt>
                <c:pt idx="9">
                  <c:v>1.1000000000000001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C8C-46BF-8471-DE1955753C3A}"/>
            </c:ext>
          </c:extLst>
        </c:ser>
        <c:ser>
          <c:idx val="4"/>
          <c:order val="4"/>
          <c:tx>
            <c:strRef>
              <c:f>Bank_Market_Share!$T$7</c:f>
              <c:strCache>
                <c:ptCount val="1"/>
                <c:pt idx="0">
                  <c:v>CRED</c:v>
                </c:pt>
              </c:strCache>
            </c:strRef>
          </c:tx>
          <c:spPr>
            <a:ln w="28440">
              <a:solidFill>
                <a:srgbClr val="D9E6F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Bank_Market_Share!$T$8:$T$17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0.6333333333333333</c:v>
                </c:pt>
                <c:pt idx="6">
                  <c:v>1.2333333333333334</c:v>
                </c:pt>
                <c:pt idx="7">
                  <c:v>1.9916666666666665</c:v>
                </c:pt>
                <c:pt idx="8">
                  <c:v>2.8000000000000003</c:v>
                </c:pt>
                <c:pt idx="9">
                  <c:v>3.35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C8C-46BF-8471-DE1955753C3A}"/>
            </c:ext>
          </c:extLst>
        </c:ser>
        <c:ser>
          <c:idx val="5"/>
          <c:order val="5"/>
          <c:tx>
            <c:strRef>
              <c:f>Bank_Market_Share!$U$7</c:f>
              <c:strCache>
                <c:ptCount val="1"/>
                <c:pt idx="0">
                  <c:v>Amazon Pay</c:v>
                </c:pt>
              </c:strCache>
            </c:strRef>
          </c:tx>
          <c:spPr>
            <a:ln w="28440">
              <a:solidFill>
                <a:srgbClr val="4472A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Bank_Market_Share!$U$8:$U$17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0.24166666666666667</c:v>
                </c:pt>
                <c:pt idx="4">
                  <c:v>0.59166666666666667</c:v>
                </c:pt>
                <c:pt idx="5">
                  <c:v>0.53333333333333333</c:v>
                </c:pt>
                <c:pt idx="6">
                  <c:v>0.9833333333333335</c:v>
                </c:pt>
                <c:pt idx="7">
                  <c:v>0.95000000000000007</c:v>
                </c:pt>
                <c:pt idx="8">
                  <c:v>1.1500000000000001</c:v>
                </c:pt>
                <c:pt idx="9">
                  <c:v>1.75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C8C-46BF-8471-DE1955753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413395"/>
        <c:axId val="67470353"/>
      </c:lineChart>
      <c:catAx>
        <c:axId val="104133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70353"/>
        <c:crosses val="autoZero"/>
        <c:auto val="1"/>
        <c:lblAlgn val="ctr"/>
        <c:lblOffset val="100"/>
        <c:noMultiLvlLbl val="0"/>
      </c:catAx>
      <c:valAx>
        <c:axId val="67470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13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Volume Share Comparison (Stacked, Top 6 Banks)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Bank_Market_Share!$P$7</c:f>
              <c:strCache>
                <c:ptCount val="1"/>
                <c:pt idx="0">
                  <c:v>PhonePe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Bank_Market_Share!$P$8:$P$17</c:f>
              <c:numCache>
                <c:formatCode>0.0</c:formatCode>
                <c:ptCount val="10"/>
                <c:pt idx="0">
                  <c:v>30.419999999999998</c:v>
                </c:pt>
                <c:pt idx="1">
                  <c:v>31.733333333333331</c:v>
                </c:pt>
                <c:pt idx="2">
                  <c:v>33.708333333333336</c:v>
                </c:pt>
                <c:pt idx="3">
                  <c:v>35.841666666666669</c:v>
                </c:pt>
                <c:pt idx="4">
                  <c:v>38.141666666666659</c:v>
                </c:pt>
                <c:pt idx="5">
                  <c:v>40.350000000000009</c:v>
                </c:pt>
                <c:pt idx="6">
                  <c:v>42.583333333333336</c:v>
                </c:pt>
                <c:pt idx="7">
                  <c:v>44.708333333333336</c:v>
                </c:pt>
                <c:pt idx="8">
                  <c:v>46.6</c:v>
                </c:pt>
                <c:pt idx="9">
                  <c:v>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DAB-9B10-32B842D89BC4}"/>
            </c:ext>
          </c:extLst>
        </c:ser>
        <c:ser>
          <c:idx val="1"/>
          <c:order val="1"/>
          <c:tx>
            <c:strRef>
              <c:f>Bank_Market_Share!$Q$7</c:f>
              <c:strCache>
                <c:ptCount val="1"/>
                <c:pt idx="0">
                  <c:v>Google Pay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Bank_Market_Share!$Q$8:$Q$17</c:f>
              <c:numCache>
                <c:formatCode>0.0</c:formatCode>
                <c:ptCount val="10"/>
                <c:pt idx="0">
                  <c:v>25.459999999999997</c:v>
                </c:pt>
                <c:pt idx="1">
                  <c:v>25.941666666666666</c:v>
                </c:pt>
                <c:pt idx="2">
                  <c:v>27.158333333333331</c:v>
                </c:pt>
                <c:pt idx="3">
                  <c:v>28.116666666666671</c:v>
                </c:pt>
                <c:pt idx="4">
                  <c:v>28.991666666666664</c:v>
                </c:pt>
                <c:pt idx="5">
                  <c:v>30.083333333333332</c:v>
                </c:pt>
                <c:pt idx="6">
                  <c:v>31.416666666666668</c:v>
                </c:pt>
                <c:pt idx="7">
                  <c:v>32.358333333333327</c:v>
                </c:pt>
                <c:pt idx="8">
                  <c:v>33.31666666666667</c:v>
                </c:pt>
                <c:pt idx="9">
                  <c:v>34.549999999999997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9-4DAB-9B10-32B842D89BC4}"/>
            </c:ext>
          </c:extLst>
        </c:ser>
        <c:ser>
          <c:idx val="2"/>
          <c:order val="2"/>
          <c:tx>
            <c:strRef>
              <c:f>Bank_Market_Share!$R$7</c:f>
              <c:strCache>
                <c:ptCount val="1"/>
                <c:pt idx="0">
                  <c:v>Paytm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Bank_Market_Share!$R$8:$R$17</c:f>
              <c:numCache>
                <c:formatCode>0.0</c:formatCode>
                <c:ptCount val="10"/>
                <c:pt idx="0">
                  <c:v>34.42</c:v>
                </c:pt>
                <c:pt idx="1">
                  <c:v>32.216666666666669</c:v>
                </c:pt>
                <c:pt idx="2">
                  <c:v>28.525000000000002</c:v>
                </c:pt>
                <c:pt idx="3">
                  <c:v>25.525000000000002</c:v>
                </c:pt>
                <c:pt idx="4">
                  <c:v>22.275000000000002</c:v>
                </c:pt>
                <c:pt idx="5">
                  <c:v>19.191666666666666</c:v>
                </c:pt>
                <c:pt idx="6">
                  <c:v>15.65</c:v>
                </c:pt>
                <c:pt idx="7">
                  <c:v>12.341666666666667</c:v>
                </c:pt>
                <c:pt idx="8">
                  <c:v>9.2583333333333346</c:v>
                </c:pt>
                <c:pt idx="9">
                  <c:v>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9-4DAB-9B10-32B842D89BC4}"/>
            </c:ext>
          </c:extLst>
        </c:ser>
        <c:ser>
          <c:idx val="3"/>
          <c:order val="3"/>
          <c:tx>
            <c:strRef>
              <c:f>Bank_Market_Share!$S$7</c:f>
              <c:strCache>
                <c:ptCount val="1"/>
                <c:pt idx="0">
                  <c:v>BHIM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Bank_Market_Share!$S$8:$S$17</c:f>
              <c:numCache>
                <c:formatCode>0.0</c:formatCode>
                <c:ptCount val="10"/>
                <c:pt idx="0">
                  <c:v>7.88</c:v>
                </c:pt>
                <c:pt idx="1">
                  <c:v>7.0583333333333336</c:v>
                </c:pt>
                <c:pt idx="2">
                  <c:v>6.4666666666666677</c:v>
                </c:pt>
                <c:pt idx="3">
                  <c:v>5.291666666666667</c:v>
                </c:pt>
                <c:pt idx="4">
                  <c:v>4.6250000000000009</c:v>
                </c:pt>
                <c:pt idx="5">
                  <c:v>3.7333333333333325</c:v>
                </c:pt>
                <c:pt idx="6">
                  <c:v>2.8666666666666671</c:v>
                </c:pt>
                <c:pt idx="7">
                  <c:v>1.9749999999999999</c:v>
                </c:pt>
                <c:pt idx="8">
                  <c:v>1.3</c:v>
                </c:pt>
                <c:pt idx="9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9-4DAB-9B10-32B842D89BC4}"/>
            </c:ext>
          </c:extLst>
        </c:ser>
        <c:ser>
          <c:idx val="4"/>
          <c:order val="4"/>
          <c:tx>
            <c:strRef>
              <c:f>Bank_Market_Share!$T$7</c:f>
              <c:strCache>
                <c:ptCount val="1"/>
                <c:pt idx="0">
                  <c:v>CRED</c:v>
                </c:pt>
              </c:strCache>
            </c:strRef>
          </c:tx>
          <c:spPr>
            <a:solidFill>
              <a:srgbClr val="D9E6F5"/>
            </a:solidFill>
            <a:ln w="0">
              <a:solidFill>
                <a:srgbClr val="D9E6F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Bank_Market_Share!$T$8:$T$17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0.6333333333333333</c:v>
                </c:pt>
                <c:pt idx="6">
                  <c:v>1.2333333333333334</c:v>
                </c:pt>
                <c:pt idx="7">
                  <c:v>1.9916666666666665</c:v>
                </c:pt>
                <c:pt idx="8">
                  <c:v>2.8000000000000003</c:v>
                </c:pt>
                <c:pt idx="9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9-4DAB-9B10-32B842D89BC4}"/>
            </c:ext>
          </c:extLst>
        </c:ser>
        <c:ser>
          <c:idx val="5"/>
          <c:order val="5"/>
          <c:tx>
            <c:strRef>
              <c:f>Bank_Market_Share!$U$7</c:f>
              <c:strCache>
                <c:ptCount val="1"/>
                <c:pt idx="0">
                  <c:v>Amazon Pay</c:v>
                </c:pt>
              </c:strCache>
            </c:strRef>
          </c:tx>
          <c:spPr>
            <a:solidFill>
              <a:srgbClr val="4472A8"/>
            </a:solidFill>
            <a:ln w="0">
              <a:solidFill>
                <a:srgbClr val="4472A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Bank_Market_Share!$O$8:$O$17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Bank_Market_Share!$U$8:$U$17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0.24166666666666667</c:v>
                </c:pt>
                <c:pt idx="4">
                  <c:v>0.59166666666666667</c:v>
                </c:pt>
                <c:pt idx="5">
                  <c:v>0.53333333333333333</c:v>
                </c:pt>
                <c:pt idx="6">
                  <c:v>0.9833333333333335</c:v>
                </c:pt>
                <c:pt idx="7">
                  <c:v>0.95000000000000007</c:v>
                </c:pt>
                <c:pt idx="8">
                  <c:v>1.1500000000000001</c:v>
                </c:pt>
                <c:pt idx="9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49-4DAB-9B10-32B842D89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452664"/>
        <c:axId val="50030767"/>
      </c:barChart>
      <c:catAx>
        <c:axId val="90452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767"/>
        <c:crosses val="autoZero"/>
        <c:auto val="1"/>
        <c:lblAlgn val="ctr"/>
        <c:lblOffset val="100"/>
        <c:noMultiLvlLbl val="0"/>
      </c:catAx>
      <c:valAx>
        <c:axId val="50030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52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States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State_Adoption!$P$7</c:f>
              <c:strCache>
                <c:ptCount val="1"/>
                <c:pt idx="0">
                  <c:v>Total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State_Adoption!$O$8:$O$22</c:f>
              <c:strCache>
                <c:ptCount val="15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Telangana</c:v>
                </c:pt>
                <c:pt idx="5">
                  <c:v>Gujarat</c:v>
                </c:pt>
                <c:pt idx="6">
                  <c:v>Uttar Pradesh</c:v>
                </c:pt>
                <c:pt idx="7">
                  <c:v>Rajasthan</c:v>
                </c:pt>
                <c:pt idx="8">
                  <c:v>West Bengal</c:v>
                </c:pt>
                <c:pt idx="9">
                  <c:v>Kerala</c:v>
                </c:pt>
                <c:pt idx="10">
                  <c:v>Madhya Pradesh</c:v>
                </c:pt>
                <c:pt idx="11">
                  <c:v>Andhra Pradesh</c:v>
                </c:pt>
                <c:pt idx="12">
                  <c:v>Haryana</c:v>
                </c:pt>
                <c:pt idx="13">
                  <c:v>Punjab</c:v>
                </c:pt>
                <c:pt idx="14">
                  <c:v>Bihar</c:v>
                </c:pt>
              </c:strCache>
            </c:strRef>
          </c:cat>
          <c:val>
            <c:numRef>
              <c:f>State_Adoption!$P$8:$P$22</c:f>
              <c:numCache>
                <c:formatCode>#,##0</c:formatCode>
                <c:ptCount val="15"/>
                <c:pt idx="0">
                  <c:v>76635.66</c:v>
                </c:pt>
                <c:pt idx="1">
                  <c:v>59546.41</c:v>
                </c:pt>
                <c:pt idx="2">
                  <c:v>38564.17</c:v>
                </c:pt>
                <c:pt idx="3">
                  <c:v>32679.000000000004</c:v>
                </c:pt>
                <c:pt idx="4">
                  <c:v>30628.170000000006</c:v>
                </c:pt>
                <c:pt idx="5">
                  <c:v>27735.929999999997</c:v>
                </c:pt>
                <c:pt idx="6">
                  <c:v>25776.199999999997</c:v>
                </c:pt>
                <c:pt idx="7">
                  <c:v>22013.72</c:v>
                </c:pt>
                <c:pt idx="8">
                  <c:v>19824.32</c:v>
                </c:pt>
                <c:pt idx="9">
                  <c:v>18055.96</c:v>
                </c:pt>
                <c:pt idx="10">
                  <c:v>16636.179999999997</c:v>
                </c:pt>
                <c:pt idx="11">
                  <c:v>14780.460000000001</c:v>
                </c:pt>
                <c:pt idx="12">
                  <c:v>13143.8</c:v>
                </c:pt>
                <c:pt idx="13">
                  <c:v>11944.970000000001</c:v>
                </c:pt>
                <c:pt idx="14">
                  <c:v>10139.93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8-472F-A1E4-7F284B859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79618"/>
        <c:axId val="60443190"/>
      </c:barChart>
      <c:catAx>
        <c:axId val="7987961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43190"/>
        <c:crosses val="autoZero"/>
        <c:auto val="1"/>
        <c:lblAlgn val="ctr"/>
        <c:lblOffset val="100"/>
        <c:noMultiLvlLbl val="0"/>
      </c:catAx>
      <c:valAx>
        <c:axId val="60443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79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States by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State_Adoption!$T$7</c:f>
              <c:strCache>
                <c:ptCount val="1"/>
                <c:pt idx="0">
                  <c:v>Total Value (₹Cr)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State_Adoption!$S$8:$S$22</c:f>
              <c:strCache>
                <c:ptCount val="15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Telangana</c:v>
                </c:pt>
                <c:pt idx="5">
                  <c:v>Gujarat</c:v>
                </c:pt>
                <c:pt idx="6">
                  <c:v>Uttar Pradesh</c:v>
                </c:pt>
                <c:pt idx="7">
                  <c:v>Rajasthan</c:v>
                </c:pt>
                <c:pt idx="8">
                  <c:v>West Bengal</c:v>
                </c:pt>
                <c:pt idx="9">
                  <c:v>Kerala</c:v>
                </c:pt>
                <c:pt idx="10">
                  <c:v>Madhya Pradesh</c:v>
                </c:pt>
                <c:pt idx="11">
                  <c:v>Andhra Pradesh</c:v>
                </c:pt>
                <c:pt idx="12">
                  <c:v>Haryana</c:v>
                </c:pt>
                <c:pt idx="13">
                  <c:v>Punjab</c:v>
                </c:pt>
                <c:pt idx="14">
                  <c:v>Bihar</c:v>
                </c:pt>
              </c:strCache>
            </c:strRef>
          </c:cat>
          <c:val>
            <c:numRef>
              <c:f>State_Adoption!$T$8:$T$22</c:f>
              <c:numCache>
                <c:formatCode>#,##0</c:formatCode>
                <c:ptCount val="15"/>
                <c:pt idx="0">
                  <c:v>2625403.7999999998</c:v>
                </c:pt>
                <c:pt idx="1">
                  <c:v>2040132.4300000002</c:v>
                </c:pt>
                <c:pt idx="2">
                  <c:v>1321186.58</c:v>
                </c:pt>
                <c:pt idx="3">
                  <c:v>1119510.58</c:v>
                </c:pt>
                <c:pt idx="4">
                  <c:v>1049319.1300000001</c:v>
                </c:pt>
                <c:pt idx="5">
                  <c:v>950141.21000000008</c:v>
                </c:pt>
                <c:pt idx="6">
                  <c:v>882987.7</c:v>
                </c:pt>
                <c:pt idx="7">
                  <c:v>754173.88</c:v>
                </c:pt>
                <c:pt idx="8">
                  <c:v>679120.12999999989</c:v>
                </c:pt>
                <c:pt idx="9">
                  <c:v>618571.28</c:v>
                </c:pt>
                <c:pt idx="10">
                  <c:v>569878.31000000006</c:v>
                </c:pt>
                <c:pt idx="11">
                  <c:v>506414.1</c:v>
                </c:pt>
                <c:pt idx="12">
                  <c:v>450258.41000000003</c:v>
                </c:pt>
                <c:pt idx="13">
                  <c:v>409236.58999999997</c:v>
                </c:pt>
                <c:pt idx="14">
                  <c:v>347399.07999999996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6-4FC0-87AB-A5EC4987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1509"/>
        <c:axId val="21203264"/>
      </c:barChart>
      <c:catAx>
        <c:axId val="4018150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03264"/>
        <c:crosses val="autoZero"/>
        <c:auto val="1"/>
        <c:lblAlgn val="ctr"/>
        <c:lblOffset val="100"/>
        <c:noMultiLvlLbl val="0"/>
      </c:catAx>
      <c:valAx>
        <c:axId val="212032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181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Average Transaction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State_Adoption!$L$7</c:f>
              <c:strCache>
                <c:ptCount val="1"/>
                <c:pt idx="0">
                  <c:v>Avg Txn Value (₹)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State_Adoption!$I$8:$I$43</c:f>
              <c:strCache>
                <c:ptCount val="36"/>
                <c:pt idx="0">
                  <c:v>A&amp;N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D&amp;N Haveli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J&amp;K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State_Adoption!$L$8:$L$43</c:f>
              <c:numCache>
                <c:formatCode>#,##0</c:formatCode>
                <c:ptCount val="36"/>
                <c:pt idx="0">
                  <c:v>329.84371428571438</c:v>
                </c:pt>
                <c:pt idx="1">
                  <c:v>346.97617647058826</c:v>
                </c:pt>
                <c:pt idx="2">
                  <c:v>333.29</c:v>
                </c:pt>
                <c:pt idx="3">
                  <c:v>341.83057142857149</c:v>
                </c:pt>
                <c:pt idx="4">
                  <c:v>340.35428571428577</c:v>
                </c:pt>
                <c:pt idx="5">
                  <c:v>339.73371428571437</c:v>
                </c:pt>
                <c:pt idx="6">
                  <c:v>342.46857142857152</c:v>
                </c:pt>
                <c:pt idx="7">
                  <c:v>325.20285714285723</c:v>
                </c:pt>
                <c:pt idx="8">
                  <c:v>348.68647058823535</c:v>
                </c:pt>
                <c:pt idx="9">
                  <c:v>344.86228571428563</c:v>
                </c:pt>
                <c:pt idx="10">
                  <c:v>352.05529411764707</c:v>
                </c:pt>
                <c:pt idx="11">
                  <c:v>344.47352941176473</c:v>
                </c:pt>
                <c:pt idx="12">
                  <c:v>338.55399999999997</c:v>
                </c:pt>
                <c:pt idx="13">
                  <c:v>343.97257142857143</c:v>
                </c:pt>
                <c:pt idx="14">
                  <c:v>338.58942857142853</c:v>
                </c:pt>
                <c:pt idx="15">
                  <c:v>348.6076470588236</c:v>
                </c:pt>
                <c:pt idx="16">
                  <c:v>346.80794117647065</c:v>
                </c:pt>
                <c:pt idx="17">
                  <c:v>315.02885714285713</c:v>
                </c:pt>
                <c:pt idx="18">
                  <c:v>306.96314285714288</c:v>
                </c:pt>
                <c:pt idx="19">
                  <c:v>346.56029411764712</c:v>
                </c:pt>
                <c:pt idx="20">
                  <c:v>350.65147058823533</c:v>
                </c:pt>
                <c:pt idx="21">
                  <c:v>329.38171428571434</c:v>
                </c:pt>
                <c:pt idx="22">
                  <c:v>334.58028571428571</c:v>
                </c:pt>
                <c:pt idx="23">
                  <c:v>330.86371428571437</c:v>
                </c:pt>
                <c:pt idx="24">
                  <c:v>326.69285714285712</c:v>
                </c:pt>
                <c:pt idx="25">
                  <c:v>339.33857142857141</c:v>
                </c:pt>
                <c:pt idx="26">
                  <c:v>337.75942857142854</c:v>
                </c:pt>
                <c:pt idx="27">
                  <c:v>345.47485714285716</c:v>
                </c:pt>
                <c:pt idx="28">
                  <c:v>350.37617647058823</c:v>
                </c:pt>
                <c:pt idx="29">
                  <c:v>328.75371428571424</c:v>
                </c:pt>
                <c:pt idx="30">
                  <c:v>347.29911764705884</c:v>
                </c:pt>
                <c:pt idx="31">
                  <c:v>346.62676470588241</c:v>
                </c:pt>
                <c:pt idx="32">
                  <c:v>340.24714285714293</c:v>
                </c:pt>
                <c:pt idx="33">
                  <c:v>350.62882352941182</c:v>
                </c:pt>
                <c:pt idx="34">
                  <c:v>340.06428571428575</c:v>
                </c:pt>
                <c:pt idx="35">
                  <c:v>347.85029411764708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A-4466-99D9-E07F678B7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61918"/>
        <c:axId val="69549469"/>
      </c:barChart>
      <c:catAx>
        <c:axId val="262619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49469"/>
        <c:crosses val="autoZero"/>
        <c:auto val="1"/>
        <c:lblAlgn val="ctr"/>
        <c:lblOffset val="100"/>
        <c:noMultiLvlLbl val="0"/>
      </c:catAx>
      <c:valAx>
        <c:axId val="69549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61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Quarter-wise State Growth (Top 6 States)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State_Adoption!$W$7</c:f>
              <c:strCache>
                <c:ptCount val="1"/>
                <c:pt idx="0">
                  <c:v>Maharashtra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State_Adoption!$W$8:$W$11</c:f>
              <c:numCache>
                <c:formatCode>#,##0</c:formatCode>
                <c:ptCount val="4"/>
                <c:pt idx="0">
                  <c:v>16366.42</c:v>
                </c:pt>
                <c:pt idx="1">
                  <c:v>18649.980000000003</c:v>
                </c:pt>
                <c:pt idx="2">
                  <c:v>22330.920000000002</c:v>
                </c:pt>
                <c:pt idx="3">
                  <c:v>19288.34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66-4A73-8F9B-93E09B40EC46}"/>
            </c:ext>
          </c:extLst>
        </c:ser>
        <c:ser>
          <c:idx val="1"/>
          <c:order val="1"/>
          <c:tx>
            <c:strRef>
              <c:f>State_Adoption!$X$7</c:f>
              <c:strCache>
                <c:ptCount val="1"/>
                <c:pt idx="0">
                  <c:v>Karnataka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State_Adoption!$X$8:$X$11</c:f>
              <c:numCache>
                <c:formatCode>#,##0</c:formatCode>
                <c:ptCount val="4"/>
                <c:pt idx="0">
                  <c:v>12843.79</c:v>
                </c:pt>
                <c:pt idx="1">
                  <c:v>13854.439999999999</c:v>
                </c:pt>
                <c:pt idx="2">
                  <c:v>17161.939999999999</c:v>
                </c:pt>
                <c:pt idx="3">
                  <c:v>15686.240000000002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66-4A73-8F9B-93E09B40EC46}"/>
            </c:ext>
          </c:extLst>
        </c:ser>
        <c:ser>
          <c:idx val="2"/>
          <c:order val="2"/>
          <c:tx>
            <c:strRef>
              <c:f>State_Adoption!$Y$7</c:f>
              <c:strCache>
                <c:ptCount val="1"/>
                <c:pt idx="0">
                  <c:v>Delhi</c:v>
                </c:pt>
              </c:strCache>
            </c:strRef>
          </c:tx>
          <c:spPr>
            <a:ln w="28440">
              <a:solidFill>
                <a:srgbClr val="BDD7E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State_Adoption!$Y$8:$Y$11</c:f>
              <c:numCache>
                <c:formatCode>#,##0</c:formatCode>
                <c:ptCount val="4"/>
                <c:pt idx="0">
                  <c:v>8356.9599999999991</c:v>
                </c:pt>
                <c:pt idx="1">
                  <c:v>9368.16</c:v>
                </c:pt>
                <c:pt idx="2">
                  <c:v>10992.099999999999</c:v>
                </c:pt>
                <c:pt idx="3">
                  <c:v>9846.9500000000007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66-4A73-8F9B-93E09B40EC46}"/>
            </c:ext>
          </c:extLst>
        </c:ser>
        <c:ser>
          <c:idx val="3"/>
          <c:order val="3"/>
          <c:tx>
            <c:strRef>
              <c:f>State_Adoption!$Z$7</c:f>
              <c:strCache>
                <c:ptCount val="1"/>
                <c:pt idx="0">
                  <c:v>Tamil Nadu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State_Adoption!$Z$8:$Z$11</c:f>
              <c:numCache>
                <c:formatCode>#,##0</c:formatCode>
                <c:ptCount val="4"/>
                <c:pt idx="0">
                  <c:v>7229.55</c:v>
                </c:pt>
                <c:pt idx="1">
                  <c:v>7946.88</c:v>
                </c:pt>
                <c:pt idx="2">
                  <c:v>8904.69</c:v>
                </c:pt>
                <c:pt idx="3">
                  <c:v>8597.8799999999992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866-4A73-8F9B-93E09B40EC46}"/>
            </c:ext>
          </c:extLst>
        </c:ser>
        <c:ser>
          <c:idx val="4"/>
          <c:order val="4"/>
          <c:tx>
            <c:strRef>
              <c:f>State_Adoption!$AA$7</c:f>
              <c:strCache>
                <c:ptCount val="1"/>
                <c:pt idx="0">
                  <c:v>Telangana</c:v>
                </c:pt>
              </c:strCache>
            </c:strRef>
          </c:tx>
          <c:spPr>
            <a:ln w="28440">
              <a:solidFill>
                <a:srgbClr val="D9E6F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State_Adoption!$AA$8:$AA$11</c:f>
              <c:numCache>
                <c:formatCode>#,##0</c:formatCode>
                <c:ptCount val="4"/>
                <c:pt idx="0">
                  <c:v>6422.74</c:v>
                </c:pt>
                <c:pt idx="1">
                  <c:v>7698.4699999999993</c:v>
                </c:pt>
                <c:pt idx="2">
                  <c:v>8391.84</c:v>
                </c:pt>
                <c:pt idx="3">
                  <c:v>8115.119999999999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866-4A73-8F9B-93E09B40EC46}"/>
            </c:ext>
          </c:extLst>
        </c:ser>
        <c:ser>
          <c:idx val="5"/>
          <c:order val="5"/>
          <c:tx>
            <c:strRef>
              <c:f>State_Adoption!$AB$7</c:f>
              <c:strCache>
                <c:ptCount val="1"/>
                <c:pt idx="0">
                  <c:v>Gujarat</c:v>
                </c:pt>
              </c:strCache>
            </c:strRef>
          </c:tx>
          <c:spPr>
            <a:ln w="28440">
              <a:solidFill>
                <a:srgbClr val="4472A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State_Adoption!$V$8:$V$11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State_Adoption!$AB$8:$AB$11</c:f>
              <c:numCache>
                <c:formatCode>#,##0</c:formatCode>
                <c:ptCount val="4"/>
                <c:pt idx="0">
                  <c:v>5801.9400000000005</c:v>
                </c:pt>
                <c:pt idx="1">
                  <c:v>6717.1100000000006</c:v>
                </c:pt>
                <c:pt idx="2">
                  <c:v>7912</c:v>
                </c:pt>
                <c:pt idx="3">
                  <c:v>7304.88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866-4A73-8F9B-93E09B40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621637"/>
        <c:axId val="75978539"/>
      </c:lineChart>
      <c:catAx>
        <c:axId val="896216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78539"/>
        <c:crosses val="autoZero"/>
        <c:auto val="1"/>
        <c:lblAlgn val="ctr"/>
        <c:lblOffset val="100"/>
        <c:noMultiLvlLbl val="0"/>
      </c:catAx>
      <c:valAx>
        <c:axId val="75978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21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Volume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Daily_Analysis!$G$10</c:f>
              <c:strCache>
                <c:ptCount val="1"/>
                <c:pt idx="0">
                  <c:v>volume_millions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Daily_Analysis!$C$11:$C$3144</c:f>
              <c:numCache>
                <c:formatCode>General</c:formatCode>
                <c:ptCount val="313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12</c:v>
                </c:pt>
                <c:pt idx="488">
                  <c:v>12</c:v>
                </c:pt>
                <c:pt idx="489">
                  <c:v>12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9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9</c:v>
                </c:pt>
                <c:pt idx="790">
                  <c:v>9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11</c:v>
                </c:pt>
                <c:pt idx="823">
                  <c:v>11</c:v>
                </c:pt>
                <c:pt idx="824">
                  <c:v>11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42">
                  <c:v>11</c:v>
                </c:pt>
                <c:pt idx="843">
                  <c:v>11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12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12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12</c:v>
                </c:pt>
                <c:pt idx="872">
                  <c:v>12</c:v>
                </c:pt>
                <c:pt idx="873">
                  <c:v>12</c:v>
                </c:pt>
                <c:pt idx="874">
                  <c:v>12</c:v>
                </c:pt>
                <c:pt idx="875">
                  <c:v>12</c:v>
                </c:pt>
                <c:pt idx="876">
                  <c:v>12</c:v>
                </c:pt>
                <c:pt idx="877">
                  <c:v>12</c:v>
                </c:pt>
                <c:pt idx="878">
                  <c:v>12</c:v>
                </c:pt>
                <c:pt idx="879">
                  <c:v>12</c:v>
                </c:pt>
                <c:pt idx="880">
                  <c:v>12</c:v>
                </c:pt>
                <c:pt idx="881">
                  <c:v>12</c:v>
                </c:pt>
                <c:pt idx="882">
                  <c:v>12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6</c:v>
                </c:pt>
                <c:pt idx="1035">
                  <c:v>6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6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7</c:v>
                </c:pt>
                <c:pt idx="1065">
                  <c:v>7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7</c:v>
                </c:pt>
                <c:pt idx="1070">
                  <c:v>7</c:v>
                </c:pt>
                <c:pt idx="1071">
                  <c:v>7</c:v>
                </c:pt>
                <c:pt idx="1072">
                  <c:v>7</c:v>
                </c:pt>
                <c:pt idx="1073">
                  <c:v>7</c:v>
                </c:pt>
                <c:pt idx="1074">
                  <c:v>7</c:v>
                </c:pt>
                <c:pt idx="1075">
                  <c:v>7</c:v>
                </c:pt>
                <c:pt idx="1076">
                  <c:v>7</c:v>
                </c:pt>
                <c:pt idx="1077">
                  <c:v>7</c:v>
                </c:pt>
                <c:pt idx="1078">
                  <c:v>7</c:v>
                </c:pt>
                <c:pt idx="1079">
                  <c:v>7</c:v>
                </c:pt>
                <c:pt idx="1080">
                  <c:v>7</c:v>
                </c:pt>
                <c:pt idx="1081">
                  <c:v>7</c:v>
                </c:pt>
                <c:pt idx="1082">
                  <c:v>7</c:v>
                </c:pt>
                <c:pt idx="1083">
                  <c:v>7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7</c:v>
                </c:pt>
                <c:pt idx="1091">
                  <c:v>7</c:v>
                </c:pt>
                <c:pt idx="1092">
                  <c:v>7</c:v>
                </c:pt>
                <c:pt idx="1093">
                  <c:v>7</c:v>
                </c:pt>
                <c:pt idx="1094">
                  <c:v>7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9</c:v>
                </c:pt>
                <c:pt idx="1127">
                  <c:v>9</c:v>
                </c:pt>
                <c:pt idx="1128">
                  <c:v>9</c:v>
                </c:pt>
                <c:pt idx="1129">
                  <c:v>9</c:v>
                </c:pt>
                <c:pt idx="1130">
                  <c:v>9</c:v>
                </c:pt>
                <c:pt idx="1131">
                  <c:v>9</c:v>
                </c:pt>
                <c:pt idx="1132">
                  <c:v>9</c:v>
                </c:pt>
                <c:pt idx="1133">
                  <c:v>9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10</c:v>
                </c:pt>
                <c:pt idx="1157">
                  <c:v>10</c:v>
                </c:pt>
                <c:pt idx="1158">
                  <c:v>10</c:v>
                </c:pt>
                <c:pt idx="1159">
                  <c:v>10</c:v>
                </c:pt>
                <c:pt idx="1160">
                  <c:v>10</c:v>
                </c:pt>
                <c:pt idx="1161">
                  <c:v>10</c:v>
                </c:pt>
                <c:pt idx="1162">
                  <c:v>10</c:v>
                </c:pt>
                <c:pt idx="1163">
                  <c:v>10</c:v>
                </c:pt>
                <c:pt idx="1164">
                  <c:v>10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10</c:v>
                </c:pt>
                <c:pt idx="1169">
                  <c:v>10</c:v>
                </c:pt>
                <c:pt idx="1170">
                  <c:v>10</c:v>
                </c:pt>
                <c:pt idx="1171">
                  <c:v>10</c:v>
                </c:pt>
                <c:pt idx="1172">
                  <c:v>10</c:v>
                </c:pt>
                <c:pt idx="1173">
                  <c:v>10</c:v>
                </c:pt>
                <c:pt idx="1174">
                  <c:v>10</c:v>
                </c:pt>
                <c:pt idx="1175">
                  <c:v>10</c:v>
                </c:pt>
                <c:pt idx="1176">
                  <c:v>10</c:v>
                </c:pt>
                <c:pt idx="1177">
                  <c:v>10</c:v>
                </c:pt>
                <c:pt idx="1178">
                  <c:v>10</c:v>
                </c:pt>
                <c:pt idx="1179">
                  <c:v>10</c:v>
                </c:pt>
                <c:pt idx="1180">
                  <c:v>10</c:v>
                </c:pt>
                <c:pt idx="1181">
                  <c:v>10</c:v>
                </c:pt>
                <c:pt idx="1182">
                  <c:v>10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11</c:v>
                </c:pt>
                <c:pt idx="1188">
                  <c:v>11</c:v>
                </c:pt>
                <c:pt idx="1189">
                  <c:v>11</c:v>
                </c:pt>
                <c:pt idx="1190">
                  <c:v>11</c:v>
                </c:pt>
                <c:pt idx="1191">
                  <c:v>11</c:v>
                </c:pt>
                <c:pt idx="1192">
                  <c:v>11</c:v>
                </c:pt>
                <c:pt idx="1193">
                  <c:v>11</c:v>
                </c:pt>
                <c:pt idx="1194">
                  <c:v>11</c:v>
                </c:pt>
                <c:pt idx="1195">
                  <c:v>11</c:v>
                </c:pt>
                <c:pt idx="1196">
                  <c:v>11</c:v>
                </c:pt>
                <c:pt idx="1197">
                  <c:v>11</c:v>
                </c:pt>
                <c:pt idx="1198">
                  <c:v>11</c:v>
                </c:pt>
                <c:pt idx="1199">
                  <c:v>11</c:v>
                </c:pt>
                <c:pt idx="1200">
                  <c:v>11</c:v>
                </c:pt>
                <c:pt idx="1201">
                  <c:v>11</c:v>
                </c:pt>
                <c:pt idx="1202">
                  <c:v>11</c:v>
                </c:pt>
                <c:pt idx="1203">
                  <c:v>11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11</c:v>
                </c:pt>
                <c:pt idx="1208">
                  <c:v>11</c:v>
                </c:pt>
                <c:pt idx="1209">
                  <c:v>11</c:v>
                </c:pt>
                <c:pt idx="1210">
                  <c:v>11</c:v>
                </c:pt>
                <c:pt idx="1211">
                  <c:v>11</c:v>
                </c:pt>
                <c:pt idx="1212">
                  <c:v>11</c:v>
                </c:pt>
                <c:pt idx="1213">
                  <c:v>11</c:v>
                </c:pt>
                <c:pt idx="1214">
                  <c:v>11</c:v>
                </c:pt>
                <c:pt idx="1215">
                  <c:v>11</c:v>
                </c:pt>
                <c:pt idx="1216">
                  <c:v>11</c:v>
                </c:pt>
                <c:pt idx="1217">
                  <c:v>12</c:v>
                </c:pt>
                <c:pt idx="1218">
                  <c:v>12</c:v>
                </c:pt>
                <c:pt idx="1219">
                  <c:v>12</c:v>
                </c:pt>
                <c:pt idx="1220">
                  <c:v>12</c:v>
                </c:pt>
                <c:pt idx="1221">
                  <c:v>12</c:v>
                </c:pt>
                <c:pt idx="1222">
                  <c:v>12</c:v>
                </c:pt>
                <c:pt idx="1223">
                  <c:v>12</c:v>
                </c:pt>
                <c:pt idx="1224">
                  <c:v>12</c:v>
                </c:pt>
                <c:pt idx="1225">
                  <c:v>12</c:v>
                </c:pt>
                <c:pt idx="1226">
                  <c:v>12</c:v>
                </c:pt>
                <c:pt idx="1227">
                  <c:v>12</c:v>
                </c:pt>
                <c:pt idx="1228">
                  <c:v>12</c:v>
                </c:pt>
                <c:pt idx="1229">
                  <c:v>12</c:v>
                </c:pt>
                <c:pt idx="1230">
                  <c:v>12</c:v>
                </c:pt>
                <c:pt idx="1231">
                  <c:v>12</c:v>
                </c:pt>
                <c:pt idx="1232">
                  <c:v>12</c:v>
                </c:pt>
                <c:pt idx="1233">
                  <c:v>12</c:v>
                </c:pt>
                <c:pt idx="1234">
                  <c:v>12</c:v>
                </c:pt>
                <c:pt idx="1235">
                  <c:v>12</c:v>
                </c:pt>
                <c:pt idx="1236">
                  <c:v>12</c:v>
                </c:pt>
                <c:pt idx="1237">
                  <c:v>12</c:v>
                </c:pt>
                <c:pt idx="1238">
                  <c:v>12</c:v>
                </c:pt>
                <c:pt idx="1239">
                  <c:v>12</c:v>
                </c:pt>
                <c:pt idx="1240">
                  <c:v>12</c:v>
                </c:pt>
                <c:pt idx="1241">
                  <c:v>12</c:v>
                </c:pt>
                <c:pt idx="1242">
                  <c:v>12</c:v>
                </c:pt>
                <c:pt idx="1243">
                  <c:v>12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12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4</c:v>
                </c:pt>
                <c:pt idx="1359">
                  <c:v>4</c:v>
                </c:pt>
                <c:pt idx="1360">
                  <c:v>4</c:v>
                </c:pt>
                <c:pt idx="1361">
                  <c:v>4</c:v>
                </c:pt>
                <c:pt idx="1362">
                  <c:v>4</c:v>
                </c:pt>
                <c:pt idx="1363">
                  <c:v>4</c:v>
                </c:pt>
                <c:pt idx="1364">
                  <c:v>4</c:v>
                </c:pt>
                <c:pt idx="1365">
                  <c:v>4</c:v>
                </c:pt>
                <c:pt idx="1366">
                  <c:v>4</c:v>
                </c:pt>
                <c:pt idx="1367">
                  <c:v>4</c:v>
                </c:pt>
                <c:pt idx="1368">
                  <c:v>4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6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6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7</c:v>
                </c:pt>
                <c:pt idx="1460">
                  <c:v>7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11</c:v>
                </c:pt>
                <c:pt idx="1554">
                  <c:v>11</c:v>
                </c:pt>
                <c:pt idx="1555">
                  <c:v>11</c:v>
                </c:pt>
                <c:pt idx="1556">
                  <c:v>11</c:v>
                </c:pt>
                <c:pt idx="1557">
                  <c:v>11</c:v>
                </c:pt>
                <c:pt idx="1558">
                  <c:v>11</c:v>
                </c:pt>
                <c:pt idx="1559">
                  <c:v>11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12</c:v>
                </c:pt>
                <c:pt idx="1584">
                  <c:v>12</c:v>
                </c:pt>
                <c:pt idx="1585">
                  <c:v>12</c:v>
                </c:pt>
                <c:pt idx="1586">
                  <c:v>12</c:v>
                </c:pt>
                <c:pt idx="1587">
                  <c:v>12</c:v>
                </c:pt>
                <c:pt idx="1588">
                  <c:v>12</c:v>
                </c:pt>
                <c:pt idx="1589">
                  <c:v>12</c:v>
                </c:pt>
                <c:pt idx="1590">
                  <c:v>12</c:v>
                </c:pt>
                <c:pt idx="1591">
                  <c:v>12</c:v>
                </c:pt>
                <c:pt idx="1592">
                  <c:v>12</c:v>
                </c:pt>
                <c:pt idx="1593">
                  <c:v>12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12</c:v>
                </c:pt>
                <c:pt idx="1598">
                  <c:v>12</c:v>
                </c:pt>
                <c:pt idx="1599">
                  <c:v>12</c:v>
                </c:pt>
                <c:pt idx="1600">
                  <c:v>12</c:v>
                </c:pt>
                <c:pt idx="1601">
                  <c:v>12</c:v>
                </c:pt>
                <c:pt idx="1602">
                  <c:v>12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12</c:v>
                </c:pt>
                <c:pt idx="1612">
                  <c:v>12</c:v>
                </c:pt>
                <c:pt idx="1613">
                  <c:v>12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6</c:v>
                </c:pt>
                <c:pt idx="1766">
                  <c:v>6</c:v>
                </c:pt>
                <c:pt idx="1767">
                  <c:v>6</c:v>
                </c:pt>
                <c:pt idx="1768">
                  <c:v>6</c:v>
                </c:pt>
                <c:pt idx="1769">
                  <c:v>6</c:v>
                </c:pt>
                <c:pt idx="1770">
                  <c:v>6</c:v>
                </c:pt>
                <c:pt idx="1771">
                  <c:v>6</c:v>
                </c:pt>
                <c:pt idx="1772">
                  <c:v>6</c:v>
                </c:pt>
                <c:pt idx="1773">
                  <c:v>6</c:v>
                </c:pt>
                <c:pt idx="1774">
                  <c:v>6</c:v>
                </c:pt>
                <c:pt idx="1775">
                  <c:v>6</c:v>
                </c:pt>
                <c:pt idx="1776">
                  <c:v>6</c:v>
                </c:pt>
                <c:pt idx="1777">
                  <c:v>6</c:v>
                </c:pt>
                <c:pt idx="1778">
                  <c:v>6</c:v>
                </c:pt>
                <c:pt idx="1779">
                  <c:v>6</c:v>
                </c:pt>
                <c:pt idx="1780">
                  <c:v>6</c:v>
                </c:pt>
                <c:pt idx="1781">
                  <c:v>6</c:v>
                </c:pt>
                <c:pt idx="1782">
                  <c:v>6</c:v>
                </c:pt>
                <c:pt idx="1783">
                  <c:v>6</c:v>
                </c:pt>
                <c:pt idx="1784">
                  <c:v>6</c:v>
                </c:pt>
                <c:pt idx="1785">
                  <c:v>6</c:v>
                </c:pt>
                <c:pt idx="1786">
                  <c:v>6</c:v>
                </c:pt>
                <c:pt idx="1787">
                  <c:v>6</c:v>
                </c:pt>
                <c:pt idx="1788">
                  <c:v>6</c:v>
                </c:pt>
                <c:pt idx="1789">
                  <c:v>6</c:v>
                </c:pt>
                <c:pt idx="1790">
                  <c:v>6</c:v>
                </c:pt>
                <c:pt idx="1791">
                  <c:v>6</c:v>
                </c:pt>
                <c:pt idx="1792">
                  <c:v>6</c:v>
                </c:pt>
                <c:pt idx="1793">
                  <c:v>6</c:v>
                </c:pt>
                <c:pt idx="1794">
                  <c:v>6</c:v>
                </c:pt>
                <c:pt idx="1795">
                  <c:v>7</c:v>
                </c:pt>
                <c:pt idx="1796">
                  <c:v>7</c:v>
                </c:pt>
                <c:pt idx="1797">
                  <c:v>7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7</c:v>
                </c:pt>
                <c:pt idx="1802">
                  <c:v>7</c:v>
                </c:pt>
                <c:pt idx="1803">
                  <c:v>7</c:v>
                </c:pt>
                <c:pt idx="1804">
                  <c:v>7</c:v>
                </c:pt>
                <c:pt idx="1805">
                  <c:v>7</c:v>
                </c:pt>
                <c:pt idx="1806">
                  <c:v>7</c:v>
                </c:pt>
                <c:pt idx="1807">
                  <c:v>7</c:v>
                </c:pt>
                <c:pt idx="1808">
                  <c:v>7</c:v>
                </c:pt>
                <c:pt idx="1809">
                  <c:v>7</c:v>
                </c:pt>
                <c:pt idx="1810">
                  <c:v>7</c:v>
                </c:pt>
                <c:pt idx="1811">
                  <c:v>7</c:v>
                </c:pt>
                <c:pt idx="1812">
                  <c:v>7</c:v>
                </c:pt>
                <c:pt idx="1813">
                  <c:v>7</c:v>
                </c:pt>
                <c:pt idx="1814">
                  <c:v>7</c:v>
                </c:pt>
                <c:pt idx="1815">
                  <c:v>7</c:v>
                </c:pt>
                <c:pt idx="1816">
                  <c:v>7</c:v>
                </c:pt>
                <c:pt idx="1817">
                  <c:v>7</c:v>
                </c:pt>
                <c:pt idx="1818">
                  <c:v>7</c:v>
                </c:pt>
                <c:pt idx="1819">
                  <c:v>7</c:v>
                </c:pt>
                <c:pt idx="1820">
                  <c:v>7</c:v>
                </c:pt>
                <c:pt idx="1821">
                  <c:v>7</c:v>
                </c:pt>
                <c:pt idx="1822">
                  <c:v>7</c:v>
                </c:pt>
                <c:pt idx="1823">
                  <c:v>7</c:v>
                </c:pt>
                <c:pt idx="1824">
                  <c:v>7</c:v>
                </c:pt>
                <c:pt idx="1825">
                  <c:v>7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9</c:v>
                </c:pt>
                <c:pt idx="1858">
                  <c:v>9</c:v>
                </c:pt>
                <c:pt idx="1859">
                  <c:v>9</c:v>
                </c:pt>
                <c:pt idx="1860">
                  <c:v>9</c:v>
                </c:pt>
                <c:pt idx="1861">
                  <c:v>9</c:v>
                </c:pt>
                <c:pt idx="1862">
                  <c:v>9</c:v>
                </c:pt>
                <c:pt idx="1863">
                  <c:v>9</c:v>
                </c:pt>
                <c:pt idx="1864">
                  <c:v>9</c:v>
                </c:pt>
                <c:pt idx="1865">
                  <c:v>9</c:v>
                </c:pt>
                <c:pt idx="1866">
                  <c:v>9</c:v>
                </c:pt>
                <c:pt idx="1867">
                  <c:v>9</c:v>
                </c:pt>
                <c:pt idx="1868">
                  <c:v>9</c:v>
                </c:pt>
                <c:pt idx="1869">
                  <c:v>9</c:v>
                </c:pt>
                <c:pt idx="1870">
                  <c:v>9</c:v>
                </c:pt>
                <c:pt idx="1871">
                  <c:v>9</c:v>
                </c:pt>
                <c:pt idx="1872">
                  <c:v>9</c:v>
                </c:pt>
                <c:pt idx="1873">
                  <c:v>9</c:v>
                </c:pt>
                <c:pt idx="1874">
                  <c:v>9</c:v>
                </c:pt>
                <c:pt idx="1875">
                  <c:v>9</c:v>
                </c:pt>
                <c:pt idx="1876">
                  <c:v>9</c:v>
                </c:pt>
                <c:pt idx="1877">
                  <c:v>9</c:v>
                </c:pt>
                <c:pt idx="1878">
                  <c:v>9</c:v>
                </c:pt>
                <c:pt idx="1879">
                  <c:v>9</c:v>
                </c:pt>
                <c:pt idx="1880">
                  <c:v>9</c:v>
                </c:pt>
                <c:pt idx="1881">
                  <c:v>9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9</c:v>
                </c:pt>
                <c:pt idx="1886">
                  <c:v>9</c:v>
                </c:pt>
                <c:pt idx="1887">
                  <c:v>10</c:v>
                </c:pt>
                <c:pt idx="1888">
                  <c:v>10</c:v>
                </c:pt>
                <c:pt idx="1889">
                  <c:v>10</c:v>
                </c:pt>
                <c:pt idx="1890">
                  <c:v>10</c:v>
                </c:pt>
                <c:pt idx="1891">
                  <c:v>10</c:v>
                </c:pt>
                <c:pt idx="1892">
                  <c:v>10</c:v>
                </c:pt>
                <c:pt idx="1893">
                  <c:v>10</c:v>
                </c:pt>
                <c:pt idx="1894">
                  <c:v>10</c:v>
                </c:pt>
                <c:pt idx="1895">
                  <c:v>10</c:v>
                </c:pt>
                <c:pt idx="1896">
                  <c:v>10</c:v>
                </c:pt>
                <c:pt idx="1897">
                  <c:v>10</c:v>
                </c:pt>
                <c:pt idx="1898">
                  <c:v>10</c:v>
                </c:pt>
                <c:pt idx="1899">
                  <c:v>10</c:v>
                </c:pt>
                <c:pt idx="1900">
                  <c:v>10</c:v>
                </c:pt>
                <c:pt idx="1901">
                  <c:v>10</c:v>
                </c:pt>
                <c:pt idx="1902">
                  <c:v>10</c:v>
                </c:pt>
                <c:pt idx="1903">
                  <c:v>10</c:v>
                </c:pt>
                <c:pt idx="1904">
                  <c:v>10</c:v>
                </c:pt>
                <c:pt idx="1905">
                  <c:v>10</c:v>
                </c:pt>
                <c:pt idx="1906">
                  <c:v>10</c:v>
                </c:pt>
                <c:pt idx="1907">
                  <c:v>10</c:v>
                </c:pt>
                <c:pt idx="1908">
                  <c:v>10</c:v>
                </c:pt>
                <c:pt idx="1909">
                  <c:v>10</c:v>
                </c:pt>
                <c:pt idx="1910">
                  <c:v>10</c:v>
                </c:pt>
                <c:pt idx="1911">
                  <c:v>10</c:v>
                </c:pt>
                <c:pt idx="1912">
                  <c:v>10</c:v>
                </c:pt>
                <c:pt idx="1913">
                  <c:v>10</c:v>
                </c:pt>
                <c:pt idx="1914">
                  <c:v>10</c:v>
                </c:pt>
                <c:pt idx="1915">
                  <c:v>10</c:v>
                </c:pt>
                <c:pt idx="1916">
                  <c:v>10</c:v>
                </c:pt>
                <c:pt idx="1917">
                  <c:v>10</c:v>
                </c:pt>
                <c:pt idx="1918">
                  <c:v>11</c:v>
                </c:pt>
                <c:pt idx="1919">
                  <c:v>11</c:v>
                </c:pt>
                <c:pt idx="1920">
                  <c:v>11</c:v>
                </c:pt>
                <c:pt idx="1921">
                  <c:v>11</c:v>
                </c:pt>
                <c:pt idx="1922">
                  <c:v>11</c:v>
                </c:pt>
                <c:pt idx="1923">
                  <c:v>11</c:v>
                </c:pt>
                <c:pt idx="1924">
                  <c:v>11</c:v>
                </c:pt>
                <c:pt idx="1925">
                  <c:v>11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</c:v>
                </c:pt>
                <c:pt idx="1943">
                  <c:v>11</c:v>
                </c:pt>
                <c:pt idx="1944">
                  <c:v>11</c:v>
                </c:pt>
                <c:pt idx="1945">
                  <c:v>11</c:v>
                </c:pt>
                <c:pt idx="1946">
                  <c:v>11</c:v>
                </c:pt>
                <c:pt idx="1947">
                  <c:v>11</c:v>
                </c:pt>
                <c:pt idx="1948">
                  <c:v>12</c:v>
                </c:pt>
                <c:pt idx="1949">
                  <c:v>12</c:v>
                </c:pt>
                <c:pt idx="1950">
                  <c:v>12</c:v>
                </c:pt>
                <c:pt idx="1951">
                  <c:v>12</c:v>
                </c:pt>
                <c:pt idx="1952">
                  <c:v>12</c:v>
                </c:pt>
                <c:pt idx="1953">
                  <c:v>12</c:v>
                </c:pt>
                <c:pt idx="1954">
                  <c:v>12</c:v>
                </c:pt>
                <c:pt idx="1955">
                  <c:v>12</c:v>
                </c:pt>
                <c:pt idx="1956">
                  <c:v>12</c:v>
                </c:pt>
                <c:pt idx="1957">
                  <c:v>12</c:v>
                </c:pt>
                <c:pt idx="1958">
                  <c:v>12</c:v>
                </c:pt>
                <c:pt idx="1959">
                  <c:v>12</c:v>
                </c:pt>
                <c:pt idx="1960">
                  <c:v>12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12</c:v>
                </c:pt>
                <c:pt idx="1966">
                  <c:v>12</c:v>
                </c:pt>
                <c:pt idx="1967">
                  <c:v>12</c:v>
                </c:pt>
                <c:pt idx="1968">
                  <c:v>12</c:v>
                </c:pt>
                <c:pt idx="1969">
                  <c:v>12</c:v>
                </c:pt>
                <c:pt idx="1970">
                  <c:v>12</c:v>
                </c:pt>
                <c:pt idx="1971">
                  <c:v>12</c:v>
                </c:pt>
                <c:pt idx="1972">
                  <c:v>12</c:v>
                </c:pt>
                <c:pt idx="1973">
                  <c:v>12</c:v>
                </c:pt>
                <c:pt idx="1974">
                  <c:v>12</c:v>
                </c:pt>
                <c:pt idx="1975">
                  <c:v>12</c:v>
                </c:pt>
                <c:pt idx="1976">
                  <c:v>12</c:v>
                </c:pt>
                <c:pt idx="1977">
                  <c:v>12</c:v>
                </c:pt>
                <c:pt idx="1978">
                  <c:v>12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4</c:v>
                </c:pt>
                <c:pt idx="2070">
                  <c:v>4</c:v>
                </c:pt>
                <c:pt idx="2071">
                  <c:v>4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4</c:v>
                </c:pt>
                <c:pt idx="2080">
                  <c:v>4</c:v>
                </c:pt>
                <c:pt idx="2081">
                  <c:v>4</c:v>
                </c:pt>
                <c:pt idx="2082">
                  <c:v>4</c:v>
                </c:pt>
                <c:pt idx="2083">
                  <c:v>4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4</c:v>
                </c:pt>
                <c:pt idx="2089">
                  <c:v>4</c:v>
                </c:pt>
                <c:pt idx="2090">
                  <c:v>4</c:v>
                </c:pt>
                <c:pt idx="2091">
                  <c:v>4</c:v>
                </c:pt>
                <c:pt idx="2092">
                  <c:v>4</c:v>
                </c:pt>
                <c:pt idx="2093">
                  <c:v>4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4</c:v>
                </c:pt>
                <c:pt idx="2098">
                  <c:v>4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</c:v>
                </c:pt>
                <c:pt idx="2126">
                  <c:v>5</c:v>
                </c:pt>
                <c:pt idx="2127">
                  <c:v>5</c:v>
                </c:pt>
                <c:pt idx="2128">
                  <c:v>5</c:v>
                </c:pt>
                <c:pt idx="2129">
                  <c:v>5</c:v>
                </c:pt>
                <c:pt idx="2130">
                  <c:v>6</c:v>
                </c:pt>
                <c:pt idx="2131">
                  <c:v>6</c:v>
                </c:pt>
                <c:pt idx="2132">
                  <c:v>6</c:v>
                </c:pt>
                <c:pt idx="2133">
                  <c:v>6</c:v>
                </c:pt>
                <c:pt idx="2134">
                  <c:v>6</c:v>
                </c:pt>
                <c:pt idx="2135">
                  <c:v>6</c:v>
                </c:pt>
                <c:pt idx="2136">
                  <c:v>6</c:v>
                </c:pt>
                <c:pt idx="2137">
                  <c:v>6</c:v>
                </c:pt>
                <c:pt idx="2138">
                  <c:v>6</c:v>
                </c:pt>
                <c:pt idx="2139">
                  <c:v>6</c:v>
                </c:pt>
                <c:pt idx="2140">
                  <c:v>6</c:v>
                </c:pt>
                <c:pt idx="2141">
                  <c:v>6</c:v>
                </c:pt>
                <c:pt idx="2142">
                  <c:v>6</c:v>
                </c:pt>
                <c:pt idx="2143">
                  <c:v>6</c:v>
                </c:pt>
                <c:pt idx="2144">
                  <c:v>6</c:v>
                </c:pt>
                <c:pt idx="2145">
                  <c:v>6</c:v>
                </c:pt>
                <c:pt idx="2146">
                  <c:v>6</c:v>
                </c:pt>
                <c:pt idx="2147">
                  <c:v>6</c:v>
                </c:pt>
                <c:pt idx="2148">
                  <c:v>6</c:v>
                </c:pt>
                <c:pt idx="2149">
                  <c:v>6</c:v>
                </c:pt>
                <c:pt idx="2150">
                  <c:v>6</c:v>
                </c:pt>
                <c:pt idx="2151">
                  <c:v>6</c:v>
                </c:pt>
                <c:pt idx="2152">
                  <c:v>6</c:v>
                </c:pt>
                <c:pt idx="2153">
                  <c:v>6</c:v>
                </c:pt>
                <c:pt idx="2154">
                  <c:v>6</c:v>
                </c:pt>
                <c:pt idx="2155">
                  <c:v>6</c:v>
                </c:pt>
                <c:pt idx="2156">
                  <c:v>6</c:v>
                </c:pt>
                <c:pt idx="2157">
                  <c:v>6</c:v>
                </c:pt>
                <c:pt idx="2158">
                  <c:v>6</c:v>
                </c:pt>
                <c:pt idx="2159">
                  <c:v>6</c:v>
                </c:pt>
                <c:pt idx="2160">
                  <c:v>7</c:v>
                </c:pt>
                <c:pt idx="2161">
                  <c:v>7</c:v>
                </c:pt>
                <c:pt idx="2162">
                  <c:v>7</c:v>
                </c:pt>
                <c:pt idx="2163">
                  <c:v>7</c:v>
                </c:pt>
                <c:pt idx="2164">
                  <c:v>7</c:v>
                </c:pt>
                <c:pt idx="2165">
                  <c:v>7</c:v>
                </c:pt>
                <c:pt idx="2166">
                  <c:v>7</c:v>
                </c:pt>
                <c:pt idx="2167">
                  <c:v>7</c:v>
                </c:pt>
                <c:pt idx="2168">
                  <c:v>7</c:v>
                </c:pt>
                <c:pt idx="2169">
                  <c:v>7</c:v>
                </c:pt>
                <c:pt idx="2170">
                  <c:v>7</c:v>
                </c:pt>
                <c:pt idx="2171">
                  <c:v>7</c:v>
                </c:pt>
                <c:pt idx="2172">
                  <c:v>7</c:v>
                </c:pt>
                <c:pt idx="2173">
                  <c:v>7</c:v>
                </c:pt>
                <c:pt idx="2174">
                  <c:v>7</c:v>
                </c:pt>
                <c:pt idx="2175">
                  <c:v>7</c:v>
                </c:pt>
                <c:pt idx="2176">
                  <c:v>7</c:v>
                </c:pt>
                <c:pt idx="2177">
                  <c:v>7</c:v>
                </c:pt>
                <c:pt idx="2178">
                  <c:v>7</c:v>
                </c:pt>
                <c:pt idx="2179">
                  <c:v>7</c:v>
                </c:pt>
                <c:pt idx="2180">
                  <c:v>7</c:v>
                </c:pt>
                <c:pt idx="2181">
                  <c:v>7</c:v>
                </c:pt>
                <c:pt idx="2182">
                  <c:v>7</c:v>
                </c:pt>
                <c:pt idx="2183">
                  <c:v>7</c:v>
                </c:pt>
                <c:pt idx="2184">
                  <c:v>7</c:v>
                </c:pt>
                <c:pt idx="2185">
                  <c:v>7</c:v>
                </c:pt>
                <c:pt idx="2186">
                  <c:v>7</c:v>
                </c:pt>
                <c:pt idx="2187">
                  <c:v>7</c:v>
                </c:pt>
                <c:pt idx="2188">
                  <c:v>7</c:v>
                </c:pt>
                <c:pt idx="2189">
                  <c:v>7</c:v>
                </c:pt>
                <c:pt idx="2190">
                  <c:v>7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9</c:v>
                </c:pt>
                <c:pt idx="2223">
                  <c:v>9</c:v>
                </c:pt>
                <c:pt idx="2224">
                  <c:v>9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9</c:v>
                </c:pt>
                <c:pt idx="2235">
                  <c:v>9</c:v>
                </c:pt>
                <c:pt idx="2236">
                  <c:v>9</c:v>
                </c:pt>
                <c:pt idx="2237">
                  <c:v>9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10</c:v>
                </c:pt>
                <c:pt idx="2253">
                  <c:v>10</c:v>
                </c:pt>
                <c:pt idx="2254">
                  <c:v>10</c:v>
                </c:pt>
                <c:pt idx="2255">
                  <c:v>10</c:v>
                </c:pt>
                <c:pt idx="2256">
                  <c:v>10</c:v>
                </c:pt>
                <c:pt idx="2257">
                  <c:v>10</c:v>
                </c:pt>
                <c:pt idx="2258">
                  <c:v>10</c:v>
                </c:pt>
                <c:pt idx="2259">
                  <c:v>10</c:v>
                </c:pt>
                <c:pt idx="2260">
                  <c:v>10</c:v>
                </c:pt>
                <c:pt idx="2261">
                  <c:v>10</c:v>
                </c:pt>
                <c:pt idx="2262">
                  <c:v>10</c:v>
                </c:pt>
                <c:pt idx="2263">
                  <c:v>10</c:v>
                </c:pt>
                <c:pt idx="2264">
                  <c:v>10</c:v>
                </c:pt>
                <c:pt idx="2265">
                  <c:v>10</c:v>
                </c:pt>
                <c:pt idx="2266">
                  <c:v>10</c:v>
                </c:pt>
                <c:pt idx="2267">
                  <c:v>10</c:v>
                </c:pt>
                <c:pt idx="2268">
                  <c:v>10</c:v>
                </c:pt>
                <c:pt idx="2269">
                  <c:v>10</c:v>
                </c:pt>
                <c:pt idx="2270">
                  <c:v>10</c:v>
                </c:pt>
                <c:pt idx="2271">
                  <c:v>10</c:v>
                </c:pt>
                <c:pt idx="2272">
                  <c:v>10</c:v>
                </c:pt>
                <c:pt idx="2273">
                  <c:v>10</c:v>
                </c:pt>
                <c:pt idx="2274">
                  <c:v>10</c:v>
                </c:pt>
                <c:pt idx="2275">
                  <c:v>10</c:v>
                </c:pt>
                <c:pt idx="2276">
                  <c:v>10</c:v>
                </c:pt>
                <c:pt idx="2277">
                  <c:v>10</c:v>
                </c:pt>
                <c:pt idx="2278">
                  <c:v>10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11</c:v>
                </c:pt>
                <c:pt idx="2284">
                  <c:v>11</c:v>
                </c:pt>
                <c:pt idx="2285">
                  <c:v>11</c:v>
                </c:pt>
                <c:pt idx="2286">
                  <c:v>11</c:v>
                </c:pt>
                <c:pt idx="2287">
                  <c:v>11</c:v>
                </c:pt>
                <c:pt idx="2288">
                  <c:v>11</c:v>
                </c:pt>
                <c:pt idx="2289">
                  <c:v>11</c:v>
                </c:pt>
                <c:pt idx="2290">
                  <c:v>11</c:v>
                </c:pt>
                <c:pt idx="2291">
                  <c:v>11</c:v>
                </c:pt>
                <c:pt idx="2292">
                  <c:v>11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11</c:v>
                </c:pt>
                <c:pt idx="2308">
                  <c:v>11</c:v>
                </c:pt>
                <c:pt idx="2309">
                  <c:v>11</c:v>
                </c:pt>
                <c:pt idx="2310">
                  <c:v>11</c:v>
                </c:pt>
                <c:pt idx="2311">
                  <c:v>11</c:v>
                </c:pt>
                <c:pt idx="2312">
                  <c:v>11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12</c:v>
                </c:pt>
                <c:pt idx="2323">
                  <c:v>12</c:v>
                </c:pt>
                <c:pt idx="2324">
                  <c:v>12</c:v>
                </c:pt>
                <c:pt idx="2325">
                  <c:v>12</c:v>
                </c:pt>
                <c:pt idx="2326">
                  <c:v>12</c:v>
                </c:pt>
                <c:pt idx="2327">
                  <c:v>12</c:v>
                </c:pt>
                <c:pt idx="2328">
                  <c:v>12</c:v>
                </c:pt>
                <c:pt idx="2329">
                  <c:v>12</c:v>
                </c:pt>
                <c:pt idx="2330">
                  <c:v>12</c:v>
                </c:pt>
                <c:pt idx="2331">
                  <c:v>12</c:v>
                </c:pt>
                <c:pt idx="2332">
                  <c:v>12</c:v>
                </c:pt>
                <c:pt idx="2333">
                  <c:v>12</c:v>
                </c:pt>
                <c:pt idx="2334">
                  <c:v>12</c:v>
                </c:pt>
                <c:pt idx="2335">
                  <c:v>12</c:v>
                </c:pt>
                <c:pt idx="2336">
                  <c:v>12</c:v>
                </c:pt>
                <c:pt idx="2337">
                  <c:v>12</c:v>
                </c:pt>
                <c:pt idx="2338">
                  <c:v>12</c:v>
                </c:pt>
                <c:pt idx="2339">
                  <c:v>12</c:v>
                </c:pt>
                <c:pt idx="2340">
                  <c:v>12</c:v>
                </c:pt>
                <c:pt idx="2341">
                  <c:v>12</c:v>
                </c:pt>
                <c:pt idx="2342">
                  <c:v>12</c:v>
                </c:pt>
                <c:pt idx="2343">
                  <c:v>12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4</c:v>
                </c:pt>
                <c:pt idx="2451">
                  <c:v>4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4</c:v>
                </c:pt>
                <c:pt idx="2456">
                  <c:v>4</c:v>
                </c:pt>
                <c:pt idx="2457">
                  <c:v>4</c:v>
                </c:pt>
                <c:pt idx="2458">
                  <c:v>4</c:v>
                </c:pt>
                <c:pt idx="2459">
                  <c:v>4</c:v>
                </c:pt>
                <c:pt idx="2460">
                  <c:v>4</c:v>
                </c:pt>
                <c:pt idx="2461">
                  <c:v>4</c:v>
                </c:pt>
                <c:pt idx="2462">
                  <c:v>4</c:v>
                </c:pt>
                <c:pt idx="2463">
                  <c:v>4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</c:v>
                </c:pt>
                <c:pt idx="2477">
                  <c:v>5</c:v>
                </c:pt>
                <c:pt idx="2478">
                  <c:v>5</c:v>
                </c:pt>
                <c:pt idx="2479">
                  <c:v>5</c:v>
                </c:pt>
                <c:pt idx="2480">
                  <c:v>5</c:v>
                </c:pt>
                <c:pt idx="2481">
                  <c:v>5</c:v>
                </c:pt>
                <c:pt idx="2482">
                  <c:v>5</c:v>
                </c:pt>
                <c:pt idx="2483">
                  <c:v>5</c:v>
                </c:pt>
                <c:pt idx="2484">
                  <c:v>5</c:v>
                </c:pt>
                <c:pt idx="2485">
                  <c:v>5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5</c:v>
                </c:pt>
                <c:pt idx="2490">
                  <c:v>5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6</c:v>
                </c:pt>
                <c:pt idx="2496">
                  <c:v>6</c:v>
                </c:pt>
                <c:pt idx="2497">
                  <c:v>6</c:v>
                </c:pt>
                <c:pt idx="2498">
                  <c:v>6</c:v>
                </c:pt>
                <c:pt idx="2499">
                  <c:v>6</c:v>
                </c:pt>
                <c:pt idx="2500">
                  <c:v>6</c:v>
                </c:pt>
                <c:pt idx="2501">
                  <c:v>6</c:v>
                </c:pt>
                <c:pt idx="2502">
                  <c:v>6</c:v>
                </c:pt>
                <c:pt idx="2503">
                  <c:v>6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6</c:v>
                </c:pt>
                <c:pt idx="2510">
                  <c:v>6</c:v>
                </c:pt>
                <c:pt idx="2511">
                  <c:v>6</c:v>
                </c:pt>
                <c:pt idx="2512">
                  <c:v>6</c:v>
                </c:pt>
                <c:pt idx="2513">
                  <c:v>6</c:v>
                </c:pt>
                <c:pt idx="2514">
                  <c:v>6</c:v>
                </c:pt>
                <c:pt idx="2515">
                  <c:v>6</c:v>
                </c:pt>
                <c:pt idx="2516">
                  <c:v>6</c:v>
                </c:pt>
                <c:pt idx="2517">
                  <c:v>6</c:v>
                </c:pt>
                <c:pt idx="2518">
                  <c:v>6</c:v>
                </c:pt>
                <c:pt idx="2519">
                  <c:v>6</c:v>
                </c:pt>
                <c:pt idx="2520">
                  <c:v>6</c:v>
                </c:pt>
                <c:pt idx="2521">
                  <c:v>6</c:v>
                </c:pt>
                <c:pt idx="2522">
                  <c:v>6</c:v>
                </c:pt>
                <c:pt idx="2523">
                  <c:v>6</c:v>
                </c:pt>
                <c:pt idx="2524">
                  <c:v>6</c:v>
                </c:pt>
                <c:pt idx="2525">
                  <c:v>7</c:v>
                </c:pt>
                <c:pt idx="2526">
                  <c:v>7</c:v>
                </c:pt>
                <c:pt idx="2527">
                  <c:v>7</c:v>
                </c:pt>
                <c:pt idx="2528">
                  <c:v>7</c:v>
                </c:pt>
                <c:pt idx="2529">
                  <c:v>7</c:v>
                </c:pt>
                <c:pt idx="2530">
                  <c:v>7</c:v>
                </c:pt>
                <c:pt idx="2531">
                  <c:v>7</c:v>
                </c:pt>
                <c:pt idx="2532">
                  <c:v>7</c:v>
                </c:pt>
                <c:pt idx="2533">
                  <c:v>7</c:v>
                </c:pt>
                <c:pt idx="2534">
                  <c:v>7</c:v>
                </c:pt>
                <c:pt idx="2535">
                  <c:v>7</c:v>
                </c:pt>
                <c:pt idx="2536">
                  <c:v>7</c:v>
                </c:pt>
                <c:pt idx="2537">
                  <c:v>7</c:v>
                </c:pt>
                <c:pt idx="2538">
                  <c:v>7</c:v>
                </c:pt>
                <c:pt idx="2539">
                  <c:v>7</c:v>
                </c:pt>
                <c:pt idx="2540">
                  <c:v>7</c:v>
                </c:pt>
                <c:pt idx="2541">
                  <c:v>7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7</c:v>
                </c:pt>
                <c:pt idx="2549">
                  <c:v>7</c:v>
                </c:pt>
                <c:pt idx="2550">
                  <c:v>7</c:v>
                </c:pt>
                <c:pt idx="2551">
                  <c:v>7</c:v>
                </c:pt>
                <c:pt idx="2552">
                  <c:v>7</c:v>
                </c:pt>
                <c:pt idx="2553">
                  <c:v>7</c:v>
                </c:pt>
                <c:pt idx="2554">
                  <c:v>7</c:v>
                </c:pt>
                <c:pt idx="2555">
                  <c:v>7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8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9</c:v>
                </c:pt>
                <c:pt idx="2588">
                  <c:v>9</c:v>
                </c:pt>
                <c:pt idx="2589">
                  <c:v>9</c:v>
                </c:pt>
                <c:pt idx="2590">
                  <c:v>9</c:v>
                </c:pt>
                <c:pt idx="2591">
                  <c:v>9</c:v>
                </c:pt>
                <c:pt idx="2592">
                  <c:v>9</c:v>
                </c:pt>
                <c:pt idx="2593">
                  <c:v>9</c:v>
                </c:pt>
                <c:pt idx="2594">
                  <c:v>9</c:v>
                </c:pt>
                <c:pt idx="2595">
                  <c:v>9</c:v>
                </c:pt>
                <c:pt idx="2596">
                  <c:v>9</c:v>
                </c:pt>
                <c:pt idx="2597">
                  <c:v>9</c:v>
                </c:pt>
                <c:pt idx="2598">
                  <c:v>9</c:v>
                </c:pt>
                <c:pt idx="2599">
                  <c:v>9</c:v>
                </c:pt>
                <c:pt idx="2600">
                  <c:v>9</c:v>
                </c:pt>
                <c:pt idx="2601">
                  <c:v>9</c:v>
                </c:pt>
                <c:pt idx="2602">
                  <c:v>9</c:v>
                </c:pt>
                <c:pt idx="2603">
                  <c:v>9</c:v>
                </c:pt>
                <c:pt idx="2604">
                  <c:v>9</c:v>
                </c:pt>
                <c:pt idx="2605">
                  <c:v>9</c:v>
                </c:pt>
                <c:pt idx="2606">
                  <c:v>9</c:v>
                </c:pt>
                <c:pt idx="2607">
                  <c:v>9</c:v>
                </c:pt>
                <c:pt idx="2608">
                  <c:v>9</c:v>
                </c:pt>
                <c:pt idx="2609">
                  <c:v>9</c:v>
                </c:pt>
                <c:pt idx="2610">
                  <c:v>9</c:v>
                </c:pt>
                <c:pt idx="2611">
                  <c:v>9</c:v>
                </c:pt>
                <c:pt idx="2612">
                  <c:v>9</c:v>
                </c:pt>
                <c:pt idx="2613">
                  <c:v>9</c:v>
                </c:pt>
                <c:pt idx="2614">
                  <c:v>9</c:v>
                </c:pt>
                <c:pt idx="2615">
                  <c:v>9</c:v>
                </c:pt>
                <c:pt idx="2616">
                  <c:v>9</c:v>
                </c:pt>
                <c:pt idx="2617">
                  <c:v>10</c:v>
                </c:pt>
                <c:pt idx="2618">
                  <c:v>10</c:v>
                </c:pt>
                <c:pt idx="2619">
                  <c:v>10</c:v>
                </c:pt>
                <c:pt idx="2620">
                  <c:v>10</c:v>
                </c:pt>
                <c:pt idx="2621">
                  <c:v>10</c:v>
                </c:pt>
                <c:pt idx="2622">
                  <c:v>10</c:v>
                </c:pt>
                <c:pt idx="2623">
                  <c:v>10</c:v>
                </c:pt>
                <c:pt idx="2624">
                  <c:v>10</c:v>
                </c:pt>
                <c:pt idx="2625">
                  <c:v>10</c:v>
                </c:pt>
                <c:pt idx="2626">
                  <c:v>10</c:v>
                </c:pt>
                <c:pt idx="2627">
                  <c:v>10</c:v>
                </c:pt>
                <c:pt idx="2628">
                  <c:v>10</c:v>
                </c:pt>
                <c:pt idx="2629">
                  <c:v>10</c:v>
                </c:pt>
                <c:pt idx="2630">
                  <c:v>10</c:v>
                </c:pt>
                <c:pt idx="2631">
                  <c:v>10</c:v>
                </c:pt>
                <c:pt idx="2632">
                  <c:v>10</c:v>
                </c:pt>
                <c:pt idx="2633">
                  <c:v>10</c:v>
                </c:pt>
                <c:pt idx="2634">
                  <c:v>10</c:v>
                </c:pt>
                <c:pt idx="2635">
                  <c:v>10</c:v>
                </c:pt>
                <c:pt idx="2636">
                  <c:v>10</c:v>
                </c:pt>
                <c:pt idx="2637">
                  <c:v>10</c:v>
                </c:pt>
                <c:pt idx="2638">
                  <c:v>10</c:v>
                </c:pt>
                <c:pt idx="2639">
                  <c:v>10</c:v>
                </c:pt>
                <c:pt idx="2640">
                  <c:v>10</c:v>
                </c:pt>
                <c:pt idx="2641">
                  <c:v>10</c:v>
                </c:pt>
                <c:pt idx="2642">
                  <c:v>10</c:v>
                </c:pt>
                <c:pt idx="2643">
                  <c:v>10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11</c:v>
                </c:pt>
                <c:pt idx="2649">
                  <c:v>11</c:v>
                </c:pt>
                <c:pt idx="2650">
                  <c:v>11</c:v>
                </c:pt>
                <c:pt idx="2651">
                  <c:v>11</c:v>
                </c:pt>
                <c:pt idx="2652">
                  <c:v>11</c:v>
                </c:pt>
                <c:pt idx="2653">
                  <c:v>11</c:v>
                </c:pt>
                <c:pt idx="2654">
                  <c:v>11</c:v>
                </c:pt>
                <c:pt idx="2655">
                  <c:v>11</c:v>
                </c:pt>
                <c:pt idx="2656">
                  <c:v>11</c:v>
                </c:pt>
                <c:pt idx="2657">
                  <c:v>11</c:v>
                </c:pt>
                <c:pt idx="2658">
                  <c:v>11</c:v>
                </c:pt>
                <c:pt idx="2659">
                  <c:v>11</c:v>
                </c:pt>
                <c:pt idx="2660">
                  <c:v>11</c:v>
                </c:pt>
                <c:pt idx="2661">
                  <c:v>11</c:v>
                </c:pt>
                <c:pt idx="2662">
                  <c:v>11</c:v>
                </c:pt>
                <c:pt idx="2663">
                  <c:v>11</c:v>
                </c:pt>
                <c:pt idx="2664">
                  <c:v>11</c:v>
                </c:pt>
                <c:pt idx="2665">
                  <c:v>11</c:v>
                </c:pt>
                <c:pt idx="2666">
                  <c:v>11</c:v>
                </c:pt>
                <c:pt idx="2667">
                  <c:v>11</c:v>
                </c:pt>
                <c:pt idx="2668">
                  <c:v>11</c:v>
                </c:pt>
                <c:pt idx="2669">
                  <c:v>11</c:v>
                </c:pt>
                <c:pt idx="2670">
                  <c:v>11</c:v>
                </c:pt>
                <c:pt idx="2671">
                  <c:v>11</c:v>
                </c:pt>
                <c:pt idx="2672">
                  <c:v>11</c:v>
                </c:pt>
                <c:pt idx="2673">
                  <c:v>11</c:v>
                </c:pt>
                <c:pt idx="2674">
                  <c:v>11</c:v>
                </c:pt>
                <c:pt idx="2675">
                  <c:v>11</c:v>
                </c:pt>
                <c:pt idx="2676">
                  <c:v>11</c:v>
                </c:pt>
                <c:pt idx="2677">
                  <c:v>11</c:v>
                </c:pt>
                <c:pt idx="2678">
                  <c:v>12</c:v>
                </c:pt>
                <c:pt idx="2679">
                  <c:v>12</c:v>
                </c:pt>
                <c:pt idx="2680">
                  <c:v>12</c:v>
                </c:pt>
                <c:pt idx="2681">
                  <c:v>12</c:v>
                </c:pt>
                <c:pt idx="2682">
                  <c:v>12</c:v>
                </c:pt>
                <c:pt idx="2683">
                  <c:v>12</c:v>
                </c:pt>
                <c:pt idx="2684">
                  <c:v>12</c:v>
                </c:pt>
                <c:pt idx="2685">
                  <c:v>12</c:v>
                </c:pt>
                <c:pt idx="2686">
                  <c:v>12</c:v>
                </c:pt>
                <c:pt idx="2687">
                  <c:v>12</c:v>
                </c:pt>
                <c:pt idx="2688">
                  <c:v>12</c:v>
                </c:pt>
                <c:pt idx="2689">
                  <c:v>12</c:v>
                </c:pt>
                <c:pt idx="2690">
                  <c:v>12</c:v>
                </c:pt>
                <c:pt idx="2691">
                  <c:v>12</c:v>
                </c:pt>
                <c:pt idx="2692">
                  <c:v>12</c:v>
                </c:pt>
                <c:pt idx="2693">
                  <c:v>12</c:v>
                </c:pt>
                <c:pt idx="2694">
                  <c:v>12</c:v>
                </c:pt>
                <c:pt idx="2695">
                  <c:v>12</c:v>
                </c:pt>
                <c:pt idx="2696">
                  <c:v>12</c:v>
                </c:pt>
                <c:pt idx="2697">
                  <c:v>12</c:v>
                </c:pt>
                <c:pt idx="2698">
                  <c:v>12</c:v>
                </c:pt>
                <c:pt idx="2699">
                  <c:v>12</c:v>
                </c:pt>
                <c:pt idx="2700">
                  <c:v>12</c:v>
                </c:pt>
                <c:pt idx="2701">
                  <c:v>12</c:v>
                </c:pt>
                <c:pt idx="2702">
                  <c:v>12</c:v>
                </c:pt>
                <c:pt idx="2703">
                  <c:v>12</c:v>
                </c:pt>
                <c:pt idx="2704">
                  <c:v>12</c:v>
                </c:pt>
                <c:pt idx="2705">
                  <c:v>12</c:v>
                </c:pt>
                <c:pt idx="2706">
                  <c:v>12</c:v>
                </c:pt>
                <c:pt idx="2707">
                  <c:v>12</c:v>
                </c:pt>
                <c:pt idx="2708">
                  <c:v>12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4</c:v>
                </c:pt>
                <c:pt idx="2801">
                  <c:v>4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4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6</c:v>
                </c:pt>
                <c:pt idx="2862">
                  <c:v>6</c:v>
                </c:pt>
                <c:pt idx="2863">
                  <c:v>6</c:v>
                </c:pt>
                <c:pt idx="2864">
                  <c:v>6</c:v>
                </c:pt>
                <c:pt idx="2865">
                  <c:v>6</c:v>
                </c:pt>
                <c:pt idx="2866">
                  <c:v>6</c:v>
                </c:pt>
                <c:pt idx="2867">
                  <c:v>6</c:v>
                </c:pt>
                <c:pt idx="2868">
                  <c:v>6</c:v>
                </c:pt>
                <c:pt idx="2869">
                  <c:v>6</c:v>
                </c:pt>
                <c:pt idx="2870">
                  <c:v>6</c:v>
                </c:pt>
                <c:pt idx="2871">
                  <c:v>6</c:v>
                </c:pt>
                <c:pt idx="2872">
                  <c:v>6</c:v>
                </c:pt>
                <c:pt idx="2873">
                  <c:v>6</c:v>
                </c:pt>
                <c:pt idx="2874">
                  <c:v>6</c:v>
                </c:pt>
                <c:pt idx="2875">
                  <c:v>6</c:v>
                </c:pt>
                <c:pt idx="2876">
                  <c:v>6</c:v>
                </c:pt>
                <c:pt idx="2877">
                  <c:v>6</c:v>
                </c:pt>
                <c:pt idx="2878">
                  <c:v>6</c:v>
                </c:pt>
                <c:pt idx="2879">
                  <c:v>6</c:v>
                </c:pt>
                <c:pt idx="2880">
                  <c:v>6</c:v>
                </c:pt>
                <c:pt idx="2881">
                  <c:v>6</c:v>
                </c:pt>
                <c:pt idx="2882">
                  <c:v>6</c:v>
                </c:pt>
                <c:pt idx="2883">
                  <c:v>6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7</c:v>
                </c:pt>
                <c:pt idx="2892">
                  <c:v>7</c:v>
                </c:pt>
                <c:pt idx="2893">
                  <c:v>7</c:v>
                </c:pt>
                <c:pt idx="2894">
                  <c:v>7</c:v>
                </c:pt>
                <c:pt idx="2895">
                  <c:v>7</c:v>
                </c:pt>
                <c:pt idx="2896">
                  <c:v>7</c:v>
                </c:pt>
                <c:pt idx="2897">
                  <c:v>7</c:v>
                </c:pt>
                <c:pt idx="2898">
                  <c:v>7</c:v>
                </c:pt>
                <c:pt idx="2899">
                  <c:v>7</c:v>
                </c:pt>
                <c:pt idx="2900">
                  <c:v>7</c:v>
                </c:pt>
                <c:pt idx="2901">
                  <c:v>7</c:v>
                </c:pt>
                <c:pt idx="2902">
                  <c:v>7</c:v>
                </c:pt>
                <c:pt idx="2903">
                  <c:v>7</c:v>
                </c:pt>
                <c:pt idx="2904">
                  <c:v>7</c:v>
                </c:pt>
                <c:pt idx="2905">
                  <c:v>7</c:v>
                </c:pt>
                <c:pt idx="2906">
                  <c:v>7</c:v>
                </c:pt>
                <c:pt idx="2907">
                  <c:v>7</c:v>
                </c:pt>
                <c:pt idx="2908">
                  <c:v>7</c:v>
                </c:pt>
                <c:pt idx="2909">
                  <c:v>7</c:v>
                </c:pt>
                <c:pt idx="2910">
                  <c:v>7</c:v>
                </c:pt>
                <c:pt idx="2911">
                  <c:v>7</c:v>
                </c:pt>
                <c:pt idx="2912">
                  <c:v>7</c:v>
                </c:pt>
                <c:pt idx="2913">
                  <c:v>7</c:v>
                </c:pt>
                <c:pt idx="2914">
                  <c:v>7</c:v>
                </c:pt>
                <c:pt idx="2915">
                  <c:v>7</c:v>
                </c:pt>
                <c:pt idx="2916">
                  <c:v>7</c:v>
                </c:pt>
                <c:pt idx="2917">
                  <c:v>7</c:v>
                </c:pt>
                <c:pt idx="2918">
                  <c:v>7</c:v>
                </c:pt>
                <c:pt idx="2919">
                  <c:v>7</c:v>
                </c:pt>
                <c:pt idx="2920">
                  <c:v>7</c:v>
                </c:pt>
                <c:pt idx="2921">
                  <c:v>7</c:v>
                </c:pt>
                <c:pt idx="2922">
                  <c:v>8</c:v>
                </c:pt>
                <c:pt idx="2923">
                  <c:v>8</c:v>
                </c:pt>
                <c:pt idx="2924">
                  <c:v>8</c:v>
                </c:pt>
                <c:pt idx="2925">
                  <c:v>8</c:v>
                </c:pt>
                <c:pt idx="2926">
                  <c:v>8</c:v>
                </c:pt>
                <c:pt idx="2927">
                  <c:v>8</c:v>
                </c:pt>
                <c:pt idx="2928">
                  <c:v>8</c:v>
                </c:pt>
                <c:pt idx="2929">
                  <c:v>8</c:v>
                </c:pt>
                <c:pt idx="2930">
                  <c:v>8</c:v>
                </c:pt>
                <c:pt idx="2931">
                  <c:v>8</c:v>
                </c:pt>
                <c:pt idx="2932">
                  <c:v>8</c:v>
                </c:pt>
                <c:pt idx="2933">
                  <c:v>8</c:v>
                </c:pt>
                <c:pt idx="2934">
                  <c:v>8</c:v>
                </c:pt>
                <c:pt idx="2935">
                  <c:v>8</c:v>
                </c:pt>
                <c:pt idx="2936">
                  <c:v>8</c:v>
                </c:pt>
                <c:pt idx="2937">
                  <c:v>8</c:v>
                </c:pt>
                <c:pt idx="2938">
                  <c:v>8</c:v>
                </c:pt>
                <c:pt idx="2939">
                  <c:v>8</c:v>
                </c:pt>
                <c:pt idx="2940">
                  <c:v>8</c:v>
                </c:pt>
                <c:pt idx="2941">
                  <c:v>8</c:v>
                </c:pt>
                <c:pt idx="2942">
                  <c:v>8</c:v>
                </c:pt>
                <c:pt idx="2943">
                  <c:v>8</c:v>
                </c:pt>
                <c:pt idx="2944">
                  <c:v>8</c:v>
                </c:pt>
                <c:pt idx="2945">
                  <c:v>8</c:v>
                </c:pt>
                <c:pt idx="2946">
                  <c:v>8</c:v>
                </c:pt>
                <c:pt idx="2947">
                  <c:v>8</c:v>
                </c:pt>
                <c:pt idx="2948">
                  <c:v>8</c:v>
                </c:pt>
                <c:pt idx="2949">
                  <c:v>8</c:v>
                </c:pt>
                <c:pt idx="2950">
                  <c:v>8</c:v>
                </c:pt>
                <c:pt idx="2951">
                  <c:v>8</c:v>
                </c:pt>
                <c:pt idx="2952">
                  <c:v>8</c:v>
                </c:pt>
                <c:pt idx="2953">
                  <c:v>9</c:v>
                </c:pt>
                <c:pt idx="2954">
                  <c:v>9</c:v>
                </c:pt>
                <c:pt idx="2955">
                  <c:v>9</c:v>
                </c:pt>
                <c:pt idx="2956">
                  <c:v>9</c:v>
                </c:pt>
                <c:pt idx="2957">
                  <c:v>9</c:v>
                </c:pt>
                <c:pt idx="2958">
                  <c:v>9</c:v>
                </c:pt>
                <c:pt idx="2959">
                  <c:v>9</c:v>
                </c:pt>
                <c:pt idx="2960">
                  <c:v>9</c:v>
                </c:pt>
                <c:pt idx="2961">
                  <c:v>9</c:v>
                </c:pt>
                <c:pt idx="2962">
                  <c:v>9</c:v>
                </c:pt>
                <c:pt idx="2963">
                  <c:v>9</c:v>
                </c:pt>
                <c:pt idx="2964">
                  <c:v>9</c:v>
                </c:pt>
                <c:pt idx="2965">
                  <c:v>9</c:v>
                </c:pt>
                <c:pt idx="2966">
                  <c:v>9</c:v>
                </c:pt>
                <c:pt idx="2967">
                  <c:v>9</c:v>
                </c:pt>
                <c:pt idx="2968">
                  <c:v>9</c:v>
                </c:pt>
                <c:pt idx="2969">
                  <c:v>9</c:v>
                </c:pt>
                <c:pt idx="2970">
                  <c:v>9</c:v>
                </c:pt>
                <c:pt idx="2971">
                  <c:v>9</c:v>
                </c:pt>
                <c:pt idx="2972">
                  <c:v>9</c:v>
                </c:pt>
                <c:pt idx="2973">
                  <c:v>9</c:v>
                </c:pt>
                <c:pt idx="2974">
                  <c:v>9</c:v>
                </c:pt>
                <c:pt idx="2975">
                  <c:v>9</c:v>
                </c:pt>
                <c:pt idx="2976">
                  <c:v>9</c:v>
                </c:pt>
                <c:pt idx="2977">
                  <c:v>9</c:v>
                </c:pt>
                <c:pt idx="2978">
                  <c:v>9</c:v>
                </c:pt>
                <c:pt idx="2979">
                  <c:v>9</c:v>
                </c:pt>
                <c:pt idx="2980">
                  <c:v>9</c:v>
                </c:pt>
                <c:pt idx="2981">
                  <c:v>9</c:v>
                </c:pt>
                <c:pt idx="2982">
                  <c:v>9</c:v>
                </c:pt>
                <c:pt idx="2983">
                  <c:v>10</c:v>
                </c:pt>
                <c:pt idx="2984">
                  <c:v>10</c:v>
                </c:pt>
                <c:pt idx="2985">
                  <c:v>10</c:v>
                </c:pt>
                <c:pt idx="2986">
                  <c:v>10</c:v>
                </c:pt>
                <c:pt idx="2987">
                  <c:v>10</c:v>
                </c:pt>
                <c:pt idx="2988">
                  <c:v>10</c:v>
                </c:pt>
                <c:pt idx="2989">
                  <c:v>10</c:v>
                </c:pt>
                <c:pt idx="2990">
                  <c:v>10</c:v>
                </c:pt>
                <c:pt idx="2991">
                  <c:v>10</c:v>
                </c:pt>
                <c:pt idx="2992">
                  <c:v>10</c:v>
                </c:pt>
                <c:pt idx="2993">
                  <c:v>10</c:v>
                </c:pt>
                <c:pt idx="2994">
                  <c:v>10</c:v>
                </c:pt>
                <c:pt idx="2995">
                  <c:v>10</c:v>
                </c:pt>
                <c:pt idx="2996">
                  <c:v>10</c:v>
                </c:pt>
                <c:pt idx="2997">
                  <c:v>10</c:v>
                </c:pt>
                <c:pt idx="2998">
                  <c:v>10</c:v>
                </c:pt>
                <c:pt idx="2999">
                  <c:v>10</c:v>
                </c:pt>
                <c:pt idx="3000">
                  <c:v>10</c:v>
                </c:pt>
                <c:pt idx="3001">
                  <c:v>10</c:v>
                </c:pt>
                <c:pt idx="3002">
                  <c:v>10</c:v>
                </c:pt>
                <c:pt idx="3003">
                  <c:v>10</c:v>
                </c:pt>
                <c:pt idx="3004">
                  <c:v>10</c:v>
                </c:pt>
                <c:pt idx="3005">
                  <c:v>10</c:v>
                </c:pt>
                <c:pt idx="3006">
                  <c:v>10</c:v>
                </c:pt>
                <c:pt idx="3007">
                  <c:v>10</c:v>
                </c:pt>
                <c:pt idx="3008">
                  <c:v>10</c:v>
                </c:pt>
                <c:pt idx="3009">
                  <c:v>10</c:v>
                </c:pt>
                <c:pt idx="3010">
                  <c:v>10</c:v>
                </c:pt>
                <c:pt idx="3011">
                  <c:v>10</c:v>
                </c:pt>
                <c:pt idx="3012">
                  <c:v>10</c:v>
                </c:pt>
                <c:pt idx="3013">
                  <c:v>10</c:v>
                </c:pt>
                <c:pt idx="3014">
                  <c:v>11</c:v>
                </c:pt>
                <c:pt idx="3015">
                  <c:v>11</c:v>
                </c:pt>
                <c:pt idx="3016">
                  <c:v>11</c:v>
                </c:pt>
                <c:pt idx="3017">
                  <c:v>11</c:v>
                </c:pt>
                <c:pt idx="3018">
                  <c:v>11</c:v>
                </c:pt>
                <c:pt idx="3019">
                  <c:v>11</c:v>
                </c:pt>
                <c:pt idx="3020">
                  <c:v>11</c:v>
                </c:pt>
                <c:pt idx="3021">
                  <c:v>11</c:v>
                </c:pt>
                <c:pt idx="3022">
                  <c:v>11</c:v>
                </c:pt>
                <c:pt idx="3023">
                  <c:v>11</c:v>
                </c:pt>
                <c:pt idx="3024">
                  <c:v>11</c:v>
                </c:pt>
                <c:pt idx="3025">
                  <c:v>11</c:v>
                </c:pt>
                <c:pt idx="3026">
                  <c:v>11</c:v>
                </c:pt>
                <c:pt idx="3027">
                  <c:v>11</c:v>
                </c:pt>
                <c:pt idx="3028">
                  <c:v>11</c:v>
                </c:pt>
                <c:pt idx="3029">
                  <c:v>11</c:v>
                </c:pt>
                <c:pt idx="3030">
                  <c:v>11</c:v>
                </c:pt>
                <c:pt idx="3031">
                  <c:v>11</c:v>
                </c:pt>
                <c:pt idx="3032">
                  <c:v>11</c:v>
                </c:pt>
                <c:pt idx="3033">
                  <c:v>11</c:v>
                </c:pt>
                <c:pt idx="3034">
                  <c:v>11</c:v>
                </c:pt>
                <c:pt idx="3035">
                  <c:v>11</c:v>
                </c:pt>
                <c:pt idx="3036">
                  <c:v>11</c:v>
                </c:pt>
                <c:pt idx="3037">
                  <c:v>11</c:v>
                </c:pt>
                <c:pt idx="3038">
                  <c:v>11</c:v>
                </c:pt>
                <c:pt idx="3039">
                  <c:v>11</c:v>
                </c:pt>
                <c:pt idx="3040">
                  <c:v>11</c:v>
                </c:pt>
                <c:pt idx="3041">
                  <c:v>11</c:v>
                </c:pt>
                <c:pt idx="3042">
                  <c:v>11</c:v>
                </c:pt>
                <c:pt idx="3043">
                  <c:v>11</c:v>
                </c:pt>
                <c:pt idx="3044">
                  <c:v>12</c:v>
                </c:pt>
                <c:pt idx="3045">
                  <c:v>12</c:v>
                </c:pt>
                <c:pt idx="3046">
                  <c:v>12</c:v>
                </c:pt>
                <c:pt idx="3047">
                  <c:v>12</c:v>
                </c:pt>
                <c:pt idx="3048">
                  <c:v>12</c:v>
                </c:pt>
                <c:pt idx="3049">
                  <c:v>12</c:v>
                </c:pt>
                <c:pt idx="3050">
                  <c:v>12</c:v>
                </c:pt>
                <c:pt idx="3051">
                  <c:v>12</c:v>
                </c:pt>
                <c:pt idx="3052">
                  <c:v>12</c:v>
                </c:pt>
                <c:pt idx="3053">
                  <c:v>12</c:v>
                </c:pt>
                <c:pt idx="3054">
                  <c:v>12</c:v>
                </c:pt>
                <c:pt idx="3055">
                  <c:v>12</c:v>
                </c:pt>
                <c:pt idx="3056">
                  <c:v>12</c:v>
                </c:pt>
                <c:pt idx="3057">
                  <c:v>12</c:v>
                </c:pt>
                <c:pt idx="3058">
                  <c:v>12</c:v>
                </c:pt>
                <c:pt idx="3059">
                  <c:v>12</c:v>
                </c:pt>
                <c:pt idx="3060">
                  <c:v>12</c:v>
                </c:pt>
                <c:pt idx="3061">
                  <c:v>12</c:v>
                </c:pt>
                <c:pt idx="3062">
                  <c:v>12</c:v>
                </c:pt>
                <c:pt idx="3063">
                  <c:v>12</c:v>
                </c:pt>
                <c:pt idx="3064">
                  <c:v>12</c:v>
                </c:pt>
                <c:pt idx="3065">
                  <c:v>12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12</c:v>
                </c:pt>
                <c:pt idx="3070">
                  <c:v>12</c:v>
                </c:pt>
                <c:pt idx="3071">
                  <c:v>12</c:v>
                </c:pt>
                <c:pt idx="3072">
                  <c:v>12</c:v>
                </c:pt>
                <c:pt idx="3073">
                  <c:v>12</c:v>
                </c:pt>
                <c:pt idx="3074">
                  <c:v>12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</c:numCache>
            </c:numRef>
          </c:cat>
          <c:val>
            <c:numRef>
              <c:f>Daily_Analysis!$G$11:$G$3144</c:f>
              <c:numCache>
                <c:formatCode>General</c:formatCode>
                <c:ptCount val="3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0.01</c:v>
                </c:pt>
                <c:pt idx="97">
                  <c:v>0.01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0.02</c:v>
                </c:pt>
                <c:pt idx="102">
                  <c:v>0.02</c:v>
                </c:pt>
                <c:pt idx="103">
                  <c:v>0.01</c:v>
                </c:pt>
                <c:pt idx="104">
                  <c:v>0.01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0.01</c:v>
                </c:pt>
                <c:pt idx="111">
                  <c:v>0.02</c:v>
                </c:pt>
                <c:pt idx="112">
                  <c:v>0.02</c:v>
                </c:pt>
                <c:pt idx="113">
                  <c:v>0.02</c:v>
                </c:pt>
                <c:pt idx="114">
                  <c:v>0.02</c:v>
                </c:pt>
                <c:pt idx="115">
                  <c:v>0.02</c:v>
                </c:pt>
                <c:pt idx="116">
                  <c:v>0.02</c:v>
                </c:pt>
                <c:pt idx="117">
                  <c:v>0.01</c:v>
                </c:pt>
                <c:pt idx="118">
                  <c:v>0.01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0.08</c:v>
                </c:pt>
                <c:pt idx="123">
                  <c:v>0.08</c:v>
                </c:pt>
                <c:pt idx="124">
                  <c:v>0.06</c:v>
                </c:pt>
                <c:pt idx="125">
                  <c:v>0.06</c:v>
                </c:pt>
                <c:pt idx="126">
                  <c:v>7.0000000000000007E-2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7.0000000000000007E-2</c:v>
                </c:pt>
                <c:pt idx="131">
                  <c:v>0.05</c:v>
                </c:pt>
                <c:pt idx="132">
                  <c:v>0.05</c:v>
                </c:pt>
                <c:pt idx="133">
                  <c:v>7.0000000000000007E-2</c:v>
                </c:pt>
                <c:pt idx="134">
                  <c:v>0.06</c:v>
                </c:pt>
                <c:pt idx="135">
                  <c:v>7.0000000000000007E-2</c:v>
                </c:pt>
                <c:pt idx="136">
                  <c:v>0.06</c:v>
                </c:pt>
                <c:pt idx="137">
                  <c:v>7.0000000000000007E-2</c:v>
                </c:pt>
                <c:pt idx="138">
                  <c:v>0.06</c:v>
                </c:pt>
                <c:pt idx="139">
                  <c:v>0.05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0.06</c:v>
                </c:pt>
                <c:pt idx="143">
                  <c:v>0.06</c:v>
                </c:pt>
                <c:pt idx="144">
                  <c:v>7.0000000000000007E-2</c:v>
                </c:pt>
                <c:pt idx="145">
                  <c:v>0.06</c:v>
                </c:pt>
                <c:pt idx="146">
                  <c:v>0.05</c:v>
                </c:pt>
                <c:pt idx="147">
                  <c:v>7.0000000000000007E-2</c:v>
                </c:pt>
                <c:pt idx="148">
                  <c:v>7.0000000000000007E-2</c:v>
                </c:pt>
                <c:pt idx="149">
                  <c:v>7.0000000000000007E-2</c:v>
                </c:pt>
                <c:pt idx="150">
                  <c:v>7.0000000000000007E-2</c:v>
                </c:pt>
                <c:pt idx="151">
                  <c:v>0.08</c:v>
                </c:pt>
                <c:pt idx="152">
                  <c:v>0.06</c:v>
                </c:pt>
                <c:pt idx="153">
                  <c:v>0.13</c:v>
                </c:pt>
                <c:pt idx="154">
                  <c:v>0.16</c:v>
                </c:pt>
                <c:pt idx="155">
                  <c:v>0.13</c:v>
                </c:pt>
                <c:pt idx="156">
                  <c:v>0.14000000000000001</c:v>
                </c:pt>
                <c:pt idx="157">
                  <c:v>0.14000000000000001</c:v>
                </c:pt>
                <c:pt idx="158">
                  <c:v>0.14000000000000001</c:v>
                </c:pt>
                <c:pt idx="159">
                  <c:v>0.12</c:v>
                </c:pt>
                <c:pt idx="160">
                  <c:v>0.11</c:v>
                </c:pt>
                <c:pt idx="161">
                  <c:v>0.15</c:v>
                </c:pt>
                <c:pt idx="162">
                  <c:v>0.14000000000000001</c:v>
                </c:pt>
                <c:pt idx="163">
                  <c:v>0.13</c:v>
                </c:pt>
                <c:pt idx="164">
                  <c:v>0.14000000000000001</c:v>
                </c:pt>
                <c:pt idx="165">
                  <c:v>0.15</c:v>
                </c:pt>
                <c:pt idx="166">
                  <c:v>0.12</c:v>
                </c:pt>
                <c:pt idx="167">
                  <c:v>0.12</c:v>
                </c:pt>
                <c:pt idx="168">
                  <c:v>0.14000000000000001</c:v>
                </c:pt>
                <c:pt idx="169">
                  <c:v>0.13</c:v>
                </c:pt>
                <c:pt idx="170">
                  <c:v>0.13</c:v>
                </c:pt>
                <c:pt idx="171">
                  <c:v>0.13</c:v>
                </c:pt>
                <c:pt idx="172">
                  <c:v>0.15</c:v>
                </c:pt>
                <c:pt idx="173">
                  <c:v>0.12</c:v>
                </c:pt>
                <c:pt idx="174">
                  <c:v>0.12</c:v>
                </c:pt>
                <c:pt idx="175">
                  <c:v>0.15</c:v>
                </c:pt>
                <c:pt idx="176">
                  <c:v>0.14000000000000001</c:v>
                </c:pt>
                <c:pt idx="177">
                  <c:v>0.14000000000000001</c:v>
                </c:pt>
                <c:pt idx="178">
                  <c:v>0.13</c:v>
                </c:pt>
                <c:pt idx="179">
                  <c:v>0.16</c:v>
                </c:pt>
                <c:pt idx="180">
                  <c:v>0.12</c:v>
                </c:pt>
                <c:pt idx="181">
                  <c:v>0.11</c:v>
                </c:pt>
                <c:pt idx="182">
                  <c:v>0.16</c:v>
                </c:pt>
                <c:pt idx="183">
                  <c:v>0.16</c:v>
                </c:pt>
                <c:pt idx="184">
                  <c:v>0.17</c:v>
                </c:pt>
                <c:pt idx="185">
                  <c:v>0.18</c:v>
                </c:pt>
                <c:pt idx="186">
                  <c:v>0.16</c:v>
                </c:pt>
                <c:pt idx="187">
                  <c:v>0.13</c:v>
                </c:pt>
                <c:pt idx="188">
                  <c:v>0.12</c:v>
                </c:pt>
                <c:pt idx="189">
                  <c:v>0.15</c:v>
                </c:pt>
                <c:pt idx="190">
                  <c:v>0.15</c:v>
                </c:pt>
                <c:pt idx="191">
                  <c:v>0.15</c:v>
                </c:pt>
                <c:pt idx="192">
                  <c:v>0.15</c:v>
                </c:pt>
                <c:pt idx="193">
                  <c:v>0.16</c:v>
                </c:pt>
                <c:pt idx="194">
                  <c:v>0.13</c:v>
                </c:pt>
                <c:pt idx="195">
                  <c:v>0.13</c:v>
                </c:pt>
                <c:pt idx="196">
                  <c:v>0.15</c:v>
                </c:pt>
                <c:pt idx="197">
                  <c:v>0.15</c:v>
                </c:pt>
                <c:pt idx="198">
                  <c:v>0.15</c:v>
                </c:pt>
                <c:pt idx="199">
                  <c:v>0.14000000000000001</c:v>
                </c:pt>
                <c:pt idx="200">
                  <c:v>0.16</c:v>
                </c:pt>
                <c:pt idx="201">
                  <c:v>0.13</c:v>
                </c:pt>
                <c:pt idx="202">
                  <c:v>0.13</c:v>
                </c:pt>
                <c:pt idx="203">
                  <c:v>0.16</c:v>
                </c:pt>
                <c:pt idx="204">
                  <c:v>0.14000000000000001</c:v>
                </c:pt>
                <c:pt idx="205">
                  <c:v>0.15</c:v>
                </c:pt>
                <c:pt idx="206">
                  <c:v>0.15</c:v>
                </c:pt>
                <c:pt idx="207">
                  <c:v>0.16</c:v>
                </c:pt>
                <c:pt idx="208">
                  <c:v>0.13</c:v>
                </c:pt>
                <c:pt idx="209">
                  <c:v>0.14000000000000001</c:v>
                </c:pt>
                <c:pt idx="210">
                  <c:v>0.18</c:v>
                </c:pt>
                <c:pt idx="211">
                  <c:v>0.18</c:v>
                </c:pt>
                <c:pt idx="212">
                  <c:v>0.24</c:v>
                </c:pt>
                <c:pt idx="213">
                  <c:v>0.23</c:v>
                </c:pt>
                <c:pt idx="214">
                  <c:v>0.21</c:v>
                </c:pt>
                <c:pt idx="215">
                  <c:v>0.17</c:v>
                </c:pt>
                <c:pt idx="216">
                  <c:v>0.17</c:v>
                </c:pt>
                <c:pt idx="217">
                  <c:v>0.21</c:v>
                </c:pt>
                <c:pt idx="218">
                  <c:v>0.2</c:v>
                </c:pt>
                <c:pt idx="219">
                  <c:v>0.2</c:v>
                </c:pt>
                <c:pt idx="220">
                  <c:v>0.21</c:v>
                </c:pt>
                <c:pt idx="221">
                  <c:v>0.2</c:v>
                </c:pt>
                <c:pt idx="222">
                  <c:v>0.17</c:v>
                </c:pt>
                <c:pt idx="223">
                  <c:v>0.16</c:v>
                </c:pt>
                <c:pt idx="224">
                  <c:v>0.21</c:v>
                </c:pt>
                <c:pt idx="225">
                  <c:v>0.21</c:v>
                </c:pt>
                <c:pt idx="226">
                  <c:v>0.2</c:v>
                </c:pt>
                <c:pt idx="227">
                  <c:v>0.19</c:v>
                </c:pt>
                <c:pt idx="228">
                  <c:v>0.21</c:v>
                </c:pt>
                <c:pt idx="229">
                  <c:v>0.17</c:v>
                </c:pt>
                <c:pt idx="230">
                  <c:v>0.17</c:v>
                </c:pt>
                <c:pt idx="231">
                  <c:v>0.21</c:v>
                </c:pt>
                <c:pt idx="232">
                  <c:v>0.2</c:v>
                </c:pt>
                <c:pt idx="233">
                  <c:v>0.2</c:v>
                </c:pt>
                <c:pt idx="234">
                  <c:v>0.21</c:v>
                </c:pt>
                <c:pt idx="235">
                  <c:v>0.22</c:v>
                </c:pt>
                <c:pt idx="236">
                  <c:v>0.16</c:v>
                </c:pt>
                <c:pt idx="237">
                  <c:v>0.17</c:v>
                </c:pt>
                <c:pt idx="238">
                  <c:v>0.21</c:v>
                </c:pt>
                <c:pt idx="239">
                  <c:v>0.21</c:v>
                </c:pt>
                <c:pt idx="240">
                  <c:v>0.2</c:v>
                </c:pt>
                <c:pt idx="241">
                  <c:v>0.23</c:v>
                </c:pt>
                <c:pt idx="242">
                  <c:v>0.25</c:v>
                </c:pt>
                <c:pt idx="243">
                  <c:v>0.23</c:v>
                </c:pt>
                <c:pt idx="244">
                  <c:v>0.22</c:v>
                </c:pt>
                <c:pt idx="245">
                  <c:v>0.24</c:v>
                </c:pt>
                <c:pt idx="246">
                  <c:v>0.23</c:v>
                </c:pt>
                <c:pt idx="247">
                  <c:v>0.23</c:v>
                </c:pt>
                <c:pt idx="248">
                  <c:v>0.24</c:v>
                </c:pt>
                <c:pt idx="249">
                  <c:v>0.25</c:v>
                </c:pt>
                <c:pt idx="250">
                  <c:v>0.19</c:v>
                </c:pt>
                <c:pt idx="251">
                  <c:v>0.2</c:v>
                </c:pt>
                <c:pt idx="252">
                  <c:v>0.26</c:v>
                </c:pt>
                <c:pt idx="253">
                  <c:v>0.24</c:v>
                </c:pt>
                <c:pt idx="254">
                  <c:v>0.22</c:v>
                </c:pt>
                <c:pt idx="255">
                  <c:v>0.23</c:v>
                </c:pt>
                <c:pt idx="256">
                  <c:v>0.26</c:v>
                </c:pt>
                <c:pt idx="257">
                  <c:v>0.19</c:v>
                </c:pt>
                <c:pt idx="258">
                  <c:v>0.2</c:v>
                </c:pt>
                <c:pt idx="259">
                  <c:v>0.25</c:v>
                </c:pt>
                <c:pt idx="260">
                  <c:v>0.22</c:v>
                </c:pt>
                <c:pt idx="261">
                  <c:v>0.23</c:v>
                </c:pt>
                <c:pt idx="262">
                  <c:v>0.21</c:v>
                </c:pt>
                <c:pt idx="263">
                  <c:v>0.24</c:v>
                </c:pt>
                <c:pt idx="264">
                  <c:v>0.19</c:v>
                </c:pt>
                <c:pt idx="265">
                  <c:v>0.19</c:v>
                </c:pt>
                <c:pt idx="266">
                  <c:v>0.25</c:v>
                </c:pt>
                <c:pt idx="267">
                  <c:v>0.22</c:v>
                </c:pt>
                <c:pt idx="268">
                  <c:v>0.23</c:v>
                </c:pt>
                <c:pt idx="269">
                  <c:v>0.23</c:v>
                </c:pt>
                <c:pt idx="270">
                  <c:v>0.26</c:v>
                </c:pt>
                <c:pt idx="271">
                  <c:v>0.21</c:v>
                </c:pt>
                <c:pt idx="272">
                  <c:v>0.23</c:v>
                </c:pt>
                <c:pt idx="273">
                  <c:v>0.36</c:v>
                </c:pt>
                <c:pt idx="274">
                  <c:v>0.33</c:v>
                </c:pt>
                <c:pt idx="275">
                  <c:v>0.3</c:v>
                </c:pt>
                <c:pt idx="276">
                  <c:v>0.3</c:v>
                </c:pt>
                <c:pt idx="277">
                  <c:v>0.32</c:v>
                </c:pt>
                <c:pt idx="278">
                  <c:v>0.26</c:v>
                </c:pt>
                <c:pt idx="279">
                  <c:v>0.25</c:v>
                </c:pt>
                <c:pt idx="280">
                  <c:v>0.32</c:v>
                </c:pt>
                <c:pt idx="281">
                  <c:v>0.31</c:v>
                </c:pt>
                <c:pt idx="282">
                  <c:v>0.31</c:v>
                </c:pt>
                <c:pt idx="283">
                  <c:v>0.28999999999999998</c:v>
                </c:pt>
                <c:pt idx="284">
                  <c:v>0.34</c:v>
                </c:pt>
                <c:pt idx="285">
                  <c:v>0.24</c:v>
                </c:pt>
                <c:pt idx="286">
                  <c:v>0.25</c:v>
                </c:pt>
                <c:pt idx="287">
                  <c:v>0.32</c:v>
                </c:pt>
                <c:pt idx="288">
                  <c:v>0.3</c:v>
                </c:pt>
                <c:pt idx="289">
                  <c:v>0.28999999999999998</c:v>
                </c:pt>
                <c:pt idx="290">
                  <c:v>0.3</c:v>
                </c:pt>
                <c:pt idx="291">
                  <c:v>0.32</c:v>
                </c:pt>
                <c:pt idx="292">
                  <c:v>0.25</c:v>
                </c:pt>
                <c:pt idx="293">
                  <c:v>0.26</c:v>
                </c:pt>
                <c:pt idx="294">
                  <c:v>0.32</c:v>
                </c:pt>
                <c:pt idx="295">
                  <c:v>0.28999999999999998</c:v>
                </c:pt>
                <c:pt idx="296">
                  <c:v>0.31</c:v>
                </c:pt>
                <c:pt idx="297">
                  <c:v>0.3</c:v>
                </c:pt>
                <c:pt idx="298">
                  <c:v>0.33</c:v>
                </c:pt>
                <c:pt idx="299">
                  <c:v>0.26</c:v>
                </c:pt>
                <c:pt idx="300">
                  <c:v>0.25</c:v>
                </c:pt>
                <c:pt idx="301">
                  <c:v>0.31</c:v>
                </c:pt>
                <c:pt idx="302">
                  <c:v>0.35</c:v>
                </c:pt>
                <c:pt idx="303">
                  <c:v>0.35</c:v>
                </c:pt>
                <c:pt idx="304">
                  <c:v>0.39</c:v>
                </c:pt>
                <c:pt idx="305">
                  <c:v>0.42</c:v>
                </c:pt>
                <c:pt idx="306">
                  <c:v>0.3</c:v>
                </c:pt>
                <c:pt idx="307">
                  <c:v>0.28000000000000003</c:v>
                </c:pt>
                <c:pt idx="308">
                  <c:v>0.36</c:v>
                </c:pt>
                <c:pt idx="309">
                  <c:v>0.34</c:v>
                </c:pt>
                <c:pt idx="310">
                  <c:v>0.34</c:v>
                </c:pt>
                <c:pt idx="311">
                  <c:v>0.35</c:v>
                </c:pt>
                <c:pt idx="312">
                  <c:v>0.38</c:v>
                </c:pt>
                <c:pt idx="313">
                  <c:v>0.3</c:v>
                </c:pt>
                <c:pt idx="314">
                  <c:v>0.3</c:v>
                </c:pt>
                <c:pt idx="315">
                  <c:v>0.36</c:v>
                </c:pt>
                <c:pt idx="316">
                  <c:v>0.35</c:v>
                </c:pt>
                <c:pt idx="317">
                  <c:v>0.34</c:v>
                </c:pt>
                <c:pt idx="318">
                  <c:v>0.34</c:v>
                </c:pt>
                <c:pt idx="319">
                  <c:v>0.37</c:v>
                </c:pt>
                <c:pt idx="320">
                  <c:v>0.28999999999999998</c:v>
                </c:pt>
                <c:pt idx="321">
                  <c:v>0.3</c:v>
                </c:pt>
                <c:pt idx="322">
                  <c:v>0.35</c:v>
                </c:pt>
                <c:pt idx="323">
                  <c:v>0.36</c:v>
                </c:pt>
                <c:pt idx="324">
                  <c:v>0.33</c:v>
                </c:pt>
                <c:pt idx="325">
                  <c:v>0.33</c:v>
                </c:pt>
                <c:pt idx="326">
                  <c:v>0.38</c:v>
                </c:pt>
                <c:pt idx="327">
                  <c:v>0.3</c:v>
                </c:pt>
                <c:pt idx="328">
                  <c:v>0.3</c:v>
                </c:pt>
                <c:pt idx="329">
                  <c:v>0.36</c:v>
                </c:pt>
                <c:pt idx="330">
                  <c:v>0.34</c:v>
                </c:pt>
                <c:pt idx="331">
                  <c:v>0.33</c:v>
                </c:pt>
                <c:pt idx="332">
                  <c:v>0.39</c:v>
                </c:pt>
                <c:pt idx="333">
                  <c:v>0.41</c:v>
                </c:pt>
                <c:pt idx="334">
                  <c:v>0.54</c:v>
                </c:pt>
                <c:pt idx="335">
                  <c:v>0.52</c:v>
                </c:pt>
                <c:pt idx="336">
                  <c:v>0.55000000000000004</c:v>
                </c:pt>
                <c:pt idx="337">
                  <c:v>0.53</c:v>
                </c:pt>
                <c:pt idx="338">
                  <c:v>0.54</c:v>
                </c:pt>
                <c:pt idx="339">
                  <c:v>0.53</c:v>
                </c:pt>
                <c:pt idx="340">
                  <c:v>0.56999999999999995</c:v>
                </c:pt>
                <c:pt idx="341">
                  <c:v>0.46</c:v>
                </c:pt>
                <c:pt idx="342">
                  <c:v>0.46</c:v>
                </c:pt>
                <c:pt idx="343">
                  <c:v>0.55000000000000004</c:v>
                </c:pt>
                <c:pt idx="344">
                  <c:v>0.53</c:v>
                </c:pt>
                <c:pt idx="345">
                  <c:v>0.54</c:v>
                </c:pt>
                <c:pt idx="346">
                  <c:v>0.51</c:v>
                </c:pt>
                <c:pt idx="347">
                  <c:v>0.56000000000000005</c:v>
                </c:pt>
                <c:pt idx="348">
                  <c:v>0.44</c:v>
                </c:pt>
                <c:pt idx="349">
                  <c:v>0.45</c:v>
                </c:pt>
                <c:pt idx="350">
                  <c:v>0.56999999999999995</c:v>
                </c:pt>
                <c:pt idx="351">
                  <c:v>0.56000000000000005</c:v>
                </c:pt>
                <c:pt idx="352">
                  <c:v>0.55000000000000004</c:v>
                </c:pt>
                <c:pt idx="353">
                  <c:v>0.53</c:v>
                </c:pt>
                <c:pt idx="354">
                  <c:v>0.57999999999999996</c:v>
                </c:pt>
                <c:pt idx="355">
                  <c:v>0.44</c:v>
                </c:pt>
                <c:pt idx="356">
                  <c:v>0.45</c:v>
                </c:pt>
                <c:pt idx="357">
                  <c:v>0.56000000000000005</c:v>
                </c:pt>
                <c:pt idx="358">
                  <c:v>0.54</c:v>
                </c:pt>
                <c:pt idx="359">
                  <c:v>0.52</c:v>
                </c:pt>
                <c:pt idx="360">
                  <c:v>0.54</c:v>
                </c:pt>
                <c:pt idx="361">
                  <c:v>0.6</c:v>
                </c:pt>
                <c:pt idx="362">
                  <c:v>0.45</c:v>
                </c:pt>
                <c:pt idx="363">
                  <c:v>0.53</c:v>
                </c:pt>
                <c:pt idx="364">
                  <c:v>0.66</c:v>
                </c:pt>
                <c:pt idx="365">
                  <c:v>1.1299999999999999</c:v>
                </c:pt>
                <c:pt idx="366">
                  <c:v>1.1499999999999999</c:v>
                </c:pt>
                <c:pt idx="367">
                  <c:v>0.99</c:v>
                </c:pt>
                <c:pt idx="368">
                  <c:v>1.08</c:v>
                </c:pt>
                <c:pt idx="369">
                  <c:v>0.82</c:v>
                </c:pt>
                <c:pt idx="370">
                  <c:v>0.85</c:v>
                </c:pt>
                <c:pt idx="371">
                  <c:v>1.06</c:v>
                </c:pt>
                <c:pt idx="372">
                  <c:v>1.04</c:v>
                </c:pt>
                <c:pt idx="373">
                  <c:v>1.02</c:v>
                </c:pt>
                <c:pt idx="374">
                  <c:v>1.06</c:v>
                </c:pt>
                <c:pt idx="375">
                  <c:v>1.05</c:v>
                </c:pt>
                <c:pt idx="376">
                  <c:v>0.87</c:v>
                </c:pt>
                <c:pt idx="377">
                  <c:v>0.85</c:v>
                </c:pt>
                <c:pt idx="378">
                  <c:v>1.1100000000000001</c:v>
                </c:pt>
                <c:pt idx="379">
                  <c:v>0.97</c:v>
                </c:pt>
                <c:pt idx="380">
                  <c:v>0.97</c:v>
                </c:pt>
                <c:pt idx="381">
                  <c:v>0.98</c:v>
                </c:pt>
                <c:pt idx="382">
                  <c:v>1.01</c:v>
                </c:pt>
                <c:pt idx="383">
                  <c:v>0.83</c:v>
                </c:pt>
                <c:pt idx="384">
                  <c:v>0.82</c:v>
                </c:pt>
                <c:pt idx="385">
                  <c:v>1.05</c:v>
                </c:pt>
                <c:pt idx="386">
                  <c:v>1</c:v>
                </c:pt>
                <c:pt idx="387">
                  <c:v>1.05</c:v>
                </c:pt>
                <c:pt idx="388">
                  <c:v>1.02</c:v>
                </c:pt>
                <c:pt idx="389">
                  <c:v>1.06</c:v>
                </c:pt>
                <c:pt idx="390">
                  <c:v>0.82</c:v>
                </c:pt>
                <c:pt idx="391">
                  <c:v>0.86</c:v>
                </c:pt>
                <c:pt idx="392">
                  <c:v>1</c:v>
                </c:pt>
                <c:pt idx="393">
                  <c:v>1.05</c:v>
                </c:pt>
                <c:pt idx="394">
                  <c:v>1.18</c:v>
                </c:pt>
                <c:pt idx="395">
                  <c:v>1.1299999999999999</c:v>
                </c:pt>
                <c:pt idx="396">
                  <c:v>2.09</c:v>
                </c:pt>
                <c:pt idx="397">
                  <c:v>1.81</c:v>
                </c:pt>
                <c:pt idx="398">
                  <c:v>1.49</c:v>
                </c:pt>
                <c:pt idx="399">
                  <c:v>1.92</c:v>
                </c:pt>
                <c:pt idx="400">
                  <c:v>1.68</c:v>
                </c:pt>
                <c:pt idx="401">
                  <c:v>1.73</c:v>
                </c:pt>
                <c:pt idx="402">
                  <c:v>1.76</c:v>
                </c:pt>
                <c:pt idx="403">
                  <c:v>1.91</c:v>
                </c:pt>
                <c:pt idx="404">
                  <c:v>1.48</c:v>
                </c:pt>
                <c:pt idx="405">
                  <c:v>1.53</c:v>
                </c:pt>
                <c:pt idx="406">
                  <c:v>1.8</c:v>
                </c:pt>
                <c:pt idx="407">
                  <c:v>1.76</c:v>
                </c:pt>
                <c:pt idx="408">
                  <c:v>1.77</c:v>
                </c:pt>
                <c:pt idx="409">
                  <c:v>1.79</c:v>
                </c:pt>
                <c:pt idx="410">
                  <c:v>1.94</c:v>
                </c:pt>
                <c:pt idx="411">
                  <c:v>1.44</c:v>
                </c:pt>
                <c:pt idx="412">
                  <c:v>1.42</c:v>
                </c:pt>
                <c:pt idx="413">
                  <c:v>1.92</c:v>
                </c:pt>
                <c:pt idx="414">
                  <c:v>1.78</c:v>
                </c:pt>
                <c:pt idx="415">
                  <c:v>1.72</c:v>
                </c:pt>
                <c:pt idx="416">
                  <c:v>1.85</c:v>
                </c:pt>
                <c:pt idx="417">
                  <c:v>1.91</c:v>
                </c:pt>
                <c:pt idx="418">
                  <c:v>1.56</c:v>
                </c:pt>
                <c:pt idx="419">
                  <c:v>1.5</c:v>
                </c:pt>
                <c:pt idx="420">
                  <c:v>1.96</c:v>
                </c:pt>
                <c:pt idx="421">
                  <c:v>1.86</c:v>
                </c:pt>
                <c:pt idx="422">
                  <c:v>1.75</c:v>
                </c:pt>
                <c:pt idx="423">
                  <c:v>1.81</c:v>
                </c:pt>
                <c:pt idx="424">
                  <c:v>2.23</c:v>
                </c:pt>
                <c:pt idx="425">
                  <c:v>1.81</c:v>
                </c:pt>
                <c:pt idx="426">
                  <c:v>2.34</c:v>
                </c:pt>
                <c:pt idx="427">
                  <c:v>3.05</c:v>
                </c:pt>
                <c:pt idx="428">
                  <c:v>2.56</c:v>
                </c:pt>
                <c:pt idx="429">
                  <c:v>2.35</c:v>
                </c:pt>
                <c:pt idx="430">
                  <c:v>2.39</c:v>
                </c:pt>
                <c:pt idx="431">
                  <c:v>2.52</c:v>
                </c:pt>
                <c:pt idx="432">
                  <c:v>2.09</c:v>
                </c:pt>
                <c:pt idx="433">
                  <c:v>2.16</c:v>
                </c:pt>
                <c:pt idx="434">
                  <c:v>2.71</c:v>
                </c:pt>
                <c:pt idx="435">
                  <c:v>2.48</c:v>
                </c:pt>
                <c:pt idx="436">
                  <c:v>2.6</c:v>
                </c:pt>
                <c:pt idx="437">
                  <c:v>2.37</c:v>
                </c:pt>
                <c:pt idx="438">
                  <c:v>2.5499999999999998</c:v>
                </c:pt>
                <c:pt idx="439">
                  <c:v>2.1</c:v>
                </c:pt>
                <c:pt idx="440">
                  <c:v>2.35</c:v>
                </c:pt>
                <c:pt idx="441">
                  <c:v>2.86</c:v>
                </c:pt>
                <c:pt idx="442">
                  <c:v>2.56</c:v>
                </c:pt>
                <c:pt idx="443">
                  <c:v>2.72</c:v>
                </c:pt>
                <c:pt idx="444">
                  <c:v>2.62</c:v>
                </c:pt>
                <c:pt idx="445">
                  <c:v>3</c:v>
                </c:pt>
                <c:pt idx="446">
                  <c:v>2.35</c:v>
                </c:pt>
                <c:pt idx="447">
                  <c:v>2.2400000000000002</c:v>
                </c:pt>
                <c:pt idx="448">
                  <c:v>2.82</c:v>
                </c:pt>
                <c:pt idx="449">
                  <c:v>2.64</c:v>
                </c:pt>
                <c:pt idx="450">
                  <c:v>2.72</c:v>
                </c:pt>
                <c:pt idx="451">
                  <c:v>2.5499999999999998</c:v>
                </c:pt>
                <c:pt idx="452">
                  <c:v>2.6</c:v>
                </c:pt>
                <c:pt idx="453">
                  <c:v>2.14</c:v>
                </c:pt>
                <c:pt idx="454">
                  <c:v>2.0699999999999998</c:v>
                </c:pt>
                <c:pt idx="455">
                  <c:v>2.92</c:v>
                </c:pt>
                <c:pt idx="456">
                  <c:v>2.84</c:v>
                </c:pt>
                <c:pt idx="457">
                  <c:v>3.89</c:v>
                </c:pt>
                <c:pt idx="458">
                  <c:v>3.95</c:v>
                </c:pt>
                <c:pt idx="459">
                  <c:v>3.65</c:v>
                </c:pt>
                <c:pt idx="460">
                  <c:v>3.18</c:v>
                </c:pt>
                <c:pt idx="461">
                  <c:v>2.97</c:v>
                </c:pt>
                <c:pt idx="462">
                  <c:v>3.59</c:v>
                </c:pt>
                <c:pt idx="463">
                  <c:v>3.52</c:v>
                </c:pt>
                <c:pt idx="464">
                  <c:v>3.48</c:v>
                </c:pt>
                <c:pt idx="465">
                  <c:v>3.47</c:v>
                </c:pt>
                <c:pt idx="466">
                  <c:v>3.84</c:v>
                </c:pt>
                <c:pt idx="467">
                  <c:v>3.05</c:v>
                </c:pt>
                <c:pt idx="468">
                  <c:v>2.91</c:v>
                </c:pt>
                <c:pt idx="469">
                  <c:v>3.61</c:v>
                </c:pt>
                <c:pt idx="470">
                  <c:v>3.46</c:v>
                </c:pt>
                <c:pt idx="471">
                  <c:v>3.58</c:v>
                </c:pt>
                <c:pt idx="472">
                  <c:v>3.67</c:v>
                </c:pt>
                <c:pt idx="473">
                  <c:v>4.3099999999999996</c:v>
                </c:pt>
                <c:pt idx="474">
                  <c:v>3.46</c:v>
                </c:pt>
                <c:pt idx="475">
                  <c:v>3.24</c:v>
                </c:pt>
                <c:pt idx="476">
                  <c:v>4.0999999999999996</c:v>
                </c:pt>
                <c:pt idx="477">
                  <c:v>3.88</c:v>
                </c:pt>
                <c:pt idx="478">
                  <c:v>4.2</c:v>
                </c:pt>
                <c:pt idx="479">
                  <c:v>3.97</c:v>
                </c:pt>
                <c:pt idx="480">
                  <c:v>4.1399999999999997</c:v>
                </c:pt>
                <c:pt idx="481">
                  <c:v>3.16</c:v>
                </c:pt>
                <c:pt idx="482">
                  <c:v>2.8</c:v>
                </c:pt>
                <c:pt idx="483">
                  <c:v>3.69</c:v>
                </c:pt>
                <c:pt idx="484">
                  <c:v>3.41</c:v>
                </c:pt>
                <c:pt idx="485">
                  <c:v>3.85</c:v>
                </c:pt>
                <c:pt idx="486">
                  <c:v>3.94</c:v>
                </c:pt>
                <c:pt idx="487">
                  <c:v>5.65</c:v>
                </c:pt>
                <c:pt idx="488">
                  <c:v>4.8600000000000003</c:v>
                </c:pt>
                <c:pt idx="489">
                  <c:v>4.1100000000000003</c:v>
                </c:pt>
                <c:pt idx="490">
                  <c:v>4.93</c:v>
                </c:pt>
                <c:pt idx="491">
                  <c:v>4.9000000000000004</c:v>
                </c:pt>
                <c:pt idx="492">
                  <c:v>4.7</c:v>
                </c:pt>
                <c:pt idx="493">
                  <c:v>4.57</c:v>
                </c:pt>
                <c:pt idx="494">
                  <c:v>5.28</c:v>
                </c:pt>
                <c:pt idx="495">
                  <c:v>4.07</c:v>
                </c:pt>
                <c:pt idx="496">
                  <c:v>3.84</c:v>
                </c:pt>
                <c:pt idx="497">
                  <c:v>4.9000000000000004</c:v>
                </c:pt>
                <c:pt idx="498">
                  <c:v>4.57</c:v>
                </c:pt>
                <c:pt idx="499">
                  <c:v>4.5</c:v>
                </c:pt>
                <c:pt idx="500">
                  <c:v>4.82</c:v>
                </c:pt>
                <c:pt idx="501">
                  <c:v>5.34</c:v>
                </c:pt>
                <c:pt idx="502">
                  <c:v>3.79</c:v>
                </c:pt>
                <c:pt idx="503">
                  <c:v>4.07</c:v>
                </c:pt>
                <c:pt idx="504">
                  <c:v>4.84</c:v>
                </c:pt>
                <c:pt idx="505">
                  <c:v>4.62</c:v>
                </c:pt>
                <c:pt idx="506">
                  <c:v>4.6100000000000003</c:v>
                </c:pt>
                <c:pt idx="507">
                  <c:v>4.57</c:v>
                </c:pt>
                <c:pt idx="508">
                  <c:v>5.08</c:v>
                </c:pt>
                <c:pt idx="509">
                  <c:v>3.87</c:v>
                </c:pt>
                <c:pt idx="510">
                  <c:v>4.03</c:v>
                </c:pt>
                <c:pt idx="511">
                  <c:v>4.92</c:v>
                </c:pt>
                <c:pt idx="512">
                  <c:v>4.66</c:v>
                </c:pt>
                <c:pt idx="513">
                  <c:v>4.57</c:v>
                </c:pt>
                <c:pt idx="514">
                  <c:v>4.6100000000000003</c:v>
                </c:pt>
                <c:pt idx="515">
                  <c:v>5.18</c:v>
                </c:pt>
                <c:pt idx="516">
                  <c:v>4.67</c:v>
                </c:pt>
                <c:pt idx="517">
                  <c:v>4.43</c:v>
                </c:pt>
                <c:pt idx="518">
                  <c:v>5.93</c:v>
                </c:pt>
                <c:pt idx="519">
                  <c:v>5.76</c:v>
                </c:pt>
                <c:pt idx="520">
                  <c:v>4.6500000000000004</c:v>
                </c:pt>
                <c:pt idx="521">
                  <c:v>4.9800000000000004</c:v>
                </c:pt>
                <c:pt idx="522">
                  <c:v>5.19</c:v>
                </c:pt>
                <c:pt idx="523">
                  <c:v>4.25</c:v>
                </c:pt>
                <c:pt idx="524">
                  <c:v>4.05</c:v>
                </c:pt>
                <c:pt idx="525">
                  <c:v>4.88</c:v>
                </c:pt>
                <c:pt idx="526">
                  <c:v>4.66</c:v>
                </c:pt>
                <c:pt idx="527">
                  <c:v>4.9000000000000004</c:v>
                </c:pt>
                <c:pt idx="528">
                  <c:v>4.93</c:v>
                </c:pt>
                <c:pt idx="529">
                  <c:v>5.16</c:v>
                </c:pt>
                <c:pt idx="530">
                  <c:v>4.26</c:v>
                </c:pt>
                <c:pt idx="531">
                  <c:v>3.92</c:v>
                </c:pt>
                <c:pt idx="532">
                  <c:v>5.13</c:v>
                </c:pt>
                <c:pt idx="533">
                  <c:v>4.72</c:v>
                </c:pt>
                <c:pt idx="534">
                  <c:v>4.8</c:v>
                </c:pt>
                <c:pt idx="535">
                  <c:v>4.9000000000000004</c:v>
                </c:pt>
                <c:pt idx="536">
                  <c:v>5.16</c:v>
                </c:pt>
                <c:pt idx="537">
                  <c:v>4.1100000000000003</c:v>
                </c:pt>
                <c:pt idx="538">
                  <c:v>4.3099999999999996</c:v>
                </c:pt>
                <c:pt idx="539">
                  <c:v>5.0599999999999996</c:v>
                </c:pt>
                <c:pt idx="540">
                  <c:v>5.0199999999999996</c:v>
                </c:pt>
                <c:pt idx="541">
                  <c:v>4.7300000000000004</c:v>
                </c:pt>
                <c:pt idx="542">
                  <c:v>4.97</c:v>
                </c:pt>
                <c:pt idx="543">
                  <c:v>5.5</c:v>
                </c:pt>
                <c:pt idx="544">
                  <c:v>3.8</c:v>
                </c:pt>
                <c:pt idx="545">
                  <c:v>4.05</c:v>
                </c:pt>
                <c:pt idx="546">
                  <c:v>5.23</c:v>
                </c:pt>
                <c:pt idx="547">
                  <c:v>5.6</c:v>
                </c:pt>
                <c:pt idx="548">
                  <c:v>5.69</c:v>
                </c:pt>
                <c:pt idx="549">
                  <c:v>6.91</c:v>
                </c:pt>
                <c:pt idx="550">
                  <c:v>7.62</c:v>
                </c:pt>
                <c:pt idx="551">
                  <c:v>5.17</c:v>
                </c:pt>
                <c:pt idx="552">
                  <c:v>5.42</c:v>
                </c:pt>
                <c:pt idx="553">
                  <c:v>6.47</c:v>
                </c:pt>
                <c:pt idx="554">
                  <c:v>6.18</c:v>
                </c:pt>
                <c:pt idx="555">
                  <c:v>6.05</c:v>
                </c:pt>
                <c:pt idx="556">
                  <c:v>6.03</c:v>
                </c:pt>
                <c:pt idx="557">
                  <c:v>6.53</c:v>
                </c:pt>
                <c:pt idx="558">
                  <c:v>5.28</c:v>
                </c:pt>
                <c:pt idx="559">
                  <c:v>5.13</c:v>
                </c:pt>
                <c:pt idx="560">
                  <c:v>6.48</c:v>
                </c:pt>
                <c:pt idx="561">
                  <c:v>6.5</c:v>
                </c:pt>
                <c:pt idx="562">
                  <c:v>6.28</c:v>
                </c:pt>
                <c:pt idx="563">
                  <c:v>6.06</c:v>
                </c:pt>
                <c:pt idx="564">
                  <c:v>6.83</c:v>
                </c:pt>
                <c:pt idx="565">
                  <c:v>5.13</c:v>
                </c:pt>
                <c:pt idx="566">
                  <c:v>4.83</c:v>
                </c:pt>
                <c:pt idx="567">
                  <c:v>6.24</c:v>
                </c:pt>
                <c:pt idx="568">
                  <c:v>5.78</c:v>
                </c:pt>
                <c:pt idx="569">
                  <c:v>6.06</c:v>
                </c:pt>
                <c:pt idx="570">
                  <c:v>6.12</c:v>
                </c:pt>
                <c:pt idx="571">
                  <c:v>6.92</c:v>
                </c:pt>
                <c:pt idx="572">
                  <c:v>5.26</c:v>
                </c:pt>
                <c:pt idx="573">
                  <c:v>5.16</c:v>
                </c:pt>
                <c:pt idx="574">
                  <c:v>6.58</c:v>
                </c:pt>
                <c:pt idx="575">
                  <c:v>6.57</c:v>
                </c:pt>
                <c:pt idx="576">
                  <c:v>7.09</c:v>
                </c:pt>
                <c:pt idx="577">
                  <c:v>6.76</c:v>
                </c:pt>
                <c:pt idx="578">
                  <c:v>6.84</c:v>
                </c:pt>
                <c:pt idx="579">
                  <c:v>5.08</c:v>
                </c:pt>
                <c:pt idx="580">
                  <c:v>4.9400000000000004</c:v>
                </c:pt>
                <c:pt idx="581">
                  <c:v>5.96</c:v>
                </c:pt>
                <c:pt idx="582">
                  <c:v>5.85</c:v>
                </c:pt>
                <c:pt idx="583">
                  <c:v>6.14</c:v>
                </c:pt>
                <c:pt idx="584">
                  <c:v>5.78</c:v>
                </c:pt>
                <c:pt idx="585">
                  <c:v>6.25</c:v>
                </c:pt>
                <c:pt idx="586">
                  <c:v>4.8</c:v>
                </c:pt>
                <c:pt idx="587">
                  <c:v>4.74</c:v>
                </c:pt>
                <c:pt idx="588">
                  <c:v>6.18</c:v>
                </c:pt>
                <c:pt idx="589">
                  <c:v>5.6</c:v>
                </c:pt>
                <c:pt idx="590">
                  <c:v>5.76</c:v>
                </c:pt>
                <c:pt idx="591">
                  <c:v>5.66</c:v>
                </c:pt>
                <c:pt idx="592">
                  <c:v>6.29</c:v>
                </c:pt>
                <c:pt idx="593">
                  <c:v>4.9400000000000004</c:v>
                </c:pt>
                <c:pt idx="594">
                  <c:v>5.0599999999999996</c:v>
                </c:pt>
                <c:pt idx="595">
                  <c:v>5.94</c:v>
                </c:pt>
                <c:pt idx="596">
                  <c:v>5.7</c:v>
                </c:pt>
                <c:pt idx="597">
                  <c:v>5.58</c:v>
                </c:pt>
                <c:pt idx="598">
                  <c:v>5.67</c:v>
                </c:pt>
                <c:pt idx="599">
                  <c:v>6.27</c:v>
                </c:pt>
                <c:pt idx="600">
                  <c:v>5.01</c:v>
                </c:pt>
                <c:pt idx="601">
                  <c:v>4.72</c:v>
                </c:pt>
                <c:pt idx="602">
                  <c:v>6.18</c:v>
                </c:pt>
                <c:pt idx="603">
                  <c:v>5.98</c:v>
                </c:pt>
                <c:pt idx="604">
                  <c:v>5.82</c:v>
                </c:pt>
                <c:pt idx="605">
                  <c:v>6.07</c:v>
                </c:pt>
                <c:pt idx="606">
                  <c:v>6.98</c:v>
                </c:pt>
                <c:pt idx="607">
                  <c:v>5.37</c:v>
                </c:pt>
                <c:pt idx="608">
                  <c:v>5.8</c:v>
                </c:pt>
                <c:pt idx="609">
                  <c:v>7.97</c:v>
                </c:pt>
                <c:pt idx="610">
                  <c:v>6.46</c:v>
                </c:pt>
                <c:pt idx="611">
                  <c:v>6.32</c:v>
                </c:pt>
                <c:pt idx="612">
                  <c:v>6.39</c:v>
                </c:pt>
                <c:pt idx="613">
                  <c:v>6.63</c:v>
                </c:pt>
                <c:pt idx="614">
                  <c:v>5.85</c:v>
                </c:pt>
                <c:pt idx="615">
                  <c:v>5.41</c:v>
                </c:pt>
                <c:pt idx="616">
                  <c:v>6.67</c:v>
                </c:pt>
                <c:pt idx="617">
                  <c:v>6.47</c:v>
                </c:pt>
                <c:pt idx="618">
                  <c:v>6.42</c:v>
                </c:pt>
                <c:pt idx="619">
                  <c:v>6.38</c:v>
                </c:pt>
                <c:pt idx="620">
                  <c:v>6.69</c:v>
                </c:pt>
                <c:pt idx="621">
                  <c:v>5.47</c:v>
                </c:pt>
                <c:pt idx="622">
                  <c:v>5.74</c:v>
                </c:pt>
                <c:pt idx="623">
                  <c:v>6.91</c:v>
                </c:pt>
                <c:pt idx="624">
                  <c:v>6.64</c:v>
                </c:pt>
                <c:pt idx="625">
                  <c:v>6.24</c:v>
                </c:pt>
                <c:pt idx="626">
                  <c:v>6.15</c:v>
                </c:pt>
                <c:pt idx="627">
                  <c:v>6.82</c:v>
                </c:pt>
                <c:pt idx="628">
                  <c:v>5.39</c:v>
                </c:pt>
                <c:pt idx="629">
                  <c:v>5.59</c:v>
                </c:pt>
                <c:pt idx="630">
                  <c:v>6.33</c:v>
                </c:pt>
                <c:pt idx="631">
                  <c:v>6.62</c:v>
                </c:pt>
                <c:pt idx="632">
                  <c:v>6.3</c:v>
                </c:pt>
                <c:pt idx="633">
                  <c:v>6.25</c:v>
                </c:pt>
                <c:pt idx="634">
                  <c:v>6.65</c:v>
                </c:pt>
                <c:pt idx="635">
                  <c:v>5.07</c:v>
                </c:pt>
                <c:pt idx="636">
                  <c:v>6.37</c:v>
                </c:pt>
                <c:pt idx="637">
                  <c:v>7.66</c:v>
                </c:pt>
                <c:pt idx="638">
                  <c:v>8.01</c:v>
                </c:pt>
                <c:pt idx="639">
                  <c:v>8.01</c:v>
                </c:pt>
                <c:pt idx="640">
                  <c:v>7.17</c:v>
                </c:pt>
                <c:pt idx="641">
                  <c:v>8.19</c:v>
                </c:pt>
                <c:pt idx="642">
                  <c:v>6.1</c:v>
                </c:pt>
                <c:pt idx="643">
                  <c:v>5.83</c:v>
                </c:pt>
                <c:pt idx="644">
                  <c:v>7.55</c:v>
                </c:pt>
                <c:pt idx="645">
                  <c:v>7.19</c:v>
                </c:pt>
                <c:pt idx="646">
                  <c:v>6.66</c:v>
                </c:pt>
                <c:pt idx="647">
                  <c:v>7.23</c:v>
                </c:pt>
                <c:pt idx="648">
                  <c:v>7.77</c:v>
                </c:pt>
                <c:pt idx="649">
                  <c:v>6.31</c:v>
                </c:pt>
                <c:pt idx="650">
                  <c:v>6.56</c:v>
                </c:pt>
                <c:pt idx="651">
                  <c:v>7.85</c:v>
                </c:pt>
                <c:pt idx="652">
                  <c:v>7.19</c:v>
                </c:pt>
                <c:pt idx="653">
                  <c:v>7</c:v>
                </c:pt>
                <c:pt idx="654">
                  <c:v>7.8</c:v>
                </c:pt>
                <c:pt idx="655">
                  <c:v>7.84</c:v>
                </c:pt>
                <c:pt idx="656">
                  <c:v>6.16</c:v>
                </c:pt>
                <c:pt idx="657">
                  <c:v>6.15</c:v>
                </c:pt>
                <c:pt idx="658">
                  <c:v>7.65</c:v>
                </c:pt>
                <c:pt idx="659">
                  <c:v>7.21</c:v>
                </c:pt>
                <c:pt idx="660">
                  <c:v>7.12</c:v>
                </c:pt>
                <c:pt idx="661">
                  <c:v>7.13</c:v>
                </c:pt>
                <c:pt idx="662">
                  <c:v>7.82</c:v>
                </c:pt>
                <c:pt idx="663">
                  <c:v>6.04</c:v>
                </c:pt>
                <c:pt idx="664">
                  <c:v>6</c:v>
                </c:pt>
                <c:pt idx="665">
                  <c:v>7.63</c:v>
                </c:pt>
                <c:pt idx="666">
                  <c:v>7.19</c:v>
                </c:pt>
                <c:pt idx="667">
                  <c:v>8.7100000000000009</c:v>
                </c:pt>
                <c:pt idx="668">
                  <c:v>7.67</c:v>
                </c:pt>
                <c:pt idx="669">
                  <c:v>10.51</c:v>
                </c:pt>
                <c:pt idx="670">
                  <c:v>8.3800000000000008</c:v>
                </c:pt>
                <c:pt idx="671">
                  <c:v>6.47</c:v>
                </c:pt>
                <c:pt idx="672">
                  <c:v>8.5399999999999991</c:v>
                </c:pt>
                <c:pt idx="673">
                  <c:v>8.1199999999999992</c:v>
                </c:pt>
                <c:pt idx="674">
                  <c:v>7.87</c:v>
                </c:pt>
                <c:pt idx="675">
                  <c:v>8.02</c:v>
                </c:pt>
                <c:pt idx="676">
                  <c:v>8.6</c:v>
                </c:pt>
                <c:pt idx="677">
                  <c:v>7.41</c:v>
                </c:pt>
                <c:pt idx="678">
                  <c:v>7.21</c:v>
                </c:pt>
                <c:pt idx="679">
                  <c:v>8.94</c:v>
                </c:pt>
                <c:pt idx="680">
                  <c:v>8.39</c:v>
                </c:pt>
                <c:pt idx="681">
                  <c:v>7.94</c:v>
                </c:pt>
                <c:pt idx="682">
                  <c:v>8.08</c:v>
                </c:pt>
                <c:pt idx="683">
                  <c:v>8.99</c:v>
                </c:pt>
                <c:pt idx="684">
                  <c:v>6.68</c:v>
                </c:pt>
                <c:pt idx="685">
                  <c:v>7.16</c:v>
                </c:pt>
                <c:pt idx="686">
                  <c:v>8.56</c:v>
                </c:pt>
                <c:pt idx="687">
                  <c:v>8.1199999999999992</c:v>
                </c:pt>
                <c:pt idx="688">
                  <c:v>8.39</c:v>
                </c:pt>
                <c:pt idx="689">
                  <c:v>8.32</c:v>
                </c:pt>
                <c:pt idx="690">
                  <c:v>8.7799999999999994</c:v>
                </c:pt>
                <c:pt idx="691">
                  <c:v>7.27</c:v>
                </c:pt>
                <c:pt idx="692">
                  <c:v>6.71</c:v>
                </c:pt>
                <c:pt idx="693">
                  <c:v>8.7799999999999994</c:v>
                </c:pt>
                <c:pt idx="694">
                  <c:v>8.36</c:v>
                </c:pt>
                <c:pt idx="695">
                  <c:v>8.14</c:v>
                </c:pt>
                <c:pt idx="696">
                  <c:v>8.2899999999999991</c:v>
                </c:pt>
                <c:pt idx="697">
                  <c:v>9.85</c:v>
                </c:pt>
                <c:pt idx="698">
                  <c:v>8.2899999999999991</c:v>
                </c:pt>
                <c:pt idx="699">
                  <c:v>7.38</c:v>
                </c:pt>
                <c:pt idx="700">
                  <c:v>9.0399999999999991</c:v>
                </c:pt>
                <c:pt idx="701">
                  <c:v>7.84</c:v>
                </c:pt>
                <c:pt idx="702">
                  <c:v>7.44</c:v>
                </c:pt>
                <c:pt idx="703">
                  <c:v>7.28</c:v>
                </c:pt>
                <c:pt idx="704">
                  <c:v>7.86</c:v>
                </c:pt>
                <c:pt idx="705">
                  <c:v>6.6</c:v>
                </c:pt>
                <c:pt idx="706">
                  <c:v>6.17</c:v>
                </c:pt>
                <c:pt idx="707">
                  <c:v>8.3800000000000008</c:v>
                </c:pt>
                <c:pt idx="708">
                  <c:v>7.13</c:v>
                </c:pt>
                <c:pt idx="709">
                  <c:v>7.99</c:v>
                </c:pt>
                <c:pt idx="710">
                  <c:v>7.65</c:v>
                </c:pt>
                <c:pt idx="711">
                  <c:v>8.19</c:v>
                </c:pt>
                <c:pt idx="712">
                  <c:v>6.34</c:v>
                </c:pt>
                <c:pt idx="713">
                  <c:v>6.55</c:v>
                </c:pt>
                <c:pt idx="714">
                  <c:v>7.97</c:v>
                </c:pt>
                <c:pt idx="715">
                  <c:v>7.85</c:v>
                </c:pt>
                <c:pt idx="716">
                  <c:v>7.63</c:v>
                </c:pt>
                <c:pt idx="717">
                  <c:v>7.64</c:v>
                </c:pt>
                <c:pt idx="718">
                  <c:v>8.1300000000000008</c:v>
                </c:pt>
                <c:pt idx="719">
                  <c:v>6.45</c:v>
                </c:pt>
                <c:pt idx="720">
                  <c:v>6.53</c:v>
                </c:pt>
                <c:pt idx="721">
                  <c:v>7.59</c:v>
                </c:pt>
                <c:pt idx="722">
                  <c:v>7.3</c:v>
                </c:pt>
                <c:pt idx="723">
                  <c:v>7.77</c:v>
                </c:pt>
                <c:pt idx="724">
                  <c:v>7.64</c:v>
                </c:pt>
                <c:pt idx="725">
                  <c:v>8.17</c:v>
                </c:pt>
                <c:pt idx="726">
                  <c:v>6.47</c:v>
                </c:pt>
                <c:pt idx="727">
                  <c:v>6.54</c:v>
                </c:pt>
                <c:pt idx="728">
                  <c:v>9.0399999999999991</c:v>
                </c:pt>
                <c:pt idx="729">
                  <c:v>8.5399999999999991</c:v>
                </c:pt>
                <c:pt idx="730">
                  <c:v>11.65</c:v>
                </c:pt>
                <c:pt idx="731">
                  <c:v>11.25</c:v>
                </c:pt>
                <c:pt idx="732">
                  <c:v>11</c:v>
                </c:pt>
                <c:pt idx="733">
                  <c:v>8.0500000000000007</c:v>
                </c:pt>
                <c:pt idx="734">
                  <c:v>8.8699999999999992</c:v>
                </c:pt>
                <c:pt idx="735">
                  <c:v>10.72</c:v>
                </c:pt>
                <c:pt idx="736">
                  <c:v>10.15</c:v>
                </c:pt>
                <c:pt idx="737">
                  <c:v>10.37</c:v>
                </c:pt>
                <c:pt idx="738">
                  <c:v>10.58</c:v>
                </c:pt>
                <c:pt idx="739">
                  <c:v>11.19</c:v>
                </c:pt>
                <c:pt idx="740">
                  <c:v>8.01</c:v>
                </c:pt>
                <c:pt idx="741">
                  <c:v>8.18</c:v>
                </c:pt>
                <c:pt idx="742">
                  <c:v>10.39</c:v>
                </c:pt>
                <c:pt idx="743">
                  <c:v>10.08</c:v>
                </c:pt>
                <c:pt idx="744">
                  <c:v>10.23</c:v>
                </c:pt>
                <c:pt idx="745">
                  <c:v>9.85</c:v>
                </c:pt>
                <c:pt idx="746">
                  <c:v>10.94</c:v>
                </c:pt>
                <c:pt idx="747">
                  <c:v>8.33</c:v>
                </c:pt>
                <c:pt idx="748">
                  <c:v>8.3800000000000008</c:v>
                </c:pt>
                <c:pt idx="749">
                  <c:v>10.15</c:v>
                </c:pt>
                <c:pt idx="750">
                  <c:v>9.8000000000000007</c:v>
                </c:pt>
                <c:pt idx="751">
                  <c:v>9.67</c:v>
                </c:pt>
                <c:pt idx="752">
                  <c:v>9.7799999999999994</c:v>
                </c:pt>
                <c:pt idx="753">
                  <c:v>11.2</c:v>
                </c:pt>
                <c:pt idx="754">
                  <c:v>8.2799999999999994</c:v>
                </c:pt>
                <c:pt idx="755">
                  <c:v>9.36</c:v>
                </c:pt>
                <c:pt idx="756">
                  <c:v>10.73</c:v>
                </c:pt>
                <c:pt idx="757">
                  <c:v>10.130000000000001</c:v>
                </c:pt>
                <c:pt idx="758">
                  <c:v>9.81</c:v>
                </c:pt>
                <c:pt idx="759">
                  <c:v>11.83</c:v>
                </c:pt>
                <c:pt idx="760">
                  <c:v>12.31</c:v>
                </c:pt>
                <c:pt idx="761">
                  <c:v>13.28</c:v>
                </c:pt>
                <c:pt idx="762">
                  <c:v>14.42</c:v>
                </c:pt>
                <c:pt idx="763">
                  <c:v>14.16</c:v>
                </c:pt>
                <c:pt idx="764">
                  <c:v>13.99</c:v>
                </c:pt>
                <c:pt idx="765">
                  <c:v>13.24</c:v>
                </c:pt>
                <c:pt idx="766">
                  <c:v>13.51</c:v>
                </c:pt>
                <c:pt idx="767">
                  <c:v>15.33</c:v>
                </c:pt>
                <c:pt idx="768">
                  <c:v>11.24</c:v>
                </c:pt>
                <c:pt idx="769">
                  <c:v>12.23</c:v>
                </c:pt>
                <c:pt idx="770">
                  <c:v>14.49</c:v>
                </c:pt>
                <c:pt idx="771">
                  <c:v>13.3</c:v>
                </c:pt>
                <c:pt idx="772">
                  <c:v>13.78</c:v>
                </c:pt>
                <c:pt idx="773">
                  <c:v>13.92</c:v>
                </c:pt>
                <c:pt idx="774">
                  <c:v>14.86</c:v>
                </c:pt>
                <c:pt idx="775">
                  <c:v>10.86</c:v>
                </c:pt>
                <c:pt idx="776">
                  <c:v>11.2</c:v>
                </c:pt>
                <c:pt idx="777">
                  <c:v>14.1</c:v>
                </c:pt>
                <c:pt idx="778">
                  <c:v>13.5</c:v>
                </c:pt>
                <c:pt idx="779">
                  <c:v>13.78</c:v>
                </c:pt>
                <c:pt idx="780">
                  <c:v>13.6</c:v>
                </c:pt>
                <c:pt idx="781">
                  <c:v>14.07</c:v>
                </c:pt>
                <c:pt idx="782">
                  <c:v>11.65</c:v>
                </c:pt>
                <c:pt idx="783">
                  <c:v>11.75</c:v>
                </c:pt>
                <c:pt idx="784">
                  <c:v>14.43</c:v>
                </c:pt>
                <c:pt idx="785">
                  <c:v>13.97</c:v>
                </c:pt>
                <c:pt idx="786">
                  <c:v>13.87</c:v>
                </c:pt>
                <c:pt idx="787">
                  <c:v>13.71</c:v>
                </c:pt>
                <c:pt idx="788">
                  <c:v>14.58</c:v>
                </c:pt>
                <c:pt idx="789">
                  <c:v>12.45</c:v>
                </c:pt>
                <c:pt idx="790">
                  <c:v>13.42</c:v>
                </c:pt>
                <c:pt idx="791">
                  <c:v>18.899999999999999</c:v>
                </c:pt>
                <c:pt idx="792">
                  <c:v>18.04</c:v>
                </c:pt>
                <c:pt idx="793">
                  <c:v>14.96</c:v>
                </c:pt>
                <c:pt idx="794">
                  <c:v>15.05</c:v>
                </c:pt>
                <c:pt idx="795">
                  <c:v>17.29</c:v>
                </c:pt>
                <c:pt idx="796">
                  <c:v>13.21</c:v>
                </c:pt>
                <c:pt idx="797">
                  <c:v>13.54</c:v>
                </c:pt>
                <c:pt idx="798">
                  <c:v>16.350000000000001</c:v>
                </c:pt>
                <c:pt idx="799">
                  <c:v>15.57</c:v>
                </c:pt>
                <c:pt idx="800">
                  <c:v>16</c:v>
                </c:pt>
                <c:pt idx="801">
                  <c:v>15.32</c:v>
                </c:pt>
                <c:pt idx="802">
                  <c:v>16.850000000000001</c:v>
                </c:pt>
                <c:pt idx="803">
                  <c:v>13.01</c:v>
                </c:pt>
                <c:pt idx="804">
                  <c:v>13.02</c:v>
                </c:pt>
                <c:pt idx="805">
                  <c:v>17.809999999999999</c:v>
                </c:pt>
                <c:pt idx="806">
                  <c:v>17.23</c:v>
                </c:pt>
                <c:pt idx="807">
                  <c:v>16.87</c:v>
                </c:pt>
                <c:pt idx="808">
                  <c:v>17.760000000000002</c:v>
                </c:pt>
                <c:pt idx="809">
                  <c:v>18.02</c:v>
                </c:pt>
                <c:pt idx="810">
                  <c:v>14.45</c:v>
                </c:pt>
                <c:pt idx="811">
                  <c:v>14.32</c:v>
                </c:pt>
                <c:pt idx="812">
                  <c:v>18.71</c:v>
                </c:pt>
                <c:pt idx="813">
                  <c:v>17.21</c:v>
                </c:pt>
                <c:pt idx="814">
                  <c:v>17.64</c:v>
                </c:pt>
                <c:pt idx="815">
                  <c:v>16.350000000000001</c:v>
                </c:pt>
                <c:pt idx="816">
                  <c:v>16.93</c:v>
                </c:pt>
                <c:pt idx="817">
                  <c:v>13.64</c:v>
                </c:pt>
                <c:pt idx="818">
                  <c:v>13.26</c:v>
                </c:pt>
                <c:pt idx="819">
                  <c:v>16.829999999999998</c:v>
                </c:pt>
                <c:pt idx="820">
                  <c:v>17.61</c:v>
                </c:pt>
                <c:pt idx="821">
                  <c:v>18.649999999999999</c:v>
                </c:pt>
                <c:pt idx="822">
                  <c:v>21.51</c:v>
                </c:pt>
                <c:pt idx="823">
                  <c:v>21.51</c:v>
                </c:pt>
                <c:pt idx="824">
                  <c:v>14.64</c:v>
                </c:pt>
                <c:pt idx="825">
                  <c:v>15.64</c:v>
                </c:pt>
                <c:pt idx="826">
                  <c:v>19.2</c:v>
                </c:pt>
                <c:pt idx="827">
                  <c:v>17.22</c:v>
                </c:pt>
                <c:pt idx="828">
                  <c:v>17.28</c:v>
                </c:pt>
                <c:pt idx="829">
                  <c:v>17.350000000000001</c:v>
                </c:pt>
                <c:pt idx="830">
                  <c:v>18.190000000000001</c:v>
                </c:pt>
                <c:pt idx="831">
                  <c:v>14.39</c:v>
                </c:pt>
                <c:pt idx="832">
                  <c:v>14.35</c:v>
                </c:pt>
                <c:pt idx="833">
                  <c:v>17.97</c:v>
                </c:pt>
                <c:pt idx="834">
                  <c:v>17.48</c:v>
                </c:pt>
                <c:pt idx="835">
                  <c:v>17.62</c:v>
                </c:pt>
                <c:pt idx="836">
                  <c:v>20.14</c:v>
                </c:pt>
                <c:pt idx="837">
                  <c:v>20.21</c:v>
                </c:pt>
                <c:pt idx="838">
                  <c:v>16.93</c:v>
                </c:pt>
                <c:pt idx="839">
                  <c:v>16.239999999999998</c:v>
                </c:pt>
                <c:pt idx="840">
                  <c:v>20.18</c:v>
                </c:pt>
                <c:pt idx="841">
                  <c:v>19.64</c:v>
                </c:pt>
                <c:pt idx="842">
                  <c:v>18.600000000000001</c:v>
                </c:pt>
                <c:pt idx="843">
                  <c:v>19.47</c:v>
                </c:pt>
                <c:pt idx="844">
                  <c:v>20.88</c:v>
                </c:pt>
                <c:pt idx="845">
                  <c:v>16.64</c:v>
                </c:pt>
                <c:pt idx="846">
                  <c:v>16.53</c:v>
                </c:pt>
                <c:pt idx="847">
                  <c:v>19.66</c:v>
                </c:pt>
                <c:pt idx="848">
                  <c:v>17.16</c:v>
                </c:pt>
                <c:pt idx="849">
                  <c:v>17.22</c:v>
                </c:pt>
                <c:pt idx="850">
                  <c:v>19.75</c:v>
                </c:pt>
                <c:pt idx="851">
                  <c:v>21.4</c:v>
                </c:pt>
                <c:pt idx="852">
                  <c:v>19.14</c:v>
                </c:pt>
                <c:pt idx="853">
                  <c:v>20.399999999999999</c:v>
                </c:pt>
                <c:pt idx="854">
                  <c:v>21.88</c:v>
                </c:pt>
                <c:pt idx="855">
                  <c:v>19.690000000000001</c:v>
                </c:pt>
                <c:pt idx="856">
                  <c:v>19.53</c:v>
                </c:pt>
                <c:pt idx="857">
                  <c:v>20.309999999999999</c:v>
                </c:pt>
                <c:pt idx="858">
                  <c:v>21.3</c:v>
                </c:pt>
                <c:pt idx="859">
                  <c:v>17.399999999999999</c:v>
                </c:pt>
                <c:pt idx="860">
                  <c:v>17.149999999999999</c:v>
                </c:pt>
                <c:pt idx="861">
                  <c:v>20.12</c:v>
                </c:pt>
                <c:pt idx="862">
                  <c:v>20.96</c:v>
                </c:pt>
                <c:pt idx="863">
                  <c:v>21.11</c:v>
                </c:pt>
                <c:pt idx="864">
                  <c:v>19.66</c:v>
                </c:pt>
                <c:pt idx="865">
                  <c:v>21.4</c:v>
                </c:pt>
                <c:pt idx="866">
                  <c:v>17.2</c:v>
                </c:pt>
                <c:pt idx="867">
                  <c:v>17.23</c:v>
                </c:pt>
                <c:pt idx="868">
                  <c:v>21.43</c:v>
                </c:pt>
                <c:pt idx="869">
                  <c:v>21.24</c:v>
                </c:pt>
                <c:pt idx="870">
                  <c:v>19.920000000000002</c:v>
                </c:pt>
                <c:pt idx="871">
                  <c:v>19.55</c:v>
                </c:pt>
                <c:pt idx="872">
                  <c:v>20.8</c:v>
                </c:pt>
                <c:pt idx="873">
                  <c:v>16.59</c:v>
                </c:pt>
                <c:pt idx="874">
                  <c:v>17</c:v>
                </c:pt>
                <c:pt idx="875">
                  <c:v>22.11</c:v>
                </c:pt>
                <c:pt idx="876">
                  <c:v>19.72</c:v>
                </c:pt>
                <c:pt idx="877">
                  <c:v>20.16</c:v>
                </c:pt>
                <c:pt idx="878">
                  <c:v>20.02</c:v>
                </c:pt>
                <c:pt idx="879">
                  <c:v>22.35</c:v>
                </c:pt>
                <c:pt idx="880">
                  <c:v>18.54</c:v>
                </c:pt>
                <c:pt idx="881">
                  <c:v>19.21</c:v>
                </c:pt>
                <c:pt idx="882">
                  <c:v>23.85</c:v>
                </c:pt>
                <c:pt idx="883">
                  <c:v>25.74</c:v>
                </c:pt>
                <c:pt idx="884">
                  <c:v>25.47</c:v>
                </c:pt>
                <c:pt idx="885">
                  <c:v>22.9</c:v>
                </c:pt>
                <c:pt idx="886">
                  <c:v>23.82</c:v>
                </c:pt>
                <c:pt idx="887">
                  <c:v>18.21</c:v>
                </c:pt>
                <c:pt idx="888">
                  <c:v>18.829999999999998</c:v>
                </c:pt>
                <c:pt idx="889">
                  <c:v>23.51</c:v>
                </c:pt>
                <c:pt idx="890">
                  <c:v>22.23</c:v>
                </c:pt>
                <c:pt idx="891">
                  <c:v>22.03</c:v>
                </c:pt>
                <c:pt idx="892">
                  <c:v>22.39</c:v>
                </c:pt>
                <c:pt idx="893">
                  <c:v>24.2</c:v>
                </c:pt>
                <c:pt idx="894">
                  <c:v>19.34</c:v>
                </c:pt>
                <c:pt idx="895">
                  <c:v>18.87</c:v>
                </c:pt>
                <c:pt idx="896">
                  <c:v>22.68</c:v>
                </c:pt>
                <c:pt idx="897">
                  <c:v>21.8</c:v>
                </c:pt>
                <c:pt idx="898">
                  <c:v>22.49</c:v>
                </c:pt>
                <c:pt idx="899">
                  <c:v>21.17</c:v>
                </c:pt>
                <c:pt idx="900">
                  <c:v>23.68</c:v>
                </c:pt>
                <c:pt idx="901">
                  <c:v>18.190000000000001</c:v>
                </c:pt>
                <c:pt idx="902">
                  <c:v>18.46</c:v>
                </c:pt>
                <c:pt idx="903">
                  <c:v>23.62</c:v>
                </c:pt>
                <c:pt idx="904">
                  <c:v>21.82</c:v>
                </c:pt>
                <c:pt idx="905">
                  <c:v>21.73</c:v>
                </c:pt>
                <c:pt idx="906">
                  <c:v>20.81</c:v>
                </c:pt>
                <c:pt idx="907">
                  <c:v>23.92</c:v>
                </c:pt>
                <c:pt idx="908">
                  <c:v>18.87</c:v>
                </c:pt>
                <c:pt idx="909">
                  <c:v>19.850000000000001</c:v>
                </c:pt>
                <c:pt idx="910">
                  <c:v>22.58</c:v>
                </c:pt>
                <c:pt idx="911">
                  <c:v>21.84</c:v>
                </c:pt>
                <c:pt idx="912">
                  <c:v>25.14</c:v>
                </c:pt>
                <c:pt idx="913">
                  <c:v>26.14</c:v>
                </c:pt>
                <c:pt idx="914">
                  <c:v>29.83</c:v>
                </c:pt>
                <c:pt idx="915">
                  <c:v>23.77</c:v>
                </c:pt>
                <c:pt idx="916">
                  <c:v>20.91</c:v>
                </c:pt>
                <c:pt idx="917">
                  <c:v>25.42</c:v>
                </c:pt>
                <c:pt idx="918">
                  <c:v>23.76</c:v>
                </c:pt>
                <c:pt idx="919">
                  <c:v>24.22</c:v>
                </c:pt>
                <c:pt idx="920">
                  <c:v>24.85</c:v>
                </c:pt>
                <c:pt idx="921">
                  <c:v>25.26</c:v>
                </c:pt>
                <c:pt idx="922">
                  <c:v>20.56</c:v>
                </c:pt>
                <c:pt idx="923">
                  <c:v>19.96</c:v>
                </c:pt>
                <c:pt idx="924">
                  <c:v>26.15</c:v>
                </c:pt>
                <c:pt idx="925">
                  <c:v>22.98</c:v>
                </c:pt>
                <c:pt idx="926">
                  <c:v>23.67</c:v>
                </c:pt>
                <c:pt idx="927">
                  <c:v>24.35</c:v>
                </c:pt>
                <c:pt idx="928">
                  <c:v>27.14</c:v>
                </c:pt>
                <c:pt idx="929">
                  <c:v>20.420000000000002</c:v>
                </c:pt>
                <c:pt idx="930">
                  <c:v>20.07</c:v>
                </c:pt>
                <c:pt idx="931">
                  <c:v>26.64</c:v>
                </c:pt>
                <c:pt idx="932">
                  <c:v>23.03</c:v>
                </c:pt>
                <c:pt idx="933">
                  <c:v>22.49</c:v>
                </c:pt>
                <c:pt idx="934">
                  <c:v>24.4</c:v>
                </c:pt>
                <c:pt idx="935">
                  <c:v>25.64</c:v>
                </c:pt>
                <c:pt idx="936">
                  <c:v>19.73</c:v>
                </c:pt>
                <c:pt idx="937">
                  <c:v>20.98</c:v>
                </c:pt>
                <c:pt idx="938">
                  <c:v>25.46</c:v>
                </c:pt>
                <c:pt idx="939">
                  <c:v>23.67</c:v>
                </c:pt>
                <c:pt idx="940">
                  <c:v>26.63</c:v>
                </c:pt>
                <c:pt idx="941">
                  <c:v>28.42</c:v>
                </c:pt>
                <c:pt idx="942">
                  <c:v>32.61</c:v>
                </c:pt>
                <c:pt idx="943">
                  <c:v>25.12</c:v>
                </c:pt>
                <c:pt idx="944">
                  <c:v>23.35</c:v>
                </c:pt>
                <c:pt idx="945">
                  <c:v>26.25</c:v>
                </c:pt>
                <c:pt idx="946">
                  <c:v>24.61</c:v>
                </c:pt>
                <c:pt idx="947">
                  <c:v>25.25</c:v>
                </c:pt>
                <c:pt idx="948">
                  <c:v>25.76</c:v>
                </c:pt>
                <c:pt idx="949">
                  <c:v>28.04</c:v>
                </c:pt>
                <c:pt idx="950">
                  <c:v>21.74</c:v>
                </c:pt>
                <c:pt idx="951">
                  <c:v>22.19</c:v>
                </c:pt>
                <c:pt idx="952">
                  <c:v>26.11</c:v>
                </c:pt>
                <c:pt idx="953">
                  <c:v>26.91</c:v>
                </c:pt>
                <c:pt idx="954">
                  <c:v>25.73</c:v>
                </c:pt>
                <c:pt idx="955">
                  <c:v>26.65</c:v>
                </c:pt>
                <c:pt idx="956">
                  <c:v>28.12</c:v>
                </c:pt>
                <c:pt idx="957">
                  <c:v>22.28</c:v>
                </c:pt>
                <c:pt idx="958">
                  <c:v>22.36</c:v>
                </c:pt>
                <c:pt idx="959">
                  <c:v>27.43</c:v>
                </c:pt>
                <c:pt idx="960">
                  <c:v>26.29</c:v>
                </c:pt>
                <c:pt idx="961">
                  <c:v>26.82</c:v>
                </c:pt>
                <c:pt idx="962">
                  <c:v>25.94</c:v>
                </c:pt>
                <c:pt idx="963">
                  <c:v>28.4</c:v>
                </c:pt>
                <c:pt idx="964">
                  <c:v>21.85</c:v>
                </c:pt>
                <c:pt idx="965">
                  <c:v>23.04</c:v>
                </c:pt>
                <c:pt idx="966">
                  <c:v>26.56</c:v>
                </c:pt>
                <c:pt idx="967">
                  <c:v>27.18</c:v>
                </c:pt>
                <c:pt idx="968">
                  <c:v>25.76</c:v>
                </c:pt>
                <c:pt idx="969">
                  <c:v>24.68</c:v>
                </c:pt>
                <c:pt idx="970">
                  <c:v>27.95</c:v>
                </c:pt>
                <c:pt idx="971">
                  <c:v>24.6</c:v>
                </c:pt>
                <c:pt idx="972">
                  <c:v>25.96</c:v>
                </c:pt>
                <c:pt idx="973">
                  <c:v>30.89</c:v>
                </c:pt>
                <c:pt idx="974">
                  <c:v>29.58</c:v>
                </c:pt>
                <c:pt idx="975">
                  <c:v>24.59</c:v>
                </c:pt>
                <c:pt idx="976">
                  <c:v>25.71</c:v>
                </c:pt>
                <c:pt idx="977">
                  <c:v>26.26</c:v>
                </c:pt>
                <c:pt idx="978">
                  <c:v>20.92</c:v>
                </c:pt>
                <c:pt idx="979">
                  <c:v>22.75</c:v>
                </c:pt>
                <c:pt idx="980">
                  <c:v>27.98</c:v>
                </c:pt>
                <c:pt idx="981">
                  <c:v>26.4</c:v>
                </c:pt>
                <c:pt idx="982">
                  <c:v>25.31</c:v>
                </c:pt>
                <c:pt idx="983">
                  <c:v>26.03</c:v>
                </c:pt>
                <c:pt idx="984">
                  <c:v>28.15</c:v>
                </c:pt>
                <c:pt idx="985">
                  <c:v>21.25</c:v>
                </c:pt>
                <c:pt idx="986">
                  <c:v>23.33</c:v>
                </c:pt>
                <c:pt idx="987">
                  <c:v>28.06</c:v>
                </c:pt>
                <c:pt idx="988">
                  <c:v>25.89</c:v>
                </c:pt>
                <c:pt idx="989">
                  <c:v>26.09</c:v>
                </c:pt>
                <c:pt idx="990">
                  <c:v>26.23</c:v>
                </c:pt>
                <c:pt idx="991">
                  <c:v>26.56</c:v>
                </c:pt>
                <c:pt idx="992">
                  <c:v>21.96</c:v>
                </c:pt>
                <c:pt idx="993">
                  <c:v>21.62</c:v>
                </c:pt>
                <c:pt idx="994">
                  <c:v>26.59</c:v>
                </c:pt>
                <c:pt idx="995">
                  <c:v>25.85</c:v>
                </c:pt>
                <c:pt idx="996">
                  <c:v>27.47</c:v>
                </c:pt>
                <c:pt idx="997">
                  <c:v>26.57</c:v>
                </c:pt>
                <c:pt idx="998">
                  <c:v>27.71</c:v>
                </c:pt>
                <c:pt idx="999">
                  <c:v>22.6</c:v>
                </c:pt>
                <c:pt idx="1000">
                  <c:v>23.25</c:v>
                </c:pt>
                <c:pt idx="1001">
                  <c:v>32.31</c:v>
                </c:pt>
                <c:pt idx="1002">
                  <c:v>30.03</c:v>
                </c:pt>
                <c:pt idx="1003">
                  <c:v>26.68</c:v>
                </c:pt>
                <c:pt idx="1004">
                  <c:v>27.78</c:v>
                </c:pt>
                <c:pt idx="1005">
                  <c:v>25.83</c:v>
                </c:pt>
                <c:pt idx="1006">
                  <c:v>20.74</c:v>
                </c:pt>
                <c:pt idx="1007">
                  <c:v>20.56</c:v>
                </c:pt>
                <c:pt idx="1008">
                  <c:v>25.59</c:v>
                </c:pt>
                <c:pt idx="1009">
                  <c:v>23.28</c:v>
                </c:pt>
                <c:pt idx="1010">
                  <c:v>24.59</c:v>
                </c:pt>
                <c:pt idx="1011">
                  <c:v>23.8</c:v>
                </c:pt>
                <c:pt idx="1012">
                  <c:v>27.02</c:v>
                </c:pt>
                <c:pt idx="1013">
                  <c:v>19.62</c:v>
                </c:pt>
                <c:pt idx="1014">
                  <c:v>21.34</c:v>
                </c:pt>
                <c:pt idx="1015">
                  <c:v>24.98</c:v>
                </c:pt>
                <c:pt idx="1016">
                  <c:v>23.2</c:v>
                </c:pt>
                <c:pt idx="1017">
                  <c:v>23.31</c:v>
                </c:pt>
                <c:pt idx="1018">
                  <c:v>23.43</c:v>
                </c:pt>
                <c:pt idx="1019">
                  <c:v>25.85</c:v>
                </c:pt>
                <c:pt idx="1020">
                  <c:v>20.48</c:v>
                </c:pt>
                <c:pt idx="1021">
                  <c:v>19.7</c:v>
                </c:pt>
                <c:pt idx="1022">
                  <c:v>24.82</c:v>
                </c:pt>
                <c:pt idx="1023">
                  <c:v>25.18</c:v>
                </c:pt>
                <c:pt idx="1024">
                  <c:v>24.88</c:v>
                </c:pt>
                <c:pt idx="1025">
                  <c:v>23.97</c:v>
                </c:pt>
                <c:pt idx="1026">
                  <c:v>25.58</c:v>
                </c:pt>
                <c:pt idx="1027">
                  <c:v>20.190000000000001</c:v>
                </c:pt>
                <c:pt idx="1028">
                  <c:v>20.54</c:v>
                </c:pt>
                <c:pt idx="1029">
                  <c:v>24.12</c:v>
                </c:pt>
                <c:pt idx="1030">
                  <c:v>23.48</c:v>
                </c:pt>
                <c:pt idx="1031">
                  <c:v>22.47</c:v>
                </c:pt>
                <c:pt idx="1032">
                  <c:v>27.53</c:v>
                </c:pt>
                <c:pt idx="1033">
                  <c:v>29.91</c:v>
                </c:pt>
                <c:pt idx="1034">
                  <c:v>24.16</c:v>
                </c:pt>
                <c:pt idx="1035">
                  <c:v>25.95</c:v>
                </c:pt>
                <c:pt idx="1036">
                  <c:v>25.48</c:v>
                </c:pt>
                <c:pt idx="1037">
                  <c:v>24.05</c:v>
                </c:pt>
                <c:pt idx="1038">
                  <c:v>25.32</c:v>
                </c:pt>
                <c:pt idx="1039">
                  <c:v>25.94</c:v>
                </c:pt>
                <c:pt idx="1040">
                  <c:v>28.43</c:v>
                </c:pt>
                <c:pt idx="1041">
                  <c:v>21.03</c:v>
                </c:pt>
                <c:pt idx="1042">
                  <c:v>22.19</c:v>
                </c:pt>
                <c:pt idx="1043">
                  <c:v>26.38</c:v>
                </c:pt>
                <c:pt idx="1044">
                  <c:v>25.02</c:v>
                </c:pt>
                <c:pt idx="1045">
                  <c:v>25.82</c:v>
                </c:pt>
                <c:pt idx="1046">
                  <c:v>25.64</c:v>
                </c:pt>
                <c:pt idx="1047">
                  <c:v>25.97</c:v>
                </c:pt>
                <c:pt idx="1048">
                  <c:v>22.49</c:v>
                </c:pt>
                <c:pt idx="1049">
                  <c:v>22.42</c:v>
                </c:pt>
                <c:pt idx="1050">
                  <c:v>25.94</c:v>
                </c:pt>
                <c:pt idx="1051">
                  <c:v>25.45</c:v>
                </c:pt>
                <c:pt idx="1052">
                  <c:v>25.52</c:v>
                </c:pt>
                <c:pt idx="1053">
                  <c:v>25.35</c:v>
                </c:pt>
                <c:pt idx="1054">
                  <c:v>26.75</c:v>
                </c:pt>
                <c:pt idx="1055">
                  <c:v>20.87</c:v>
                </c:pt>
                <c:pt idx="1056">
                  <c:v>21.36</c:v>
                </c:pt>
                <c:pt idx="1057">
                  <c:v>27.29</c:v>
                </c:pt>
                <c:pt idx="1058">
                  <c:v>25.56</c:v>
                </c:pt>
                <c:pt idx="1059">
                  <c:v>24.87</c:v>
                </c:pt>
                <c:pt idx="1060">
                  <c:v>25.73</c:v>
                </c:pt>
                <c:pt idx="1061">
                  <c:v>25.01</c:v>
                </c:pt>
                <c:pt idx="1062">
                  <c:v>25.58</c:v>
                </c:pt>
                <c:pt idx="1063">
                  <c:v>23.07</c:v>
                </c:pt>
                <c:pt idx="1064">
                  <c:v>31.7</c:v>
                </c:pt>
                <c:pt idx="1065">
                  <c:v>29.48</c:v>
                </c:pt>
                <c:pt idx="1066">
                  <c:v>25.5</c:v>
                </c:pt>
                <c:pt idx="1067">
                  <c:v>27.45</c:v>
                </c:pt>
                <c:pt idx="1068">
                  <c:v>28.28</c:v>
                </c:pt>
                <c:pt idx="1069">
                  <c:v>22.82</c:v>
                </c:pt>
                <c:pt idx="1070">
                  <c:v>22.51</c:v>
                </c:pt>
                <c:pt idx="1071">
                  <c:v>28.23</c:v>
                </c:pt>
                <c:pt idx="1072">
                  <c:v>26.59</c:v>
                </c:pt>
                <c:pt idx="1073">
                  <c:v>25.5</c:v>
                </c:pt>
                <c:pt idx="1074">
                  <c:v>27.32</c:v>
                </c:pt>
                <c:pt idx="1075">
                  <c:v>28.25</c:v>
                </c:pt>
                <c:pt idx="1076">
                  <c:v>21.31</c:v>
                </c:pt>
                <c:pt idx="1077">
                  <c:v>22.21</c:v>
                </c:pt>
                <c:pt idx="1078">
                  <c:v>29.05</c:v>
                </c:pt>
                <c:pt idx="1079">
                  <c:v>27.2</c:v>
                </c:pt>
                <c:pt idx="1080">
                  <c:v>26.25</c:v>
                </c:pt>
                <c:pt idx="1081">
                  <c:v>26.25</c:v>
                </c:pt>
                <c:pt idx="1082">
                  <c:v>28.39</c:v>
                </c:pt>
                <c:pt idx="1083">
                  <c:v>24.2</c:v>
                </c:pt>
                <c:pt idx="1084">
                  <c:v>22.85</c:v>
                </c:pt>
                <c:pt idx="1085">
                  <c:v>28.19</c:v>
                </c:pt>
                <c:pt idx="1086">
                  <c:v>27.35</c:v>
                </c:pt>
                <c:pt idx="1087">
                  <c:v>26.72</c:v>
                </c:pt>
                <c:pt idx="1088">
                  <c:v>26.32</c:v>
                </c:pt>
                <c:pt idx="1089">
                  <c:v>28.49</c:v>
                </c:pt>
                <c:pt idx="1090">
                  <c:v>22.49</c:v>
                </c:pt>
                <c:pt idx="1091">
                  <c:v>22.52</c:v>
                </c:pt>
                <c:pt idx="1092">
                  <c:v>28.43</c:v>
                </c:pt>
                <c:pt idx="1093">
                  <c:v>30.55</c:v>
                </c:pt>
                <c:pt idx="1094">
                  <c:v>31.18</c:v>
                </c:pt>
                <c:pt idx="1095">
                  <c:v>33.979999999999997</c:v>
                </c:pt>
                <c:pt idx="1096">
                  <c:v>36.869999999999997</c:v>
                </c:pt>
                <c:pt idx="1097">
                  <c:v>23.4</c:v>
                </c:pt>
                <c:pt idx="1098">
                  <c:v>25.99</c:v>
                </c:pt>
                <c:pt idx="1099">
                  <c:v>31.41</c:v>
                </c:pt>
                <c:pt idx="1100">
                  <c:v>30.51</c:v>
                </c:pt>
                <c:pt idx="1101">
                  <c:v>27.05</c:v>
                </c:pt>
                <c:pt idx="1102">
                  <c:v>31.48</c:v>
                </c:pt>
                <c:pt idx="1103">
                  <c:v>31.87</c:v>
                </c:pt>
                <c:pt idx="1104">
                  <c:v>26.16</c:v>
                </c:pt>
                <c:pt idx="1105">
                  <c:v>24.26</c:v>
                </c:pt>
                <c:pt idx="1106">
                  <c:v>31.65</c:v>
                </c:pt>
                <c:pt idx="1107">
                  <c:v>28.69</c:v>
                </c:pt>
                <c:pt idx="1108">
                  <c:v>29.07</c:v>
                </c:pt>
                <c:pt idx="1109">
                  <c:v>31.32</c:v>
                </c:pt>
                <c:pt idx="1110">
                  <c:v>31.82</c:v>
                </c:pt>
                <c:pt idx="1111">
                  <c:v>25.37</c:v>
                </c:pt>
                <c:pt idx="1112">
                  <c:v>25.95</c:v>
                </c:pt>
                <c:pt idx="1113">
                  <c:v>31.54</c:v>
                </c:pt>
                <c:pt idx="1114">
                  <c:v>29.76</c:v>
                </c:pt>
                <c:pt idx="1115">
                  <c:v>29.95</c:v>
                </c:pt>
                <c:pt idx="1116">
                  <c:v>31.76</c:v>
                </c:pt>
                <c:pt idx="1117">
                  <c:v>31.94</c:v>
                </c:pt>
                <c:pt idx="1118">
                  <c:v>25.36</c:v>
                </c:pt>
                <c:pt idx="1119">
                  <c:v>26.11</c:v>
                </c:pt>
                <c:pt idx="1120">
                  <c:v>32.090000000000003</c:v>
                </c:pt>
                <c:pt idx="1121">
                  <c:v>30.68</c:v>
                </c:pt>
                <c:pt idx="1122">
                  <c:v>30.19</c:v>
                </c:pt>
                <c:pt idx="1123">
                  <c:v>28.61</c:v>
                </c:pt>
                <c:pt idx="1124">
                  <c:v>38.46</c:v>
                </c:pt>
                <c:pt idx="1125">
                  <c:v>27.78</c:v>
                </c:pt>
                <c:pt idx="1126">
                  <c:v>31.45</c:v>
                </c:pt>
                <c:pt idx="1127">
                  <c:v>37.61</c:v>
                </c:pt>
                <c:pt idx="1128">
                  <c:v>31.77</c:v>
                </c:pt>
                <c:pt idx="1129">
                  <c:v>32.15</c:v>
                </c:pt>
                <c:pt idx="1130">
                  <c:v>32.14</c:v>
                </c:pt>
                <c:pt idx="1131">
                  <c:v>34.78</c:v>
                </c:pt>
                <c:pt idx="1132">
                  <c:v>28.6</c:v>
                </c:pt>
                <c:pt idx="1133">
                  <c:v>27.49</c:v>
                </c:pt>
                <c:pt idx="1134">
                  <c:v>33.19</c:v>
                </c:pt>
                <c:pt idx="1135">
                  <c:v>32.75</c:v>
                </c:pt>
                <c:pt idx="1136">
                  <c:v>32.97</c:v>
                </c:pt>
                <c:pt idx="1137">
                  <c:v>30.66</c:v>
                </c:pt>
                <c:pt idx="1138">
                  <c:v>34.950000000000003</c:v>
                </c:pt>
                <c:pt idx="1139">
                  <c:v>27.73</c:v>
                </c:pt>
                <c:pt idx="1140">
                  <c:v>26.77</c:v>
                </c:pt>
                <c:pt idx="1141">
                  <c:v>34.74</c:v>
                </c:pt>
                <c:pt idx="1142">
                  <c:v>31.69</c:v>
                </c:pt>
                <c:pt idx="1143">
                  <c:v>31.95</c:v>
                </c:pt>
                <c:pt idx="1144">
                  <c:v>31.67</c:v>
                </c:pt>
                <c:pt idx="1145">
                  <c:v>34.39</c:v>
                </c:pt>
                <c:pt idx="1146">
                  <c:v>26.01</c:v>
                </c:pt>
                <c:pt idx="1147">
                  <c:v>25.68</c:v>
                </c:pt>
                <c:pt idx="1148">
                  <c:v>34.950000000000003</c:v>
                </c:pt>
                <c:pt idx="1149">
                  <c:v>31.02</c:v>
                </c:pt>
                <c:pt idx="1150">
                  <c:v>30.89</c:v>
                </c:pt>
                <c:pt idx="1151">
                  <c:v>29.78</c:v>
                </c:pt>
                <c:pt idx="1152">
                  <c:v>33.770000000000003</c:v>
                </c:pt>
                <c:pt idx="1153">
                  <c:v>25.79</c:v>
                </c:pt>
                <c:pt idx="1154">
                  <c:v>32.92</c:v>
                </c:pt>
                <c:pt idx="1155">
                  <c:v>39.549999999999997</c:v>
                </c:pt>
                <c:pt idx="1156">
                  <c:v>41.72</c:v>
                </c:pt>
                <c:pt idx="1157">
                  <c:v>45.48</c:v>
                </c:pt>
                <c:pt idx="1158">
                  <c:v>38.14</c:v>
                </c:pt>
                <c:pt idx="1159">
                  <c:v>39.65</c:v>
                </c:pt>
                <c:pt idx="1160">
                  <c:v>28.71</c:v>
                </c:pt>
                <c:pt idx="1161">
                  <c:v>34.03</c:v>
                </c:pt>
                <c:pt idx="1162">
                  <c:v>37.35</c:v>
                </c:pt>
                <c:pt idx="1163">
                  <c:v>35.22</c:v>
                </c:pt>
                <c:pt idx="1164">
                  <c:v>38.18</c:v>
                </c:pt>
                <c:pt idx="1165">
                  <c:v>39.76</c:v>
                </c:pt>
                <c:pt idx="1166">
                  <c:v>41.55</c:v>
                </c:pt>
                <c:pt idx="1167">
                  <c:v>32.119999999999997</c:v>
                </c:pt>
                <c:pt idx="1168">
                  <c:v>32.15</c:v>
                </c:pt>
                <c:pt idx="1169">
                  <c:v>39.85</c:v>
                </c:pt>
                <c:pt idx="1170">
                  <c:v>41.68</c:v>
                </c:pt>
                <c:pt idx="1171">
                  <c:v>41.09</c:v>
                </c:pt>
                <c:pt idx="1172">
                  <c:v>40.880000000000003</c:v>
                </c:pt>
                <c:pt idx="1173">
                  <c:v>43.93</c:v>
                </c:pt>
                <c:pt idx="1174">
                  <c:v>33.72</c:v>
                </c:pt>
                <c:pt idx="1175">
                  <c:v>34.29</c:v>
                </c:pt>
                <c:pt idx="1176">
                  <c:v>40.72</c:v>
                </c:pt>
                <c:pt idx="1177">
                  <c:v>40.630000000000003</c:v>
                </c:pt>
                <c:pt idx="1178">
                  <c:v>39.54</c:v>
                </c:pt>
                <c:pt idx="1179">
                  <c:v>39.4</c:v>
                </c:pt>
                <c:pt idx="1180">
                  <c:v>44.23</c:v>
                </c:pt>
                <c:pt idx="1181">
                  <c:v>33.04</c:v>
                </c:pt>
                <c:pt idx="1182">
                  <c:v>32.51</c:v>
                </c:pt>
                <c:pt idx="1183">
                  <c:v>37.15</c:v>
                </c:pt>
                <c:pt idx="1184">
                  <c:v>35.950000000000003</c:v>
                </c:pt>
                <c:pt idx="1185">
                  <c:v>43.8</c:v>
                </c:pt>
                <c:pt idx="1186">
                  <c:v>41.35</c:v>
                </c:pt>
                <c:pt idx="1187">
                  <c:v>50.14</c:v>
                </c:pt>
                <c:pt idx="1188">
                  <c:v>40.479999999999997</c:v>
                </c:pt>
                <c:pt idx="1189">
                  <c:v>33.35</c:v>
                </c:pt>
                <c:pt idx="1190">
                  <c:v>42.79</c:v>
                </c:pt>
                <c:pt idx="1191">
                  <c:v>39</c:v>
                </c:pt>
                <c:pt idx="1192">
                  <c:v>39.89</c:v>
                </c:pt>
                <c:pt idx="1193">
                  <c:v>41.02</c:v>
                </c:pt>
                <c:pt idx="1194">
                  <c:v>41.94</c:v>
                </c:pt>
                <c:pt idx="1195">
                  <c:v>35.07</c:v>
                </c:pt>
                <c:pt idx="1196">
                  <c:v>34.51</c:v>
                </c:pt>
                <c:pt idx="1197">
                  <c:v>43.33</c:v>
                </c:pt>
                <c:pt idx="1198">
                  <c:v>40.9</c:v>
                </c:pt>
                <c:pt idx="1199">
                  <c:v>42.29</c:v>
                </c:pt>
                <c:pt idx="1200">
                  <c:v>40.78</c:v>
                </c:pt>
                <c:pt idx="1201">
                  <c:v>47.69</c:v>
                </c:pt>
                <c:pt idx="1202">
                  <c:v>38.15</c:v>
                </c:pt>
                <c:pt idx="1203">
                  <c:v>38.71</c:v>
                </c:pt>
                <c:pt idx="1204">
                  <c:v>46.99</c:v>
                </c:pt>
                <c:pt idx="1205">
                  <c:v>44.74</c:v>
                </c:pt>
                <c:pt idx="1206">
                  <c:v>43.75</c:v>
                </c:pt>
                <c:pt idx="1207">
                  <c:v>43.8</c:v>
                </c:pt>
                <c:pt idx="1208">
                  <c:v>46.38</c:v>
                </c:pt>
                <c:pt idx="1209">
                  <c:v>40.33</c:v>
                </c:pt>
                <c:pt idx="1210">
                  <c:v>36.32</c:v>
                </c:pt>
                <c:pt idx="1211">
                  <c:v>45.99</c:v>
                </c:pt>
                <c:pt idx="1212">
                  <c:v>39.75</c:v>
                </c:pt>
                <c:pt idx="1213">
                  <c:v>41.72</c:v>
                </c:pt>
                <c:pt idx="1214">
                  <c:v>40.270000000000003</c:v>
                </c:pt>
                <c:pt idx="1215">
                  <c:v>52.21</c:v>
                </c:pt>
                <c:pt idx="1216">
                  <c:v>38.770000000000003</c:v>
                </c:pt>
                <c:pt idx="1217">
                  <c:v>41.66</c:v>
                </c:pt>
                <c:pt idx="1218">
                  <c:v>49.75</c:v>
                </c:pt>
                <c:pt idx="1219">
                  <c:v>44.92</c:v>
                </c:pt>
                <c:pt idx="1220">
                  <c:v>40.700000000000003</c:v>
                </c:pt>
                <c:pt idx="1221">
                  <c:v>42.6</c:v>
                </c:pt>
                <c:pt idx="1222">
                  <c:v>46.39</c:v>
                </c:pt>
                <c:pt idx="1223">
                  <c:v>36.4</c:v>
                </c:pt>
                <c:pt idx="1224">
                  <c:v>35.64</c:v>
                </c:pt>
                <c:pt idx="1225">
                  <c:v>44.15</c:v>
                </c:pt>
                <c:pt idx="1226">
                  <c:v>42.26</c:v>
                </c:pt>
                <c:pt idx="1227">
                  <c:v>42.02</c:v>
                </c:pt>
                <c:pt idx="1228">
                  <c:v>43.43</c:v>
                </c:pt>
                <c:pt idx="1229">
                  <c:v>48.38</c:v>
                </c:pt>
                <c:pt idx="1230">
                  <c:v>35.17</c:v>
                </c:pt>
                <c:pt idx="1231">
                  <c:v>34.14</c:v>
                </c:pt>
                <c:pt idx="1232">
                  <c:v>44.2</c:v>
                </c:pt>
                <c:pt idx="1233">
                  <c:v>45.47</c:v>
                </c:pt>
                <c:pt idx="1234">
                  <c:v>41.19</c:v>
                </c:pt>
                <c:pt idx="1235">
                  <c:v>44.28</c:v>
                </c:pt>
                <c:pt idx="1236">
                  <c:v>47.71</c:v>
                </c:pt>
                <c:pt idx="1237">
                  <c:v>35.17</c:v>
                </c:pt>
                <c:pt idx="1238">
                  <c:v>36.6</c:v>
                </c:pt>
                <c:pt idx="1239">
                  <c:v>46.38</c:v>
                </c:pt>
                <c:pt idx="1240">
                  <c:v>41.73</c:v>
                </c:pt>
                <c:pt idx="1241">
                  <c:v>41.95</c:v>
                </c:pt>
                <c:pt idx="1242">
                  <c:v>41.47</c:v>
                </c:pt>
                <c:pt idx="1243">
                  <c:v>44.3</c:v>
                </c:pt>
                <c:pt idx="1244">
                  <c:v>35.049999999999997</c:v>
                </c:pt>
                <c:pt idx="1245">
                  <c:v>34.33</c:v>
                </c:pt>
                <c:pt idx="1246">
                  <c:v>51.01</c:v>
                </c:pt>
                <c:pt idx="1247">
                  <c:v>47.42</c:v>
                </c:pt>
                <c:pt idx="1248">
                  <c:v>48.65</c:v>
                </c:pt>
                <c:pt idx="1249">
                  <c:v>46.06</c:v>
                </c:pt>
                <c:pt idx="1250">
                  <c:v>45.79</c:v>
                </c:pt>
                <c:pt idx="1251">
                  <c:v>36.76</c:v>
                </c:pt>
                <c:pt idx="1252">
                  <c:v>33.200000000000003</c:v>
                </c:pt>
                <c:pt idx="1253">
                  <c:v>44.59</c:v>
                </c:pt>
                <c:pt idx="1254">
                  <c:v>43.56</c:v>
                </c:pt>
                <c:pt idx="1255">
                  <c:v>40.49</c:v>
                </c:pt>
                <c:pt idx="1256">
                  <c:v>44.12</c:v>
                </c:pt>
                <c:pt idx="1257">
                  <c:v>45.9</c:v>
                </c:pt>
                <c:pt idx="1258">
                  <c:v>34.82</c:v>
                </c:pt>
                <c:pt idx="1259">
                  <c:v>35.64</c:v>
                </c:pt>
                <c:pt idx="1260">
                  <c:v>44.82</c:v>
                </c:pt>
                <c:pt idx="1261">
                  <c:v>42.11</c:v>
                </c:pt>
                <c:pt idx="1262">
                  <c:v>42.69</c:v>
                </c:pt>
                <c:pt idx="1263">
                  <c:v>40.85</c:v>
                </c:pt>
                <c:pt idx="1264">
                  <c:v>45.59</c:v>
                </c:pt>
                <c:pt idx="1265">
                  <c:v>33.93</c:v>
                </c:pt>
                <c:pt idx="1266">
                  <c:v>35.57</c:v>
                </c:pt>
                <c:pt idx="1267">
                  <c:v>42.97</c:v>
                </c:pt>
                <c:pt idx="1268">
                  <c:v>41.09</c:v>
                </c:pt>
                <c:pt idx="1269">
                  <c:v>43.57</c:v>
                </c:pt>
                <c:pt idx="1270">
                  <c:v>43.39</c:v>
                </c:pt>
                <c:pt idx="1271">
                  <c:v>46.14</c:v>
                </c:pt>
                <c:pt idx="1272">
                  <c:v>34.33</c:v>
                </c:pt>
                <c:pt idx="1273">
                  <c:v>35.31</c:v>
                </c:pt>
                <c:pt idx="1274">
                  <c:v>45.64</c:v>
                </c:pt>
                <c:pt idx="1275">
                  <c:v>42.19</c:v>
                </c:pt>
                <c:pt idx="1276">
                  <c:v>44.94</c:v>
                </c:pt>
                <c:pt idx="1277">
                  <c:v>48.88</c:v>
                </c:pt>
                <c:pt idx="1278">
                  <c:v>52.46</c:v>
                </c:pt>
                <c:pt idx="1279">
                  <c:v>44.2</c:v>
                </c:pt>
                <c:pt idx="1280">
                  <c:v>44.9</c:v>
                </c:pt>
                <c:pt idx="1281">
                  <c:v>47.79</c:v>
                </c:pt>
                <c:pt idx="1282">
                  <c:v>46.68</c:v>
                </c:pt>
                <c:pt idx="1283">
                  <c:v>47.03</c:v>
                </c:pt>
                <c:pt idx="1284">
                  <c:v>44.64</c:v>
                </c:pt>
                <c:pt idx="1285">
                  <c:v>47.55</c:v>
                </c:pt>
                <c:pt idx="1286">
                  <c:v>36.340000000000003</c:v>
                </c:pt>
                <c:pt idx="1287">
                  <c:v>39.549999999999997</c:v>
                </c:pt>
                <c:pt idx="1288">
                  <c:v>46.49</c:v>
                </c:pt>
                <c:pt idx="1289">
                  <c:v>42.76</c:v>
                </c:pt>
                <c:pt idx="1290">
                  <c:v>46.25</c:v>
                </c:pt>
                <c:pt idx="1291">
                  <c:v>49.13</c:v>
                </c:pt>
                <c:pt idx="1292">
                  <c:v>49.36</c:v>
                </c:pt>
                <c:pt idx="1293">
                  <c:v>40.01</c:v>
                </c:pt>
                <c:pt idx="1294">
                  <c:v>38.97</c:v>
                </c:pt>
                <c:pt idx="1295">
                  <c:v>47.86</c:v>
                </c:pt>
                <c:pt idx="1296">
                  <c:v>46.97</c:v>
                </c:pt>
                <c:pt idx="1297">
                  <c:v>45.32</c:v>
                </c:pt>
                <c:pt idx="1298">
                  <c:v>46.08</c:v>
                </c:pt>
                <c:pt idx="1299">
                  <c:v>49.81</c:v>
                </c:pt>
                <c:pt idx="1300">
                  <c:v>37.94</c:v>
                </c:pt>
                <c:pt idx="1301">
                  <c:v>40.22</c:v>
                </c:pt>
                <c:pt idx="1302">
                  <c:v>47.76</c:v>
                </c:pt>
                <c:pt idx="1303">
                  <c:v>44.68</c:v>
                </c:pt>
                <c:pt idx="1304">
                  <c:v>46.45</c:v>
                </c:pt>
                <c:pt idx="1305">
                  <c:v>44.48</c:v>
                </c:pt>
                <c:pt idx="1306">
                  <c:v>56.82</c:v>
                </c:pt>
                <c:pt idx="1307">
                  <c:v>44.67</c:v>
                </c:pt>
                <c:pt idx="1308">
                  <c:v>40.82</c:v>
                </c:pt>
                <c:pt idx="1309">
                  <c:v>49.22</c:v>
                </c:pt>
                <c:pt idx="1310">
                  <c:v>40.19</c:v>
                </c:pt>
                <c:pt idx="1311">
                  <c:v>41.21</c:v>
                </c:pt>
                <c:pt idx="1312">
                  <c:v>41.9</c:v>
                </c:pt>
                <c:pt idx="1313">
                  <c:v>44.11</c:v>
                </c:pt>
                <c:pt idx="1314">
                  <c:v>34.200000000000003</c:v>
                </c:pt>
                <c:pt idx="1315">
                  <c:v>32.6</c:v>
                </c:pt>
                <c:pt idx="1316">
                  <c:v>40.950000000000003</c:v>
                </c:pt>
                <c:pt idx="1317">
                  <c:v>39.85</c:v>
                </c:pt>
                <c:pt idx="1318">
                  <c:v>39.479999999999997</c:v>
                </c:pt>
                <c:pt idx="1319">
                  <c:v>39.99</c:v>
                </c:pt>
                <c:pt idx="1320">
                  <c:v>43.51</c:v>
                </c:pt>
                <c:pt idx="1321">
                  <c:v>34.83</c:v>
                </c:pt>
                <c:pt idx="1322">
                  <c:v>34.1</c:v>
                </c:pt>
                <c:pt idx="1323">
                  <c:v>42.82</c:v>
                </c:pt>
                <c:pt idx="1324">
                  <c:v>40.299999999999997</c:v>
                </c:pt>
                <c:pt idx="1325">
                  <c:v>37.840000000000003</c:v>
                </c:pt>
                <c:pt idx="1326">
                  <c:v>39.090000000000003</c:v>
                </c:pt>
                <c:pt idx="1327">
                  <c:v>43.26</c:v>
                </c:pt>
                <c:pt idx="1328">
                  <c:v>32.729999999999997</c:v>
                </c:pt>
                <c:pt idx="1329">
                  <c:v>34.909999999999997</c:v>
                </c:pt>
                <c:pt idx="1330">
                  <c:v>44.08</c:v>
                </c:pt>
                <c:pt idx="1331">
                  <c:v>41.69</c:v>
                </c:pt>
                <c:pt idx="1332">
                  <c:v>39.96</c:v>
                </c:pt>
                <c:pt idx="1333">
                  <c:v>42.02</c:v>
                </c:pt>
                <c:pt idx="1334">
                  <c:v>43.62</c:v>
                </c:pt>
                <c:pt idx="1335">
                  <c:v>33.78</c:v>
                </c:pt>
                <c:pt idx="1336">
                  <c:v>33.450000000000003</c:v>
                </c:pt>
                <c:pt idx="1337">
                  <c:v>48.15</c:v>
                </c:pt>
                <c:pt idx="1338">
                  <c:v>45.71</c:v>
                </c:pt>
                <c:pt idx="1339">
                  <c:v>38.51</c:v>
                </c:pt>
                <c:pt idx="1340">
                  <c:v>38.5</c:v>
                </c:pt>
                <c:pt idx="1341">
                  <c:v>35.99</c:v>
                </c:pt>
                <c:pt idx="1342">
                  <c:v>28.76</c:v>
                </c:pt>
                <c:pt idx="1343">
                  <c:v>29.51</c:v>
                </c:pt>
                <c:pt idx="1344">
                  <c:v>35.94</c:v>
                </c:pt>
                <c:pt idx="1345">
                  <c:v>31.84</c:v>
                </c:pt>
                <c:pt idx="1346">
                  <c:v>30.77</c:v>
                </c:pt>
                <c:pt idx="1347">
                  <c:v>34.25</c:v>
                </c:pt>
                <c:pt idx="1348">
                  <c:v>34.619999999999997</c:v>
                </c:pt>
                <c:pt idx="1349">
                  <c:v>28.1</c:v>
                </c:pt>
                <c:pt idx="1350">
                  <c:v>27.15</c:v>
                </c:pt>
                <c:pt idx="1351">
                  <c:v>33.18</c:v>
                </c:pt>
                <c:pt idx="1352">
                  <c:v>33.86</c:v>
                </c:pt>
                <c:pt idx="1353">
                  <c:v>34.08</c:v>
                </c:pt>
                <c:pt idx="1354">
                  <c:v>32.74</c:v>
                </c:pt>
                <c:pt idx="1355">
                  <c:v>33.4</c:v>
                </c:pt>
                <c:pt idx="1356">
                  <c:v>27.78</c:v>
                </c:pt>
                <c:pt idx="1357">
                  <c:v>28.71</c:v>
                </c:pt>
                <c:pt idx="1358">
                  <c:v>33.51</c:v>
                </c:pt>
                <c:pt idx="1359">
                  <c:v>33.5</c:v>
                </c:pt>
                <c:pt idx="1360">
                  <c:v>33.299999999999997</c:v>
                </c:pt>
                <c:pt idx="1361">
                  <c:v>33.9</c:v>
                </c:pt>
                <c:pt idx="1362">
                  <c:v>36.11</c:v>
                </c:pt>
                <c:pt idx="1363">
                  <c:v>27.35</c:v>
                </c:pt>
                <c:pt idx="1364">
                  <c:v>29.52</c:v>
                </c:pt>
                <c:pt idx="1365">
                  <c:v>34.83</c:v>
                </c:pt>
                <c:pt idx="1366">
                  <c:v>33.29</c:v>
                </c:pt>
                <c:pt idx="1367">
                  <c:v>37.25</c:v>
                </c:pt>
                <c:pt idx="1368">
                  <c:v>37.81</c:v>
                </c:pt>
                <c:pt idx="1369">
                  <c:v>48.24</c:v>
                </c:pt>
                <c:pt idx="1370">
                  <c:v>38.69</c:v>
                </c:pt>
                <c:pt idx="1371">
                  <c:v>35.89</c:v>
                </c:pt>
                <c:pt idx="1372">
                  <c:v>40.17</c:v>
                </c:pt>
                <c:pt idx="1373">
                  <c:v>37.89</c:v>
                </c:pt>
                <c:pt idx="1374">
                  <c:v>41.58</c:v>
                </c:pt>
                <c:pt idx="1375">
                  <c:v>39.57</c:v>
                </c:pt>
                <c:pt idx="1376">
                  <c:v>42.21</c:v>
                </c:pt>
                <c:pt idx="1377">
                  <c:v>35.090000000000003</c:v>
                </c:pt>
                <c:pt idx="1378">
                  <c:v>33.130000000000003</c:v>
                </c:pt>
                <c:pt idx="1379">
                  <c:v>44</c:v>
                </c:pt>
                <c:pt idx="1380">
                  <c:v>40.630000000000003</c:v>
                </c:pt>
                <c:pt idx="1381">
                  <c:v>39.24</c:v>
                </c:pt>
                <c:pt idx="1382">
                  <c:v>42.4</c:v>
                </c:pt>
                <c:pt idx="1383">
                  <c:v>42.28</c:v>
                </c:pt>
                <c:pt idx="1384">
                  <c:v>34.74</c:v>
                </c:pt>
                <c:pt idx="1385">
                  <c:v>34.21</c:v>
                </c:pt>
                <c:pt idx="1386">
                  <c:v>43.37</c:v>
                </c:pt>
                <c:pt idx="1387">
                  <c:v>41.69</c:v>
                </c:pt>
                <c:pt idx="1388">
                  <c:v>39.86</c:v>
                </c:pt>
                <c:pt idx="1389">
                  <c:v>38.92</c:v>
                </c:pt>
                <c:pt idx="1390">
                  <c:v>43.56</c:v>
                </c:pt>
                <c:pt idx="1391">
                  <c:v>33.04</c:v>
                </c:pt>
                <c:pt idx="1392">
                  <c:v>36.25</c:v>
                </c:pt>
                <c:pt idx="1393">
                  <c:v>41.98</c:v>
                </c:pt>
                <c:pt idx="1394">
                  <c:v>39.39</c:v>
                </c:pt>
                <c:pt idx="1395">
                  <c:v>40.04</c:v>
                </c:pt>
                <c:pt idx="1396">
                  <c:v>38.21</c:v>
                </c:pt>
                <c:pt idx="1397">
                  <c:v>41.85</c:v>
                </c:pt>
                <c:pt idx="1398">
                  <c:v>40.58</c:v>
                </c:pt>
                <c:pt idx="1399">
                  <c:v>38.020000000000003</c:v>
                </c:pt>
                <c:pt idx="1400">
                  <c:v>52.33</c:v>
                </c:pt>
                <c:pt idx="1401">
                  <c:v>52.2</c:v>
                </c:pt>
                <c:pt idx="1402">
                  <c:v>46.26</c:v>
                </c:pt>
                <c:pt idx="1403">
                  <c:v>45.63</c:v>
                </c:pt>
                <c:pt idx="1404">
                  <c:v>49.58</c:v>
                </c:pt>
                <c:pt idx="1405">
                  <c:v>36.96</c:v>
                </c:pt>
                <c:pt idx="1406">
                  <c:v>36.06</c:v>
                </c:pt>
                <c:pt idx="1407">
                  <c:v>48.92</c:v>
                </c:pt>
                <c:pt idx="1408">
                  <c:v>44.24</c:v>
                </c:pt>
                <c:pt idx="1409">
                  <c:v>44.33</c:v>
                </c:pt>
                <c:pt idx="1410">
                  <c:v>46.45</c:v>
                </c:pt>
                <c:pt idx="1411">
                  <c:v>48.99</c:v>
                </c:pt>
                <c:pt idx="1412">
                  <c:v>38.58</c:v>
                </c:pt>
                <c:pt idx="1413">
                  <c:v>40.869999999999997</c:v>
                </c:pt>
                <c:pt idx="1414">
                  <c:v>46.04</c:v>
                </c:pt>
                <c:pt idx="1415">
                  <c:v>45.91</c:v>
                </c:pt>
                <c:pt idx="1416">
                  <c:v>44.75</c:v>
                </c:pt>
                <c:pt idx="1417">
                  <c:v>45.03</c:v>
                </c:pt>
                <c:pt idx="1418">
                  <c:v>50.29</c:v>
                </c:pt>
                <c:pt idx="1419">
                  <c:v>38.65</c:v>
                </c:pt>
                <c:pt idx="1420">
                  <c:v>38.69</c:v>
                </c:pt>
                <c:pt idx="1421">
                  <c:v>48.34</c:v>
                </c:pt>
                <c:pt idx="1422">
                  <c:v>44.18</c:v>
                </c:pt>
                <c:pt idx="1423">
                  <c:v>43.55</c:v>
                </c:pt>
                <c:pt idx="1424">
                  <c:v>43.27</c:v>
                </c:pt>
                <c:pt idx="1425">
                  <c:v>45.61</c:v>
                </c:pt>
                <c:pt idx="1426">
                  <c:v>40.729999999999997</c:v>
                </c:pt>
                <c:pt idx="1427">
                  <c:v>36.49</c:v>
                </c:pt>
                <c:pt idx="1428">
                  <c:v>53.6</c:v>
                </c:pt>
                <c:pt idx="1429">
                  <c:v>50.94</c:v>
                </c:pt>
                <c:pt idx="1430">
                  <c:v>56.06</c:v>
                </c:pt>
                <c:pt idx="1431">
                  <c:v>56.91</c:v>
                </c:pt>
                <c:pt idx="1432">
                  <c:v>53.41</c:v>
                </c:pt>
                <c:pt idx="1433">
                  <c:v>40.21</c:v>
                </c:pt>
                <c:pt idx="1434">
                  <c:v>40.82</c:v>
                </c:pt>
                <c:pt idx="1435">
                  <c:v>51.13</c:v>
                </c:pt>
                <c:pt idx="1436">
                  <c:v>47.94</c:v>
                </c:pt>
                <c:pt idx="1437">
                  <c:v>50.63</c:v>
                </c:pt>
                <c:pt idx="1438">
                  <c:v>49.01</c:v>
                </c:pt>
                <c:pt idx="1439">
                  <c:v>53.23</c:v>
                </c:pt>
                <c:pt idx="1440">
                  <c:v>42.02</c:v>
                </c:pt>
                <c:pt idx="1441">
                  <c:v>42.76</c:v>
                </c:pt>
                <c:pt idx="1442">
                  <c:v>50.98</c:v>
                </c:pt>
                <c:pt idx="1443">
                  <c:v>46.42</c:v>
                </c:pt>
                <c:pt idx="1444">
                  <c:v>48.88</c:v>
                </c:pt>
                <c:pt idx="1445">
                  <c:v>47.36</c:v>
                </c:pt>
                <c:pt idx="1446">
                  <c:v>51.4</c:v>
                </c:pt>
                <c:pt idx="1447">
                  <c:v>41.91</c:v>
                </c:pt>
                <c:pt idx="1448">
                  <c:v>42.85</c:v>
                </c:pt>
                <c:pt idx="1449">
                  <c:v>50.75</c:v>
                </c:pt>
                <c:pt idx="1450">
                  <c:v>48.75</c:v>
                </c:pt>
                <c:pt idx="1451">
                  <c:v>50.77</c:v>
                </c:pt>
                <c:pt idx="1452">
                  <c:v>48.65</c:v>
                </c:pt>
                <c:pt idx="1453">
                  <c:v>55.94</c:v>
                </c:pt>
                <c:pt idx="1454">
                  <c:v>41.88</c:v>
                </c:pt>
                <c:pt idx="1455">
                  <c:v>38.51</c:v>
                </c:pt>
                <c:pt idx="1456">
                  <c:v>51.81</c:v>
                </c:pt>
                <c:pt idx="1457">
                  <c:v>48.86</c:v>
                </c:pt>
                <c:pt idx="1458">
                  <c:v>50.17</c:v>
                </c:pt>
                <c:pt idx="1459">
                  <c:v>56.67</c:v>
                </c:pt>
                <c:pt idx="1460">
                  <c:v>59.76</c:v>
                </c:pt>
                <c:pt idx="1461">
                  <c:v>48.84</c:v>
                </c:pt>
                <c:pt idx="1462">
                  <c:v>50.67</c:v>
                </c:pt>
                <c:pt idx="1463">
                  <c:v>53.5</c:v>
                </c:pt>
                <c:pt idx="1464">
                  <c:v>51.31</c:v>
                </c:pt>
                <c:pt idx="1465">
                  <c:v>53.14</c:v>
                </c:pt>
                <c:pt idx="1466">
                  <c:v>54.84</c:v>
                </c:pt>
                <c:pt idx="1467">
                  <c:v>57.02</c:v>
                </c:pt>
                <c:pt idx="1468">
                  <c:v>42.51</c:v>
                </c:pt>
                <c:pt idx="1469">
                  <c:v>45.08</c:v>
                </c:pt>
                <c:pt idx="1470">
                  <c:v>56.7</c:v>
                </c:pt>
                <c:pt idx="1471">
                  <c:v>51.26</c:v>
                </c:pt>
                <c:pt idx="1472">
                  <c:v>52.01</c:v>
                </c:pt>
                <c:pt idx="1473">
                  <c:v>52.24</c:v>
                </c:pt>
                <c:pt idx="1474">
                  <c:v>55.17</c:v>
                </c:pt>
                <c:pt idx="1475">
                  <c:v>45.4</c:v>
                </c:pt>
                <c:pt idx="1476">
                  <c:v>44.2</c:v>
                </c:pt>
                <c:pt idx="1477">
                  <c:v>55.49</c:v>
                </c:pt>
                <c:pt idx="1478">
                  <c:v>50.83</c:v>
                </c:pt>
                <c:pt idx="1479">
                  <c:v>51.53</c:v>
                </c:pt>
                <c:pt idx="1480">
                  <c:v>53.35</c:v>
                </c:pt>
                <c:pt idx="1481">
                  <c:v>55.81</c:v>
                </c:pt>
                <c:pt idx="1482">
                  <c:v>47.09</c:v>
                </c:pt>
                <c:pt idx="1483">
                  <c:v>43.76</c:v>
                </c:pt>
                <c:pt idx="1484">
                  <c:v>55.18</c:v>
                </c:pt>
                <c:pt idx="1485">
                  <c:v>53.68</c:v>
                </c:pt>
                <c:pt idx="1486">
                  <c:v>50</c:v>
                </c:pt>
                <c:pt idx="1487">
                  <c:v>49.46</c:v>
                </c:pt>
                <c:pt idx="1488">
                  <c:v>54.01</c:v>
                </c:pt>
                <c:pt idx="1489">
                  <c:v>46.36</c:v>
                </c:pt>
                <c:pt idx="1490">
                  <c:v>50.05</c:v>
                </c:pt>
                <c:pt idx="1491">
                  <c:v>67.66</c:v>
                </c:pt>
                <c:pt idx="1492">
                  <c:v>67.84</c:v>
                </c:pt>
                <c:pt idx="1493">
                  <c:v>69.39</c:v>
                </c:pt>
                <c:pt idx="1494">
                  <c:v>62.78</c:v>
                </c:pt>
                <c:pt idx="1495">
                  <c:v>68.41</c:v>
                </c:pt>
                <c:pt idx="1496">
                  <c:v>54.71</c:v>
                </c:pt>
                <c:pt idx="1497">
                  <c:v>53.18</c:v>
                </c:pt>
                <c:pt idx="1498">
                  <c:v>64.849999999999994</c:v>
                </c:pt>
                <c:pt idx="1499">
                  <c:v>61.07</c:v>
                </c:pt>
                <c:pt idx="1500">
                  <c:v>61.4</c:v>
                </c:pt>
                <c:pt idx="1501">
                  <c:v>59.01</c:v>
                </c:pt>
                <c:pt idx="1502">
                  <c:v>63.33</c:v>
                </c:pt>
                <c:pt idx="1503">
                  <c:v>51</c:v>
                </c:pt>
                <c:pt idx="1504">
                  <c:v>50.7</c:v>
                </c:pt>
                <c:pt idx="1505">
                  <c:v>62.19</c:v>
                </c:pt>
                <c:pt idx="1506">
                  <c:v>61.26</c:v>
                </c:pt>
                <c:pt idx="1507">
                  <c:v>61.72</c:v>
                </c:pt>
                <c:pt idx="1508">
                  <c:v>60.16</c:v>
                </c:pt>
                <c:pt idx="1509">
                  <c:v>67.459999999999994</c:v>
                </c:pt>
                <c:pt idx="1510">
                  <c:v>48.95</c:v>
                </c:pt>
                <c:pt idx="1511">
                  <c:v>50.65</c:v>
                </c:pt>
                <c:pt idx="1512">
                  <c:v>61.71</c:v>
                </c:pt>
                <c:pt idx="1513">
                  <c:v>56.64</c:v>
                </c:pt>
                <c:pt idx="1514">
                  <c:v>59.85</c:v>
                </c:pt>
                <c:pt idx="1515">
                  <c:v>59.78</c:v>
                </c:pt>
                <c:pt idx="1516">
                  <c:v>67.53</c:v>
                </c:pt>
                <c:pt idx="1517">
                  <c:v>52.14</c:v>
                </c:pt>
                <c:pt idx="1518">
                  <c:v>49.16</c:v>
                </c:pt>
                <c:pt idx="1519">
                  <c:v>66.34</c:v>
                </c:pt>
                <c:pt idx="1520">
                  <c:v>71.53</c:v>
                </c:pt>
                <c:pt idx="1521">
                  <c:v>70.209999999999994</c:v>
                </c:pt>
                <c:pt idx="1522">
                  <c:v>76.31</c:v>
                </c:pt>
                <c:pt idx="1523">
                  <c:v>80.77</c:v>
                </c:pt>
                <c:pt idx="1524">
                  <c:v>56.04</c:v>
                </c:pt>
                <c:pt idx="1525">
                  <c:v>58.97</c:v>
                </c:pt>
                <c:pt idx="1526">
                  <c:v>73.930000000000007</c:v>
                </c:pt>
                <c:pt idx="1527">
                  <c:v>69.91</c:v>
                </c:pt>
                <c:pt idx="1528">
                  <c:v>65.83</c:v>
                </c:pt>
                <c:pt idx="1529">
                  <c:v>64.569999999999993</c:v>
                </c:pt>
                <c:pt idx="1530">
                  <c:v>72.44</c:v>
                </c:pt>
                <c:pt idx="1531">
                  <c:v>53.25</c:v>
                </c:pt>
                <c:pt idx="1532">
                  <c:v>57.44</c:v>
                </c:pt>
                <c:pt idx="1533">
                  <c:v>69.86</c:v>
                </c:pt>
                <c:pt idx="1534">
                  <c:v>65.88</c:v>
                </c:pt>
                <c:pt idx="1535">
                  <c:v>63.62</c:v>
                </c:pt>
                <c:pt idx="1536">
                  <c:v>74.63</c:v>
                </c:pt>
                <c:pt idx="1537">
                  <c:v>78.2</c:v>
                </c:pt>
                <c:pt idx="1538">
                  <c:v>59.89</c:v>
                </c:pt>
                <c:pt idx="1539">
                  <c:v>56.14</c:v>
                </c:pt>
                <c:pt idx="1540">
                  <c:v>77.11</c:v>
                </c:pt>
                <c:pt idx="1541">
                  <c:v>77.400000000000006</c:v>
                </c:pt>
                <c:pt idx="1542">
                  <c:v>77.16</c:v>
                </c:pt>
                <c:pt idx="1543">
                  <c:v>72.489999999999995</c:v>
                </c:pt>
                <c:pt idx="1544">
                  <c:v>78.05</c:v>
                </c:pt>
                <c:pt idx="1545">
                  <c:v>63.5</c:v>
                </c:pt>
                <c:pt idx="1546">
                  <c:v>60.27</c:v>
                </c:pt>
                <c:pt idx="1547">
                  <c:v>70.760000000000005</c:v>
                </c:pt>
                <c:pt idx="1548">
                  <c:v>68.349999999999994</c:v>
                </c:pt>
                <c:pt idx="1549">
                  <c:v>69.27</c:v>
                </c:pt>
                <c:pt idx="1550">
                  <c:v>66.61</c:v>
                </c:pt>
                <c:pt idx="1551">
                  <c:v>82.51</c:v>
                </c:pt>
                <c:pt idx="1552">
                  <c:v>63.29</c:v>
                </c:pt>
                <c:pt idx="1553">
                  <c:v>69.92</c:v>
                </c:pt>
                <c:pt idx="1554">
                  <c:v>88.39</c:v>
                </c:pt>
                <c:pt idx="1555">
                  <c:v>74.489999999999995</c:v>
                </c:pt>
                <c:pt idx="1556">
                  <c:v>75.7</c:v>
                </c:pt>
                <c:pt idx="1557">
                  <c:v>71.900000000000006</c:v>
                </c:pt>
                <c:pt idx="1558">
                  <c:v>82.87</c:v>
                </c:pt>
                <c:pt idx="1559">
                  <c:v>62.03</c:v>
                </c:pt>
                <c:pt idx="1560">
                  <c:v>62.58</c:v>
                </c:pt>
                <c:pt idx="1561">
                  <c:v>75.709999999999994</c:v>
                </c:pt>
                <c:pt idx="1562">
                  <c:v>68.319999999999993</c:v>
                </c:pt>
                <c:pt idx="1563">
                  <c:v>75.63</c:v>
                </c:pt>
                <c:pt idx="1564">
                  <c:v>75.31</c:v>
                </c:pt>
                <c:pt idx="1565">
                  <c:v>78.95</c:v>
                </c:pt>
                <c:pt idx="1566">
                  <c:v>62.78</c:v>
                </c:pt>
                <c:pt idx="1567">
                  <c:v>70.150000000000006</c:v>
                </c:pt>
                <c:pt idx="1568">
                  <c:v>81.3</c:v>
                </c:pt>
                <c:pt idx="1569">
                  <c:v>79.760000000000005</c:v>
                </c:pt>
                <c:pt idx="1570">
                  <c:v>82.98</c:v>
                </c:pt>
                <c:pt idx="1571">
                  <c:v>78</c:v>
                </c:pt>
                <c:pt idx="1572">
                  <c:v>88.25</c:v>
                </c:pt>
                <c:pt idx="1573">
                  <c:v>65.59</c:v>
                </c:pt>
                <c:pt idx="1574">
                  <c:v>70.02</c:v>
                </c:pt>
                <c:pt idx="1575">
                  <c:v>85.01</c:v>
                </c:pt>
                <c:pt idx="1576">
                  <c:v>77.12</c:v>
                </c:pt>
                <c:pt idx="1577">
                  <c:v>83.88</c:v>
                </c:pt>
                <c:pt idx="1578">
                  <c:v>72.06</c:v>
                </c:pt>
                <c:pt idx="1579">
                  <c:v>77.78</c:v>
                </c:pt>
                <c:pt idx="1580">
                  <c:v>63.07</c:v>
                </c:pt>
                <c:pt idx="1581">
                  <c:v>74.94</c:v>
                </c:pt>
                <c:pt idx="1582">
                  <c:v>86.39</c:v>
                </c:pt>
                <c:pt idx="1583">
                  <c:v>83.01</c:v>
                </c:pt>
                <c:pt idx="1584">
                  <c:v>83.92</c:v>
                </c:pt>
                <c:pt idx="1585">
                  <c:v>73.55</c:v>
                </c:pt>
                <c:pt idx="1586">
                  <c:v>78.19</c:v>
                </c:pt>
                <c:pt idx="1587">
                  <c:v>60.45</c:v>
                </c:pt>
                <c:pt idx="1588">
                  <c:v>59.45</c:v>
                </c:pt>
                <c:pt idx="1589">
                  <c:v>75.84</c:v>
                </c:pt>
                <c:pt idx="1590">
                  <c:v>69.73</c:v>
                </c:pt>
                <c:pt idx="1591">
                  <c:v>65.73</c:v>
                </c:pt>
                <c:pt idx="1592">
                  <c:v>72.989999999999995</c:v>
                </c:pt>
                <c:pt idx="1593">
                  <c:v>79.77</c:v>
                </c:pt>
                <c:pt idx="1594">
                  <c:v>56.13</c:v>
                </c:pt>
                <c:pt idx="1595">
                  <c:v>59.06</c:v>
                </c:pt>
                <c:pt idx="1596">
                  <c:v>76.989999999999995</c:v>
                </c:pt>
                <c:pt idx="1597">
                  <c:v>76.5</c:v>
                </c:pt>
                <c:pt idx="1598">
                  <c:v>72.09</c:v>
                </c:pt>
                <c:pt idx="1599">
                  <c:v>70.47</c:v>
                </c:pt>
                <c:pt idx="1600">
                  <c:v>77.42</c:v>
                </c:pt>
                <c:pt idx="1601">
                  <c:v>64.209999999999994</c:v>
                </c:pt>
                <c:pt idx="1602">
                  <c:v>59.84</c:v>
                </c:pt>
                <c:pt idx="1603">
                  <c:v>73.92</c:v>
                </c:pt>
                <c:pt idx="1604">
                  <c:v>71</c:v>
                </c:pt>
                <c:pt idx="1605">
                  <c:v>69.989999999999995</c:v>
                </c:pt>
                <c:pt idx="1606">
                  <c:v>72.31</c:v>
                </c:pt>
                <c:pt idx="1607">
                  <c:v>81.319999999999993</c:v>
                </c:pt>
                <c:pt idx="1608">
                  <c:v>61.94</c:v>
                </c:pt>
                <c:pt idx="1609">
                  <c:v>60.7</c:v>
                </c:pt>
                <c:pt idx="1610">
                  <c:v>75.02</c:v>
                </c:pt>
                <c:pt idx="1611">
                  <c:v>68.67</c:v>
                </c:pt>
                <c:pt idx="1612">
                  <c:v>85.05</c:v>
                </c:pt>
                <c:pt idx="1613">
                  <c:v>82.66</c:v>
                </c:pt>
                <c:pt idx="1614">
                  <c:v>91.79</c:v>
                </c:pt>
                <c:pt idx="1615">
                  <c:v>80.790000000000006</c:v>
                </c:pt>
                <c:pt idx="1616">
                  <c:v>63.8</c:v>
                </c:pt>
                <c:pt idx="1617">
                  <c:v>76.319999999999993</c:v>
                </c:pt>
                <c:pt idx="1618">
                  <c:v>73.33</c:v>
                </c:pt>
                <c:pt idx="1619">
                  <c:v>76.84</c:v>
                </c:pt>
                <c:pt idx="1620">
                  <c:v>74.53</c:v>
                </c:pt>
                <c:pt idx="1621">
                  <c:v>77.02</c:v>
                </c:pt>
                <c:pt idx="1622">
                  <c:v>65.19</c:v>
                </c:pt>
                <c:pt idx="1623">
                  <c:v>61.65</c:v>
                </c:pt>
                <c:pt idx="1624">
                  <c:v>82.17</c:v>
                </c:pt>
                <c:pt idx="1625">
                  <c:v>76.69</c:v>
                </c:pt>
                <c:pt idx="1626">
                  <c:v>73.28</c:v>
                </c:pt>
                <c:pt idx="1627">
                  <c:v>77.14</c:v>
                </c:pt>
                <c:pt idx="1628">
                  <c:v>80.37</c:v>
                </c:pt>
                <c:pt idx="1629">
                  <c:v>65.040000000000006</c:v>
                </c:pt>
                <c:pt idx="1630">
                  <c:v>64.22</c:v>
                </c:pt>
                <c:pt idx="1631">
                  <c:v>76.11</c:v>
                </c:pt>
                <c:pt idx="1632">
                  <c:v>72.849999999999994</c:v>
                </c:pt>
                <c:pt idx="1633">
                  <c:v>76.58</c:v>
                </c:pt>
                <c:pt idx="1634">
                  <c:v>73.53</c:v>
                </c:pt>
                <c:pt idx="1635">
                  <c:v>79.319999999999993</c:v>
                </c:pt>
                <c:pt idx="1636">
                  <c:v>61.01</c:v>
                </c:pt>
                <c:pt idx="1637">
                  <c:v>64.08</c:v>
                </c:pt>
                <c:pt idx="1638">
                  <c:v>82.59</c:v>
                </c:pt>
                <c:pt idx="1639">
                  <c:v>71.900000000000006</c:v>
                </c:pt>
                <c:pt idx="1640">
                  <c:v>74.33</c:v>
                </c:pt>
                <c:pt idx="1641">
                  <c:v>77.430000000000007</c:v>
                </c:pt>
                <c:pt idx="1642">
                  <c:v>80.05</c:v>
                </c:pt>
                <c:pt idx="1643">
                  <c:v>73.77</c:v>
                </c:pt>
                <c:pt idx="1644">
                  <c:v>69.89</c:v>
                </c:pt>
                <c:pt idx="1645">
                  <c:v>100.07</c:v>
                </c:pt>
                <c:pt idx="1646">
                  <c:v>93.62</c:v>
                </c:pt>
                <c:pt idx="1647">
                  <c:v>84.29</c:v>
                </c:pt>
                <c:pt idx="1648">
                  <c:v>84.79</c:v>
                </c:pt>
                <c:pt idx="1649">
                  <c:v>94.78</c:v>
                </c:pt>
                <c:pt idx="1650">
                  <c:v>71.010000000000005</c:v>
                </c:pt>
                <c:pt idx="1651">
                  <c:v>70.39</c:v>
                </c:pt>
                <c:pt idx="1652">
                  <c:v>86.44</c:v>
                </c:pt>
                <c:pt idx="1653">
                  <c:v>81</c:v>
                </c:pt>
                <c:pt idx="1654">
                  <c:v>82.7</c:v>
                </c:pt>
                <c:pt idx="1655">
                  <c:v>81.150000000000006</c:v>
                </c:pt>
                <c:pt idx="1656">
                  <c:v>88.83</c:v>
                </c:pt>
                <c:pt idx="1657">
                  <c:v>72.83</c:v>
                </c:pt>
                <c:pt idx="1658">
                  <c:v>67.12</c:v>
                </c:pt>
                <c:pt idx="1659">
                  <c:v>88.76</c:v>
                </c:pt>
                <c:pt idx="1660">
                  <c:v>85.11</c:v>
                </c:pt>
                <c:pt idx="1661">
                  <c:v>81.58</c:v>
                </c:pt>
                <c:pt idx="1662">
                  <c:v>76.66</c:v>
                </c:pt>
                <c:pt idx="1663">
                  <c:v>86.93</c:v>
                </c:pt>
                <c:pt idx="1664">
                  <c:v>72.78</c:v>
                </c:pt>
                <c:pt idx="1665">
                  <c:v>69.53</c:v>
                </c:pt>
                <c:pt idx="1666">
                  <c:v>83.51</c:v>
                </c:pt>
                <c:pt idx="1667">
                  <c:v>80.63</c:v>
                </c:pt>
                <c:pt idx="1668">
                  <c:v>83.94</c:v>
                </c:pt>
                <c:pt idx="1669">
                  <c:v>83.21</c:v>
                </c:pt>
                <c:pt idx="1670">
                  <c:v>87.83</c:v>
                </c:pt>
                <c:pt idx="1671">
                  <c:v>78.989999999999995</c:v>
                </c:pt>
                <c:pt idx="1672">
                  <c:v>78.92</c:v>
                </c:pt>
                <c:pt idx="1673">
                  <c:v>103.6</c:v>
                </c:pt>
                <c:pt idx="1674">
                  <c:v>106.25</c:v>
                </c:pt>
                <c:pt idx="1675">
                  <c:v>87.27</c:v>
                </c:pt>
                <c:pt idx="1676">
                  <c:v>91.34</c:v>
                </c:pt>
                <c:pt idx="1677">
                  <c:v>99.19</c:v>
                </c:pt>
                <c:pt idx="1678">
                  <c:v>77.540000000000006</c:v>
                </c:pt>
                <c:pt idx="1679">
                  <c:v>73.760000000000005</c:v>
                </c:pt>
                <c:pt idx="1680">
                  <c:v>93.6</c:v>
                </c:pt>
                <c:pt idx="1681">
                  <c:v>88.06</c:v>
                </c:pt>
                <c:pt idx="1682">
                  <c:v>85.73</c:v>
                </c:pt>
                <c:pt idx="1683">
                  <c:v>88.98</c:v>
                </c:pt>
                <c:pt idx="1684">
                  <c:v>92.06</c:v>
                </c:pt>
                <c:pt idx="1685">
                  <c:v>78.040000000000006</c:v>
                </c:pt>
                <c:pt idx="1686">
                  <c:v>73.680000000000007</c:v>
                </c:pt>
                <c:pt idx="1687">
                  <c:v>93.06</c:v>
                </c:pt>
                <c:pt idx="1688">
                  <c:v>88.87</c:v>
                </c:pt>
                <c:pt idx="1689">
                  <c:v>87.44</c:v>
                </c:pt>
                <c:pt idx="1690">
                  <c:v>89.67</c:v>
                </c:pt>
                <c:pt idx="1691">
                  <c:v>93.92</c:v>
                </c:pt>
                <c:pt idx="1692">
                  <c:v>77.209999999999994</c:v>
                </c:pt>
                <c:pt idx="1693">
                  <c:v>71.349999999999994</c:v>
                </c:pt>
                <c:pt idx="1694">
                  <c:v>92.86</c:v>
                </c:pt>
                <c:pt idx="1695">
                  <c:v>93.25</c:v>
                </c:pt>
                <c:pt idx="1696">
                  <c:v>85.48</c:v>
                </c:pt>
                <c:pt idx="1697">
                  <c:v>86.33</c:v>
                </c:pt>
                <c:pt idx="1698">
                  <c:v>96.53</c:v>
                </c:pt>
                <c:pt idx="1699">
                  <c:v>75.38</c:v>
                </c:pt>
                <c:pt idx="1700">
                  <c:v>75.83</c:v>
                </c:pt>
                <c:pt idx="1701">
                  <c:v>93.82</c:v>
                </c:pt>
                <c:pt idx="1702">
                  <c:v>103.27</c:v>
                </c:pt>
                <c:pt idx="1703">
                  <c:v>104.71</c:v>
                </c:pt>
                <c:pt idx="1704">
                  <c:v>102.49</c:v>
                </c:pt>
                <c:pt idx="1705">
                  <c:v>108.61</c:v>
                </c:pt>
                <c:pt idx="1706">
                  <c:v>76.61</c:v>
                </c:pt>
                <c:pt idx="1707">
                  <c:v>79.849999999999994</c:v>
                </c:pt>
                <c:pt idx="1708">
                  <c:v>92.09</c:v>
                </c:pt>
                <c:pt idx="1709">
                  <c:v>85.47</c:v>
                </c:pt>
                <c:pt idx="1710">
                  <c:v>90.96</c:v>
                </c:pt>
                <c:pt idx="1711">
                  <c:v>87.72</c:v>
                </c:pt>
                <c:pt idx="1712">
                  <c:v>89.34</c:v>
                </c:pt>
                <c:pt idx="1713">
                  <c:v>77.069999999999993</c:v>
                </c:pt>
                <c:pt idx="1714">
                  <c:v>73.42</c:v>
                </c:pt>
                <c:pt idx="1715">
                  <c:v>92.2</c:v>
                </c:pt>
                <c:pt idx="1716">
                  <c:v>88.92</c:v>
                </c:pt>
                <c:pt idx="1717">
                  <c:v>88.54</c:v>
                </c:pt>
                <c:pt idx="1718">
                  <c:v>89.91</c:v>
                </c:pt>
                <c:pt idx="1719">
                  <c:v>93.93</c:v>
                </c:pt>
                <c:pt idx="1720">
                  <c:v>76.19</c:v>
                </c:pt>
                <c:pt idx="1721">
                  <c:v>74.150000000000006</c:v>
                </c:pt>
                <c:pt idx="1722">
                  <c:v>94.39</c:v>
                </c:pt>
                <c:pt idx="1723">
                  <c:v>89.67</c:v>
                </c:pt>
                <c:pt idx="1724">
                  <c:v>85.57</c:v>
                </c:pt>
                <c:pt idx="1725">
                  <c:v>90.91</c:v>
                </c:pt>
                <c:pt idx="1726">
                  <c:v>93.67</c:v>
                </c:pt>
                <c:pt idx="1727">
                  <c:v>76.97</c:v>
                </c:pt>
                <c:pt idx="1728">
                  <c:v>75.8</c:v>
                </c:pt>
                <c:pt idx="1729">
                  <c:v>97.3</c:v>
                </c:pt>
                <c:pt idx="1730">
                  <c:v>87.45</c:v>
                </c:pt>
                <c:pt idx="1731">
                  <c:v>87.12</c:v>
                </c:pt>
                <c:pt idx="1732">
                  <c:v>101.19</c:v>
                </c:pt>
                <c:pt idx="1733">
                  <c:v>108.42</c:v>
                </c:pt>
                <c:pt idx="1734">
                  <c:v>82.24</c:v>
                </c:pt>
                <c:pt idx="1735">
                  <c:v>75.42</c:v>
                </c:pt>
                <c:pt idx="1736">
                  <c:v>83.33</c:v>
                </c:pt>
                <c:pt idx="1737">
                  <c:v>79.2</c:v>
                </c:pt>
                <c:pt idx="1738">
                  <c:v>84.16</c:v>
                </c:pt>
                <c:pt idx="1739">
                  <c:v>86.02</c:v>
                </c:pt>
                <c:pt idx="1740">
                  <c:v>88.11</c:v>
                </c:pt>
                <c:pt idx="1741">
                  <c:v>69.13</c:v>
                </c:pt>
                <c:pt idx="1742">
                  <c:v>69.72</c:v>
                </c:pt>
                <c:pt idx="1743">
                  <c:v>88.77</c:v>
                </c:pt>
                <c:pt idx="1744">
                  <c:v>79.55</c:v>
                </c:pt>
                <c:pt idx="1745">
                  <c:v>82.41</c:v>
                </c:pt>
                <c:pt idx="1746">
                  <c:v>84.22</c:v>
                </c:pt>
                <c:pt idx="1747">
                  <c:v>89.6</c:v>
                </c:pt>
                <c:pt idx="1748">
                  <c:v>70.010000000000005</c:v>
                </c:pt>
                <c:pt idx="1749">
                  <c:v>72.010000000000005</c:v>
                </c:pt>
                <c:pt idx="1750">
                  <c:v>79.28</c:v>
                </c:pt>
                <c:pt idx="1751">
                  <c:v>83.49</c:v>
                </c:pt>
                <c:pt idx="1752">
                  <c:v>80.22</c:v>
                </c:pt>
                <c:pt idx="1753">
                  <c:v>77.33</c:v>
                </c:pt>
                <c:pt idx="1754">
                  <c:v>89.62</c:v>
                </c:pt>
                <c:pt idx="1755">
                  <c:v>72.92</c:v>
                </c:pt>
                <c:pt idx="1756">
                  <c:v>69.209999999999994</c:v>
                </c:pt>
                <c:pt idx="1757">
                  <c:v>88.25</c:v>
                </c:pt>
                <c:pt idx="1758">
                  <c:v>85.78</c:v>
                </c:pt>
                <c:pt idx="1759">
                  <c:v>85.05</c:v>
                </c:pt>
                <c:pt idx="1760">
                  <c:v>85.85</c:v>
                </c:pt>
                <c:pt idx="1761">
                  <c:v>90.19</c:v>
                </c:pt>
                <c:pt idx="1762">
                  <c:v>69.73</c:v>
                </c:pt>
                <c:pt idx="1763">
                  <c:v>75.459999999999994</c:v>
                </c:pt>
                <c:pt idx="1764">
                  <c:v>98.11</c:v>
                </c:pt>
                <c:pt idx="1765">
                  <c:v>104.7</c:v>
                </c:pt>
                <c:pt idx="1766">
                  <c:v>114.42</c:v>
                </c:pt>
                <c:pt idx="1767">
                  <c:v>92.92</c:v>
                </c:pt>
                <c:pt idx="1768">
                  <c:v>101.23</c:v>
                </c:pt>
                <c:pt idx="1769">
                  <c:v>80.94</c:v>
                </c:pt>
                <c:pt idx="1770">
                  <c:v>79.52</c:v>
                </c:pt>
                <c:pt idx="1771">
                  <c:v>102.83</c:v>
                </c:pt>
                <c:pt idx="1772">
                  <c:v>91.67</c:v>
                </c:pt>
                <c:pt idx="1773">
                  <c:v>93.96</c:v>
                </c:pt>
                <c:pt idx="1774">
                  <c:v>91.33</c:v>
                </c:pt>
                <c:pt idx="1775">
                  <c:v>97.18</c:v>
                </c:pt>
                <c:pt idx="1776">
                  <c:v>77.680000000000007</c:v>
                </c:pt>
                <c:pt idx="1777">
                  <c:v>79.290000000000006</c:v>
                </c:pt>
                <c:pt idx="1778">
                  <c:v>96.88</c:v>
                </c:pt>
                <c:pt idx="1779">
                  <c:v>91.47</c:v>
                </c:pt>
                <c:pt idx="1780">
                  <c:v>89.47</c:v>
                </c:pt>
                <c:pt idx="1781">
                  <c:v>93.18</c:v>
                </c:pt>
                <c:pt idx="1782">
                  <c:v>96.67</c:v>
                </c:pt>
                <c:pt idx="1783">
                  <c:v>81.53</c:v>
                </c:pt>
                <c:pt idx="1784">
                  <c:v>79.63</c:v>
                </c:pt>
                <c:pt idx="1785">
                  <c:v>94</c:v>
                </c:pt>
                <c:pt idx="1786">
                  <c:v>92.54</c:v>
                </c:pt>
                <c:pt idx="1787">
                  <c:v>91.3</c:v>
                </c:pt>
                <c:pt idx="1788">
                  <c:v>94.3</c:v>
                </c:pt>
                <c:pt idx="1789">
                  <c:v>104.64</c:v>
                </c:pt>
                <c:pt idx="1790">
                  <c:v>74.14</c:v>
                </c:pt>
                <c:pt idx="1791">
                  <c:v>79.72</c:v>
                </c:pt>
                <c:pt idx="1792">
                  <c:v>97.63</c:v>
                </c:pt>
                <c:pt idx="1793">
                  <c:v>109.58</c:v>
                </c:pt>
                <c:pt idx="1794">
                  <c:v>108.11</c:v>
                </c:pt>
                <c:pt idx="1795">
                  <c:v>117.59</c:v>
                </c:pt>
                <c:pt idx="1796">
                  <c:v>128.78</c:v>
                </c:pt>
                <c:pt idx="1797">
                  <c:v>86.42</c:v>
                </c:pt>
                <c:pt idx="1798">
                  <c:v>92.3</c:v>
                </c:pt>
                <c:pt idx="1799">
                  <c:v>109.91</c:v>
                </c:pt>
                <c:pt idx="1800">
                  <c:v>110.58</c:v>
                </c:pt>
                <c:pt idx="1801">
                  <c:v>104.42</c:v>
                </c:pt>
                <c:pt idx="1802">
                  <c:v>102.39</c:v>
                </c:pt>
                <c:pt idx="1803">
                  <c:v>108.23</c:v>
                </c:pt>
                <c:pt idx="1804">
                  <c:v>83.26</c:v>
                </c:pt>
                <c:pt idx="1805">
                  <c:v>83.95</c:v>
                </c:pt>
                <c:pt idx="1806">
                  <c:v>110.68</c:v>
                </c:pt>
                <c:pt idx="1807">
                  <c:v>106.21</c:v>
                </c:pt>
                <c:pt idx="1808">
                  <c:v>99.65</c:v>
                </c:pt>
                <c:pt idx="1809">
                  <c:v>107.42</c:v>
                </c:pt>
                <c:pt idx="1810">
                  <c:v>111.47</c:v>
                </c:pt>
                <c:pt idx="1811">
                  <c:v>89.38</c:v>
                </c:pt>
                <c:pt idx="1812">
                  <c:v>93.98</c:v>
                </c:pt>
                <c:pt idx="1813">
                  <c:v>112.66</c:v>
                </c:pt>
                <c:pt idx="1814">
                  <c:v>103.77</c:v>
                </c:pt>
                <c:pt idx="1815">
                  <c:v>101.82</c:v>
                </c:pt>
                <c:pt idx="1816">
                  <c:v>97.86</c:v>
                </c:pt>
                <c:pt idx="1817">
                  <c:v>110.72</c:v>
                </c:pt>
                <c:pt idx="1818">
                  <c:v>88.26</c:v>
                </c:pt>
                <c:pt idx="1819">
                  <c:v>85.82</c:v>
                </c:pt>
                <c:pt idx="1820">
                  <c:v>109.43</c:v>
                </c:pt>
                <c:pt idx="1821">
                  <c:v>104.85</c:v>
                </c:pt>
                <c:pt idx="1822">
                  <c:v>103.91</c:v>
                </c:pt>
                <c:pt idx="1823">
                  <c:v>102.57</c:v>
                </c:pt>
                <c:pt idx="1824">
                  <c:v>130.54</c:v>
                </c:pt>
                <c:pt idx="1825">
                  <c:v>103.85</c:v>
                </c:pt>
                <c:pt idx="1826">
                  <c:v>107.78</c:v>
                </c:pt>
                <c:pt idx="1827">
                  <c:v>144.05000000000001</c:v>
                </c:pt>
                <c:pt idx="1828">
                  <c:v>114.33</c:v>
                </c:pt>
                <c:pt idx="1829">
                  <c:v>114.74</c:v>
                </c:pt>
                <c:pt idx="1830">
                  <c:v>117.11</c:v>
                </c:pt>
                <c:pt idx="1831">
                  <c:v>124.65</c:v>
                </c:pt>
                <c:pt idx="1832">
                  <c:v>100.75</c:v>
                </c:pt>
                <c:pt idx="1833">
                  <c:v>98.46</c:v>
                </c:pt>
                <c:pt idx="1834">
                  <c:v>118.3</c:v>
                </c:pt>
                <c:pt idx="1835">
                  <c:v>115.91</c:v>
                </c:pt>
                <c:pt idx="1836">
                  <c:v>110.74</c:v>
                </c:pt>
                <c:pt idx="1837">
                  <c:v>115.04</c:v>
                </c:pt>
                <c:pt idx="1838">
                  <c:v>123.73</c:v>
                </c:pt>
                <c:pt idx="1839">
                  <c:v>96.75</c:v>
                </c:pt>
                <c:pt idx="1840">
                  <c:v>97.03</c:v>
                </c:pt>
                <c:pt idx="1841">
                  <c:v>113.93</c:v>
                </c:pt>
                <c:pt idx="1842">
                  <c:v>112.78</c:v>
                </c:pt>
                <c:pt idx="1843">
                  <c:v>114.99</c:v>
                </c:pt>
                <c:pt idx="1844">
                  <c:v>115.22</c:v>
                </c:pt>
                <c:pt idx="1845">
                  <c:v>120.31</c:v>
                </c:pt>
                <c:pt idx="1846">
                  <c:v>101.82</c:v>
                </c:pt>
                <c:pt idx="1847">
                  <c:v>94.49</c:v>
                </c:pt>
                <c:pt idx="1848">
                  <c:v>123.74</c:v>
                </c:pt>
                <c:pt idx="1849">
                  <c:v>116.14</c:v>
                </c:pt>
                <c:pt idx="1850">
                  <c:v>112.45</c:v>
                </c:pt>
                <c:pt idx="1851">
                  <c:v>120.78</c:v>
                </c:pt>
                <c:pt idx="1852">
                  <c:v>119.74</c:v>
                </c:pt>
                <c:pt idx="1853">
                  <c:v>100.63</c:v>
                </c:pt>
                <c:pt idx="1854">
                  <c:v>100.91</c:v>
                </c:pt>
                <c:pt idx="1855">
                  <c:v>135.81</c:v>
                </c:pt>
                <c:pt idx="1856">
                  <c:v>137.38</c:v>
                </c:pt>
                <c:pt idx="1857">
                  <c:v>138.94</c:v>
                </c:pt>
                <c:pt idx="1858">
                  <c:v>141.21</c:v>
                </c:pt>
                <c:pt idx="1859">
                  <c:v>132.41999999999999</c:v>
                </c:pt>
                <c:pt idx="1860">
                  <c:v>102.98</c:v>
                </c:pt>
                <c:pt idx="1861">
                  <c:v>106.43</c:v>
                </c:pt>
                <c:pt idx="1862">
                  <c:v>130.72</c:v>
                </c:pt>
                <c:pt idx="1863">
                  <c:v>115.35</c:v>
                </c:pt>
                <c:pt idx="1864">
                  <c:v>126.5</c:v>
                </c:pt>
                <c:pt idx="1865">
                  <c:v>115.66</c:v>
                </c:pt>
                <c:pt idx="1866">
                  <c:v>135.24</c:v>
                </c:pt>
                <c:pt idx="1867">
                  <c:v>107.59</c:v>
                </c:pt>
                <c:pt idx="1868">
                  <c:v>99.49</c:v>
                </c:pt>
                <c:pt idx="1869">
                  <c:v>126.32</c:v>
                </c:pt>
                <c:pt idx="1870">
                  <c:v>117.7</c:v>
                </c:pt>
                <c:pt idx="1871">
                  <c:v>120.95</c:v>
                </c:pt>
                <c:pt idx="1872">
                  <c:v>120.61</c:v>
                </c:pt>
                <c:pt idx="1873">
                  <c:v>134.32</c:v>
                </c:pt>
                <c:pt idx="1874">
                  <c:v>108.26</c:v>
                </c:pt>
                <c:pt idx="1875">
                  <c:v>108.57</c:v>
                </c:pt>
                <c:pt idx="1876">
                  <c:v>125.77</c:v>
                </c:pt>
                <c:pt idx="1877">
                  <c:v>120.97</c:v>
                </c:pt>
                <c:pt idx="1878">
                  <c:v>115.59</c:v>
                </c:pt>
                <c:pt idx="1879">
                  <c:v>118.79</c:v>
                </c:pt>
                <c:pt idx="1880">
                  <c:v>135</c:v>
                </c:pt>
                <c:pt idx="1881">
                  <c:v>109.37</c:v>
                </c:pt>
                <c:pt idx="1882">
                  <c:v>98.97</c:v>
                </c:pt>
                <c:pt idx="1883">
                  <c:v>125.66</c:v>
                </c:pt>
                <c:pt idx="1884">
                  <c:v>121.64</c:v>
                </c:pt>
                <c:pt idx="1885">
                  <c:v>141.16999999999999</c:v>
                </c:pt>
                <c:pt idx="1886">
                  <c:v>136.59</c:v>
                </c:pt>
                <c:pt idx="1887">
                  <c:v>171</c:v>
                </c:pt>
                <c:pt idx="1888">
                  <c:v>130.79</c:v>
                </c:pt>
                <c:pt idx="1889">
                  <c:v>115.61</c:v>
                </c:pt>
                <c:pt idx="1890">
                  <c:v>145.11000000000001</c:v>
                </c:pt>
                <c:pt idx="1891">
                  <c:v>136.11000000000001</c:v>
                </c:pt>
                <c:pt idx="1892">
                  <c:v>134.30000000000001</c:v>
                </c:pt>
                <c:pt idx="1893">
                  <c:v>135.63</c:v>
                </c:pt>
                <c:pt idx="1894">
                  <c:v>146.61000000000001</c:v>
                </c:pt>
                <c:pt idx="1895">
                  <c:v>114.16</c:v>
                </c:pt>
                <c:pt idx="1896">
                  <c:v>114.61</c:v>
                </c:pt>
                <c:pt idx="1897">
                  <c:v>149.41</c:v>
                </c:pt>
                <c:pt idx="1898">
                  <c:v>138.37</c:v>
                </c:pt>
                <c:pt idx="1899">
                  <c:v>134.87</c:v>
                </c:pt>
                <c:pt idx="1900">
                  <c:v>138.93</c:v>
                </c:pt>
                <c:pt idx="1901">
                  <c:v>160.16</c:v>
                </c:pt>
                <c:pt idx="1902">
                  <c:v>132.5</c:v>
                </c:pt>
                <c:pt idx="1903">
                  <c:v>128.9</c:v>
                </c:pt>
                <c:pt idx="1904">
                  <c:v>156.69</c:v>
                </c:pt>
                <c:pt idx="1905">
                  <c:v>151.69999999999999</c:v>
                </c:pt>
                <c:pt idx="1906">
                  <c:v>142.63</c:v>
                </c:pt>
                <c:pt idx="1907">
                  <c:v>144.63</c:v>
                </c:pt>
                <c:pt idx="1908">
                  <c:v>156.30000000000001</c:v>
                </c:pt>
                <c:pt idx="1909">
                  <c:v>127.88</c:v>
                </c:pt>
                <c:pt idx="1910">
                  <c:v>135.02000000000001</c:v>
                </c:pt>
                <c:pt idx="1911">
                  <c:v>167.19</c:v>
                </c:pt>
                <c:pt idx="1912">
                  <c:v>138.69</c:v>
                </c:pt>
                <c:pt idx="1913">
                  <c:v>138.13</c:v>
                </c:pt>
                <c:pt idx="1914">
                  <c:v>128.72999999999999</c:v>
                </c:pt>
                <c:pt idx="1915">
                  <c:v>144.75</c:v>
                </c:pt>
                <c:pt idx="1916">
                  <c:v>129.32</c:v>
                </c:pt>
                <c:pt idx="1917">
                  <c:v>130.1</c:v>
                </c:pt>
                <c:pt idx="1918">
                  <c:v>167.69</c:v>
                </c:pt>
                <c:pt idx="1919">
                  <c:v>158.21</c:v>
                </c:pt>
                <c:pt idx="1920">
                  <c:v>131.26</c:v>
                </c:pt>
                <c:pt idx="1921">
                  <c:v>142.68</c:v>
                </c:pt>
                <c:pt idx="1922">
                  <c:v>146.22</c:v>
                </c:pt>
                <c:pt idx="1923">
                  <c:v>119.62</c:v>
                </c:pt>
                <c:pt idx="1924">
                  <c:v>127.3</c:v>
                </c:pt>
                <c:pt idx="1925">
                  <c:v>142.68</c:v>
                </c:pt>
                <c:pt idx="1926">
                  <c:v>128.94999999999999</c:v>
                </c:pt>
                <c:pt idx="1927">
                  <c:v>138.35</c:v>
                </c:pt>
                <c:pt idx="1928">
                  <c:v>144.16</c:v>
                </c:pt>
                <c:pt idx="1929">
                  <c:v>158.91</c:v>
                </c:pt>
                <c:pt idx="1930">
                  <c:v>113.47</c:v>
                </c:pt>
                <c:pt idx="1931">
                  <c:v>120.69</c:v>
                </c:pt>
                <c:pt idx="1932">
                  <c:v>159.03</c:v>
                </c:pt>
                <c:pt idx="1933">
                  <c:v>153.01</c:v>
                </c:pt>
                <c:pt idx="1934">
                  <c:v>165.68</c:v>
                </c:pt>
                <c:pt idx="1935">
                  <c:v>146.58000000000001</c:v>
                </c:pt>
                <c:pt idx="1936">
                  <c:v>166.95</c:v>
                </c:pt>
                <c:pt idx="1937">
                  <c:v>132.63</c:v>
                </c:pt>
                <c:pt idx="1938">
                  <c:v>135.47999999999999</c:v>
                </c:pt>
                <c:pt idx="1939">
                  <c:v>161.63</c:v>
                </c:pt>
                <c:pt idx="1940">
                  <c:v>154.91999999999999</c:v>
                </c:pt>
                <c:pt idx="1941">
                  <c:v>151.69999999999999</c:v>
                </c:pt>
                <c:pt idx="1942">
                  <c:v>154.74</c:v>
                </c:pt>
                <c:pt idx="1943">
                  <c:v>149.27000000000001</c:v>
                </c:pt>
                <c:pt idx="1944">
                  <c:v>121.22</c:v>
                </c:pt>
                <c:pt idx="1945">
                  <c:v>117.07</c:v>
                </c:pt>
                <c:pt idx="1946">
                  <c:v>170.32</c:v>
                </c:pt>
                <c:pt idx="1947">
                  <c:v>160.34</c:v>
                </c:pt>
                <c:pt idx="1948">
                  <c:v>174.9</c:v>
                </c:pt>
                <c:pt idx="1949">
                  <c:v>168.93</c:v>
                </c:pt>
                <c:pt idx="1950">
                  <c:v>151.06</c:v>
                </c:pt>
                <c:pt idx="1951">
                  <c:v>130.62</c:v>
                </c:pt>
                <c:pt idx="1952">
                  <c:v>121.05</c:v>
                </c:pt>
                <c:pt idx="1953">
                  <c:v>151.59</c:v>
                </c:pt>
                <c:pt idx="1954">
                  <c:v>144.49</c:v>
                </c:pt>
                <c:pt idx="1955">
                  <c:v>153.19</c:v>
                </c:pt>
                <c:pt idx="1956">
                  <c:v>137.69</c:v>
                </c:pt>
                <c:pt idx="1957">
                  <c:v>172.74</c:v>
                </c:pt>
                <c:pt idx="1958">
                  <c:v>129.71</c:v>
                </c:pt>
                <c:pt idx="1959">
                  <c:v>126.04</c:v>
                </c:pt>
                <c:pt idx="1960">
                  <c:v>154.22999999999999</c:v>
                </c:pt>
                <c:pt idx="1961">
                  <c:v>148.38</c:v>
                </c:pt>
                <c:pt idx="1962">
                  <c:v>149.41999999999999</c:v>
                </c:pt>
                <c:pt idx="1963">
                  <c:v>149.97</c:v>
                </c:pt>
                <c:pt idx="1964">
                  <c:v>161.34</c:v>
                </c:pt>
                <c:pt idx="1965">
                  <c:v>125.45</c:v>
                </c:pt>
                <c:pt idx="1966">
                  <c:v>124.18</c:v>
                </c:pt>
                <c:pt idx="1967">
                  <c:v>153.81</c:v>
                </c:pt>
                <c:pt idx="1968">
                  <c:v>146.26</c:v>
                </c:pt>
                <c:pt idx="1969">
                  <c:v>152.12</c:v>
                </c:pt>
                <c:pt idx="1970">
                  <c:v>149.74</c:v>
                </c:pt>
                <c:pt idx="1971">
                  <c:v>145.91</c:v>
                </c:pt>
                <c:pt idx="1972">
                  <c:v>127.95</c:v>
                </c:pt>
                <c:pt idx="1973">
                  <c:v>125.91</c:v>
                </c:pt>
                <c:pt idx="1974">
                  <c:v>154.38999999999999</c:v>
                </c:pt>
                <c:pt idx="1975">
                  <c:v>145.4</c:v>
                </c:pt>
                <c:pt idx="1976">
                  <c:v>152.08000000000001</c:v>
                </c:pt>
                <c:pt idx="1977">
                  <c:v>174</c:v>
                </c:pt>
                <c:pt idx="1978">
                  <c:v>178.8</c:v>
                </c:pt>
                <c:pt idx="1979">
                  <c:v>147.85</c:v>
                </c:pt>
                <c:pt idx="1980">
                  <c:v>140.75</c:v>
                </c:pt>
                <c:pt idx="1981">
                  <c:v>150.38999999999999</c:v>
                </c:pt>
                <c:pt idx="1982">
                  <c:v>146.30000000000001</c:v>
                </c:pt>
                <c:pt idx="1983">
                  <c:v>152.96</c:v>
                </c:pt>
                <c:pt idx="1984">
                  <c:v>153.37</c:v>
                </c:pt>
                <c:pt idx="1985">
                  <c:v>163.33000000000001</c:v>
                </c:pt>
                <c:pt idx="1986">
                  <c:v>129.97999999999999</c:v>
                </c:pt>
                <c:pt idx="1987">
                  <c:v>129.05000000000001</c:v>
                </c:pt>
                <c:pt idx="1988">
                  <c:v>153.69</c:v>
                </c:pt>
                <c:pt idx="1989">
                  <c:v>151.04</c:v>
                </c:pt>
                <c:pt idx="1990">
                  <c:v>152.69</c:v>
                </c:pt>
                <c:pt idx="1991">
                  <c:v>152.47999999999999</c:v>
                </c:pt>
                <c:pt idx="1992">
                  <c:v>166.35</c:v>
                </c:pt>
                <c:pt idx="1993">
                  <c:v>129.91</c:v>
                </c:pt>
                <c:pt idx="1994">
                  <c:v>128.31</c:v>
                </c:pt>
                <c:pt idx="1995">
                  <c:v>161.35</c:v>
                </c:pt>
                <c:pt idx="1996">
                  <c:v>148.99</c:v>
                </c:pt>
                <c:pt idx="1997">
                  <c:v>145.16</c:v>
                </c:pt>
                <c:pt idx="1998">
                  <c:v>148.38</c:v>
                </c:pt>
                <c:pt idx="1999">
                  <c:v>157.69999999999999</c:v>
                </c:pt>
                <c:pt idx="2000">
                  <c:v>123.72</c:v>
                </c:pt>
                <c:pt idx="2001">
                  <c:v>126.09</c:v>
                </c:pt>
                <c:pt idx="2002">
                  <c:v>153.02000000000001</c:v>
                </c:pt>
                <c:pt idx="2003">
                  <c:v>147.72999999999999</c:v>
                </c:pt>
                <c:pt idx="2004">
                  <c:v>140.63999999999999</c:v>
                </c:pt>
                <c:pt idx="2005">
                  <c:v>150.06</c:v>
                </c:pt>
                <c:pt idx="2006">
                  <c:v>161.04</c:v>
                </c:pt>
                <c:pt idx="2007">
                  <c:v>123.09</c:v>
                </c:pt>
                <c:pt idx="2008">
                  <c:v>149.13999999999999</c:v>
                </c:pt>
                <c:pt idx="2009">
                  <c:v>184.87</c:v>
                </c:pt>
                <c:pt idx="2010">
                  <c:v>176.98</c:v>
                </c:pt>
                <c:pt idx="2011">
                  <c:v>181.7</c:v>
                </c:pt>
                <c:pt idx="2012">
                  <c:v>157.97</c:v>
                </c:pt>
                <c:pt idx="2013">
                  <c:v>170.07</c:v>
                </c:pt>
                <c:pt idx="2014">
                  <c:v>141.47</c:v>
                </c:pt>
                <c:pt idx="2015">
                  <c:v>136.5</c:v>
                </c:pt>
                <c:pt idx="2016">
                  <c:v>168.5</c:v>
                </c:pt>
                <c:pt idx="2017">
                  <c:v>151.97999999999999</c:v>
                </c:pt>
                <c:pt idx="2018">
                  <c:v>164.78</c:v>
                </c:pt>
                <c:pt idx="2019">
                  <c:v>155.68</c:v>
                </c:pt>
                <c:pt idx="2020">
                  <c:v>174.92</c:v>
                </c:pt>
                <c:pt idx="2021">
                  <c:v>138.79</c:v>
                </c:pt>
                <c:pt idx="2022">
                  <c:v>144.04</c:v>
                </c:pt>
                <c:pt idx="2023">
                  <c:v>163.43</c:v>
                </c:pt>
                <c:pt idx="2024">
                  <c:v>147.05000000000001</c:v>
                </c:pt>
                <c:pt idx="2025">
                  <c:v>162.59</c:v>
                </c:pt>
                <c:pt idx="2026">
                  <c:v>170.43</c:v>
                </c:pt>
                <c:pt idx="2027">
                  <c:v>180.64</c:v>
                </c:pt>
                <c:pt idx="2028">
                  <c:v>138.46</c:v>
                </c:pt>
                <c:pt idx="2029">
                  <c:v>135.06</c:v>
                </c:pt>
                <c:pt idx="2030">
                  <c:v>173.7</c:v>
                </c:pt>
                <c:pt idx="2031">
                  <c:v>156.97</c:v>
                </c:pt>
                <c:pt idx="2032">
                  <c:v>164.01</c:v>
                </c:pt>
                <c:pt idx="2033">
                  <c:v>164.15</c:v>
                </c:pt>
                <c:pt idx="2034">
                  <c:v>179.78</c:v>
                </c:pt>
                <c:pt idx="2035">
                  <c:v>150.83000000000001</c:v>
                </c:pt>
                <c:pt idx="2036">
                  <c:v>160.25</c:v>
                </c:pt>
                <c:pt idx="2037">
                  <c:v>192.41</c:v>
                </c:pt>
                <c:pt idx="2038">
                  <c:v>200.33</c:v>
                </c:pt>
                <c:pt idx="2039">
                  <c:v>189.85</c:v>
                </c:pt>
                <c:pt idx="2040">
                  <c:v>170.7</c:v>
                </c:pt>
                <c:pt idx="2041">
                  <c:v>186.14</c:v>
                </c:pt>
                <c:pt idx="2042">
                  <c:v>145.44</c:v>
                </c:pt>
                <c:pt idx="2043">
                  <c:v>148.97999999999999</c:v>
                </c:pt>
                <c:pt idx="2044">
                  <c:v>178.75</c:v>
                </c:pt>
                <c:pt idx="2045">
                  <c:v>180.2</c:v>
                </c:pt>
                <c:pt idx="2046">
                  <c:v>174.34</c:v>
                </c:pt>
                <c:pt idx="2047">
                  <c:v>174.29</c:v>
                </c:pt>
                <c:pt idx="2048">
                  <c:v>186.57</c:v>
                </c:pt>
                <c:pt idx="2049">
                  <c:v>149</c:v>
                </c:pt>
                <c:pt idx="2050">
                  <c:v>152.5</c:v>
                </c:pt>
                <c:pt idx="2051">
                  <c:v>178.52</c:v>
                </c:pt>
                <c:pt idx="2052">
                  <c:v>170.89</c:v>
                </c:pt>
                <c:pt idx="2053">
                  <c:v>172.75</c:v>
                </c:pt>
                <c:pt idx="2054">
                  <c:v>167.3</c:v>
                </c:pt>
                <c:pt idx="2055">
                  <c:v>184</c:v>
                </c:pt>
                <c:pt idx="2056">
                  <c:v>145.69</c:v>
                </c:pt>
                <c:pt idx="2057">
                  <c:v>152.76</c:v>
                </c:pt>
                <c:pt idx="2058">
                  <c:v>184.43</c:v>
                </c:pt>
                <c:pt idx="2059">
                  <c:v>175.35</c:v>
                </c:pt>
                <c:pt idx="2060">
                  <c:v>178.79</c:v>
                </c:pt>
                <c:pt idx="2061">
                  <c:v>173.62</c:v>
                </c:pt>
                <c:pt idx="2062">
                  <c:v>190.32</c:v>
                </c:pt>
                <c:pt idx="2063">
                  <c:v>147.65</c:v>
                </c:pt>
                <c:pt idx="2064">
                  <c:v>149.57</c:v>
                </c:pt>
                <c:pt idx="2065">
                  <c:v>180</c:v>
                </c:pt>
                <c:pt idx="2066">
                  <c:v>161.58000000000001</c:v>
                </c:pt>
                <c:pt idx="2067">
                  <c:v>199.68</c:v>
                </c:pt>
                <c:pt idx="2068">
                  <c:v>209.04</c:v>
                </c:pt>
                <c:pt idx="2069">
                  <c:v>236.96</c:v>
                </c:pt>
                <c:pt idx="2070">
                  <c:v>188.01</c:v>
                </c:pt>
                <c:pt idx="2071">
                  <c:v>165</c:v>
                </c:pt>
                <c:pt idx="2072">
                  <c:v>195.79</c:v>
                </c:pt>
                <c:pt idx="2073">
                  <c:v>187.1</c:v>
                </c:pt>
                <c:pt idx="2074">
                  <c:v>182.55</c:v>
                </c:pt>
                <c:pt idx="2075">
                  <c:v>184.24</c:v>
                </c:pt>
                <c:pt idx="2076">
                  <c:v>204.32</c:v>
                </c:pt>
                <c:pt idx="2077">
                  <c:v>164.82</c:v>
                </c:pt>
                <c:pt idx="2078">
                  <c:v>157.32</c:v>
                </c:pt>
                <c:pt idx="2079">
                  <c:v>192.79</c:v>
                </c:pt>
                <c:pt idx="2080">
                  <c:v>186</c:v>
                </c:pt>
                <c:pt idx="2081">
                  <c:v>189.35</c:v>
                </c:pt>
                <c:pt idx="2082">
                  <c:v>177.94</c:v>
                </c:pt>
                <c:pt idx="2083">
                  <c:v>188.07</c:v>
                </c:pt>
                <c:pt idx="2084">
                  <c:v>155.03</c:v>
                </c:pt>
                <c:pt idx="2085">
                  <c:v>151.29</c:v>
                </c:pt>
                <c:pt idx="2086">
                  <c:v>192.46</c:v>
                </c:pt>
                <c:pt idx="2087">
                  <c:v>185.18</c:v>
                </c:pt>
                <c:pt idx="2088">
                  <c:v>183.47</c:v>
                </c:pt>
                <c:pt idx="2089">
                  <c:v>194.1</c:v>
                </c:pt>
                <c:pt idx="2090">
                  <c:v>202.7</c:v>
                </c:pt>
                <c:pt idx="2091">
                  <c:v>159.78</c:v>
                </c:pt>
                <c:pt idx="2092">
                  <c:v>161.57</c:v>
                </c:pt>
                <c:pt idx="2093">
                  <c:v>188.95</c:v>
                </c:pt>
                <c:pt idx="2094">
                  <c:v>191.8</c:v>
                </c:pt>
                <c:pt idx="2095">
                  <c:v>185.58</c:v>
                </c:pt>
                <c:pt idx="2096">
                  <c:v>189.74</c:v>
                </c:pt>
                <c:pt idx="2097">
                  <c:v>224.13</c:v>
                </c:pt>
                <c:pt idx="2098">
                  <c:v>171.84</c:v>
                </c:pt>
                <c:pt idx="2099">
                  <c:v>193.2</c:v>
                </c:pt>
                <c:pt idx="2100">
                  <c:v>234.45</c:v>
                </c:pt>
                <c:pt idx="2101">
                  <c:v>186.9</c:v>
                </c:pt>
                <c:pt idx="2102">
                  <c:v>187.08</c:v>
                </c:pt>
                <c:pt idx="2103">
                  <c:v>198.58</c:v>
                </c:pt>
                <c:pt idx="2104">
                  <c:v>200.61</c:v>
                </c:pt>
                <c:pt idx="2105">
                  <c:v>172.75</c:v>
                </c:pt>
                <c:pt idx="2106">
                  <c:v>158.09</c:v>
                </c:pt>
                <c:pt idx="2107">
                  <c:v>205.38</c:v>
                </c:pt>
                <c:pt idx="2108">
                  <c:v>190.2</c:v>
                </c:pt>
                <c:pt idx="2109">
                  <c:v>195.57</c:v>
                </c:pt>
                <c:pt idx="2110">
                  <c:v>188.96</c:v>
                </c:pt>
                <c:pt idx="2111">
                  <c:v>206.53</c:v>
                </c:pt>
                <c:pt idx="2112">
                  <c:v>163.52000000000001</c:v>
                </c:pt>
                <c:pt idx="2113">
                  <c:v>157.51</c:v>
                </c:pt>
                <c:pt idx="2114">
                  <c:v>205.97</c:v>
                </c:pt>
                <c:pt idx="2115">
                  <c:v>189.14</c:v>
                </c:pt>
                <c:pt idx="2116">
                  <c:v>190.78</c:v>
                </c:pt>
                <c:pt idx="2117">
                  <c:v>186.37</c:v>
                </c:pt>
                <c:pt idx="2118">
                  <c:v>192.7</c:v>
                </c:pt>
                <c:pt idx="2119">
                  <c:v>162.18</c:v>
                </c:pt>
                <c:pt idx="2120">
                  <c:v>177.19</c:v>
                </c:pt>
                <c:pt idx="2121">
                  <c:v>206.22</c:v>
                </c:pt>
                <c:pt idx="2122">
                  <c:v>191.99</c:v>
                </c:pt>
                <c:pt idx="2123">
                  <c:v>190.58</c:v>
                </c:pt>
                <c:pt idx="2124">
                  <c:v>192.23</c:v>
                </c:pt>
                <c:pt idx="2125">
                  <c:v>210.62</c:v>
                </c:pt>
                <c:pt idx="2126">
                  <c:v>156.47999999999999</c:v>
                </c:pt>
                <c:pt idx="2127">
                  <c:v>169.7</c:v>
                </c:pt>
                <c:pt idx="2128">
                  <c:v>236.7</c:v>
                </c:pt>
                <c:pt idx="2129">
                  <c:v>225.67</c:v>
                </c:pt>
                <c:pt idx="2130">
                  <c:v>227.59</c:v>
                </c:pt>
                <c:pt idx="2131">
                  <c:v>224.77</c:v>
                </c:pt>
                <c:pt idx="2132">
                  <c:v>214.9</c:v>
                </c:pt>
                <c:pt idx="2133">
                  <c:v>169.5</c:v>
                </c:pt>
                <c:pt idx="2134">
                  <c:v>163.96</c:v>
                </c:pt>
                <c:pt idx="2135">
                  <c:v>201.74</c:v>
                </c:pt>
                <c:pt idx="2136">
                  <c:v>195.93</c:v>
                </c:pt>
                <c:pt idx="2137">
                  <c:v>204.41</c:v>
                </c:pt>
                <c:pt idx="2138">
                  <c:v>188.07</c:v>
                </c:pt>
                <c:pt idx="2139">
                  <c:v>202.36</c:v>
                </c:pt>
                <c:pt idx="2140">
                  <c:v>167</c:v>
                </c:pt>
                <c:pt idx="2141">
                  <c:v>166.33</c:v>
                </c:pt>
                <c:pt idx="2142">
                  <c:v>206.12</c:v>
                </c:pt>
                <c:pt idx="2143">
                  <c:v>196.76</c:v>
                </c:pt>
                <c:pt idx="2144">
                  <c:v>194.03</c:v>
                </c:pt>
                <c:pt idx="2145">
                  <c:v>204.06</c:v>
                </c:pt>
                <c:pt idx="2146">
                  <c:v>201.58</c:v>
                </c:pt>
                <c:pt idx="2147">
                  <c:v>161.18</c:v>
                </c:pt>
                <c:pt idx="2148">
                  <c:v>165.43</c:v>
                </c:pt>
                <c:pt idx="2149">
                  <c:v>195.47</c:v>
                </c:pt>
                <c:pt idx="2150">
                  <c:v>194.3</c:v>
                </c:pt>
                <c:pt idx="2151">
                  <c:v>205.07</c:v>
                </c:pt>
                <c:pt idx="2152">
                  <c:v>195.46</c:v>
                </c:pt>
                <c:pt idx="2153">
                  <c:v>212.31</c:v>
                </c:pt>
                <c:pt idx="2154">
                  <c:v>158.65</c:v>
                </c:pt>
                <c:pt idx="2155">
                  <c:v>162.41999999999999</c:v>
                </c:pt>
                <c:pt idx="2156">
                  <c:v>202.9</c:v>
                </c:pt>
                <c:pt idx="2157">
                  <c:v>193.47</c:v>
                </c:pt>
                <c:pt idx="2158">
                  <c:v>233.27</c:v>
                </c:pt>
                <c:pt idx="2159">
                  <c:v>228.39</c:v>
                </c:pt>
                <c:pt idx="2160">
                  <c:v>243.84</c:v>
                </c:pt>
                <c:pt idx="2161">
                  <c:v>199.75</c:v>
                </c:pt>
                <c:pt idx="2162">
                  <c:v>175.22</c:v>
                </c:pt>
                <c:pt idx="2163">
                  <c:v>219.64</c:v>
                </c:pt>
                <c:pt idx="2164">
                  <c:v>212.19</c:v>
                </c:pt>
                <c:pt idx="2165">
                  <c:v>196.41</c:v>
                </c:pt>
                <c:pt idx="2166">
                  <c:v>197.65</c:v>
                </c:pt>
                <c:pt idx="2167">
                  <c:v>211.14</c:v>
                </c:pt>
                <c:pt idx="2168">
                  <c:v>170.77</c:v>
                </c:pt>
                <c:pt idx="2169">
                  <c:v>175.03</c:v>
                </c:pt>
                <c:pt idx="2170">
                  <c:v>218.71</c:v>
                </c:pt>
                <c:pt idx="2171">
                  <c:v>202.12</c:v>
                </c:pt>
                <c:pt idx="2172">
                  <c:v>200.64</c:v>
                </c:pt>
                <c:pt idx="2173">
                  <c:v>203.5</c:v>
                </c:pt>
                <c:pt idx="2174">
                  <c:v>213.71</c:v>
                </c:pt>
                <c:pt idx="2175">
                  <c:v>184.89</c:v>
                </c:pt>
                <c:pt idx="2176">
                  <c:v>162.41999999999999</c:v>
                </c:pt>
                <c:pt idx="2177">
                  <c:v>213.83</c:v>
                </c:pt>
                <c:pt idx="2178">
                  <c:v>214.88</c:v>
                </c:pt>
                <c:pt idx="2179">
                  <c:v>202.62</c:v>
                </c:pt>
                <c:pt idx="2180">
                  <c:v>201.43</c:v>
                </c:pt>
                <c:pt idx="2181">
                  <c:v>216.61</c:v>
                </c:pt>
                <c:pt idx="2182">
                  <c:v>171.1</c:v>
                </c:pt>
                <c:pt idx="2183">
                  <c:v>180.54</c:v>
                </c:pt>
                <c:pt idx="2184">
                  <c:v>199.27</c:v>
                </c:pt>
                <c:pt idx="2185">
                  <c:v>211.9</c:v>
                </c:pt>
                <c:pt idx="2186">
                  <c:v>193.93</c:v>
                </c:pt>
                <c:pt idx="2187">
                  <c:v>200.96</c:v>
                </c:pt>
                <c:pt idx="2188">
                  <c:v>216.18</c:v>
                </c:pt>
                <c:pt idx="2189">
                  <c:v>202.14</c:v>
                </c:pt>
                <c:pt idx="2190">
                  <c:v>186.85</c:v>
                </c:pt>
                <c:pt idx="2191">
                  <c:v>259.64999999999998</c:v>
                </c:pt>
                <c:pt idx="2192">
                  <c:v>258.88</c:v>
                </c:pt>
                <c:pt idx="2193">
                  <c:v>203.55</c:v>
                </c:pt>
                <c:pt idx="2194">
                  <c:v>213.43</c:v>
                </c:pt>
                <c:pt idx="2195">
                  <c:v>224.99</c:v>
                </c:pt>
                <c:pt idx="2196">
                  <c:v>183.1</c:v>
                </c:pt>
                <c:pt idx="2197">
                  <c:v>180.51</c:v>
                </c:pt>
                <c:pt idx="2198">
                  <c:v>218.75</c:v>
                </c:pt>
                <c:pt idx="2199">
                  <c:v>215.33</c:v>
                </c:pt>
                <c:pt idx="2200">
                  <c:v>223.71</c:v>
                </c:pt>
                <c:pt idx="2201">
                  <c:v>211.01</c:v>
                </c:pt>
                <c:pt idx="2202">
                  <c:v>233.79</c:v>
                </c:pt>
                <c:pt idx="2203">
                  <c:v>172.16</c:v>
                </c:pt>
                <c:pt idx="2204">
                  <c:v>174.3</c:v>
                </c:pt>
                <c:pt idx="2205">
                  <c:v>225.84</c:v>
                </c:pt>
                <c:pt idx="2206">
                  <c:v>221.67</c:v>
                </c:pt>
                <c:pt idx="2207">
                  <c:v>214.49</c:v>
                </c:pt>
                <c:pt idx="2208">
                  <c:v>210.23</c:v>
                </c:pt>
                <c:pt idx="2209">
                  <c:v>229.2</c:v>
                </c:pt>
                <c:pt idx="2210">
                  <c:v>172.43</c:v>
                </c:pt>
                <c:pt idx="2211">
                  <c:v>184.24</c:v>
                </c:pt>
                <c:pt idx="2212">
                  <c:v>228.45</c:v>
                </c:pt>
                <c:pt idx="2213">
                  <c:v>209.35</c:v>
                </c:pt>
                <c:pt idx="2214">
                  <c:v>209.23</c:v>
                </c:pt>
                <c:pt idx="2215">
                  <c:v>213.92</c:v>
                </c:pt>
                <c:pt idx="2216">
                  <c:v>226.42</c:v>
                </c:pt>
                <c:pt idx="2217">
                  <c:v>179.97</c:v>
                </c:pt>
                <c:pt idx="2218">
                  <c:v>193.76</c:v>
                </c:pt>
                <c:pt idx="2219">
                  <c:v>221.26</c:v>
                </c:pt>
                <c:pt idx="2220">
                  <c:v>241.44</c:v>
                </c:pt>
                <c:pt idx="2221">
                  <c:v>239.32</c:v>
                </c:pt>
                <c:pt idx="2222">
                  <c:v>265.74</c:v>
                </c:pt>
                <c:pt idx="2223">
                  <c:v>279.32</c:v>
                </c:pt>
                <c:pt idx="2224">
                  <c:v>187.72</c:v>
                </c:pt>
                <c:pt idx="2225">
                  <c:v>201.09</c:v>
                </c:pt>
                <c:pt idx="2226">
                  <c:v>246.96</c:v>
                </c:pt>
                <c:pt idx="2227">
                  <c:v>221.96</c:v>
                </c:pt>
                <c:pt idx="2228">
                  <c:v>213.38</c:v>
                </c:pt>
                <c:pt idx="2229">
                  <c:v>232.87</c:v>
                </c:pt>
                <c:pt idx="2230">
                  <c:v>239.47</c:v>
                </c:pt>
                <c:pt idx="2231">
                  <c:v>197.49</c:v>
                </c:pt>
                <c:pt idx="2232">
                  <c:v>178.77</c:v>
                </c:pt>
                <c:pt idx="2233">
                  <c:v>243.39</c:v>
                </c:pt>
                <c:pt idx="2234">
                  <c:v>217.82</c:v>
                </c:pt>
                <c:pt idx="2235">
                  <c:v>230.99</c:v>
                </c:pt>
                <c:pt idx="2236">
                  <c:v>226.13</c:v>
                </c:pt>
                <c:pt idx="2237">
                  <c:v>237.65</c:v>
                </c:pt>
                <c:pt idx="2238">
                  <c:v>189.37</c:v>
                </c:pt>
                <c:pt idx="2239">
                  <c:v>196.78</c:v>
                </c:pt>
                <c:pt idx="2240">
                  <c:v>238.05</c:v>
                </c:pt>
                <c:pt idx="2241">
                  <c:v>230</c:v>
                </c:pt>
                <c:pt idx="2242">
                  <c:v>239.44</c:v>
                </c:pt>
                <c:pt idx="2243">
                  <c:v>215.43</c:v>
                </c:pt>
                <c:pt idx="2244">
                  <c:v>255.08</c:v>
                </c:pt>
                <c:pt idx="2245">
                  <c:v>192.84</c:v>
                </c:pt>
                <c:pt idx="2246">
                  <c:v>186.03</c:v>
                </c:pt>
                <c:pt idx="2247">
                  <c:v>228.31</c:v>
                </c:pt>
                <c:pt idx="2248">
                  <c:v>224.75</c:v>
                </c:pt>
                <c:pt idx="2249">
                  <c:v>232.28</c:v>
                </c:pt>
                <c:pt idx="2250">
                  <c:v>258.94</c:v>
                </c:pt>
                <c:pt idx="2251">
                  <c:v>292.52</c:v>
                </c:pt>
                <c:pt idx="2252">
                  <c:v>218.55</c:v>
                </c:pt>
                <c:pt idx="2253">
                  <c:v>230.24</c:v>
                </c:pt>
                <c:pt idx="2254">
                  <c:v>238.57</c:v>
                </c:pt>
                <c:pt idx="2255">
                  <c:v>238.22</c:v>
                </c:pt>
                <c:pt idx="2256">
                  <c:v>241.91</c:v>
                </c:pt>
                <c:pt idx="2257">
                  <c:v>232.67</c:v>
                </c:pt>
                <c:pt idx="2258">
                  <c:v>236.09</c:v>
                </c:pt>
                <c:pt idx="2259">
                  <c:v>201.7</c:v>
                </c:pt>
                <c:pt idx="2260">
                  <c:v>203.39</c:v>
                </c:pt>
                <c:pt idx="2261">
                  <c:v>250.29</c:v>
                </c:pt>
                <c:pt idx="2262">
                  <c:v>244.38</c:v>
                </c:pt>
                <c:pt idx="2263">
                  <c:v>228.07</c:v>
                </c:pt>
                <c:pt idx="2264">
                  <c:v>240.45</c:v>
                </c:pt>
                <c:pt idx="2265">
                  <c:v>262.93</c:v>
                </c:pt>
                <c:pt idx="2266">
                  <c:v>206.5</c:v>
                </c:pt>
                <c:pt idx="2267">
                  <c:v>222.81</c:v>
                </c:pt>
                <c:pt idx="2268">
                  <c:v>268.25</c:v>
                </c:pt>
                <c:pt idx="2269">
                  <c:v>258.58</c:v>
                </c:pt>
                <c:pt idx="2270">
                  <c:v>261.91000000000003</c:v>
                </c:pt>
                <c:pt idx="2271">
                  <c:v>255.42</c:v>
                </c:pt>
                <c:pt idx="2272">
                  <c:v>274.69</c:v>
                </c:pt>
                <c:pt idx="2273">
                  <c:v>220.59</c:v>
                </c:pt>
                <c:pt idx="2274">
                  <c:v>211.87</c:v>
                </c:pt>
                <c:pt idx="2275">
                  <c:v>263.73</c:v>
                </c:pt>
                <c:pt idx="2276">
                  <c:v>264.49</c:v>
                </c:pt>
                <c:pt idx="2277">
                  <c:v>227.52</c:v>
                </c:pt>
                <c:pt idx="2278">
                  <c:v>240.36</c:v>
                </c:pt>
                <c:pt idx="2279">
                  <c:v>257.77</c:v>
                </c:pt>
                <c:pt idx="2280">
                  <c:v>188.1</c:v>
                </c:pt>
                <c:pt idx="2281">
                  <c:v>224.83</c:v>
                </c:pt>
                <c:pt idx="2282">
                  <c:v>294.25</c:v>
                </c:pt>
                <c:pt idx="2283">
                  <c:v>271.97000000000003</c:v>
                </c:pt>
                <c:pt idx="2284">
                  <c:v>276.31</c:v>
                </c:pt>
                <c:pt idx="2285">
                  <c:v>247.04</c:v>
                </c:pt>
                <c:pt idx="2286">
                  <c:v>268.89</c:v>
                </c:pt>
                <c:pt idx="2287">
                  <c:v>205.28</c:v>
                </c:pt>
                <c:pt idx="2288">
                  <c:v>202.75</c:v>
                </c:pt>
                <c:pt idx="2289">
                  <c:v>266.25</c:v>
                </c:pt>
                <c:pt idx="2290">
                  <c:v>256.38</c:v>
                </c:pt>
                <c:pt idx="2291">
                  <c:v>250.82</c:v>
                </c:pt>
                <c:pt idx="2292">
                  <c:v>244.29</c:v>
                </c:pt>
                <c:pt idx="2293">
                  <c:v>257.25</c:v>
                </c:pt>
                <c:pt idx="2294">
                  <c:v>201.05</c:v>
                </c:pt>
                <c:pt idx="2295">
                  <c:v>210.94</c:v>
                </c:pt>
                <c:pt idx="2296">
                  <c:v>258.91000000000003</c:v>
                </c:pt>
                <c:pt idx="2297">
                  <c:v>279.3</c:v>
                </c:pt>
                <c:pt idx="2298">
                  <c:v>273.26</c:v>
                </c:pt>
                <c:pt idx="2299">
                  <c:v>255.95</c:v>
                </c:pt>
                <c:pt idx="2300">
                  <c:v>297.93</c:v>
                </c:pt>
                <c:pt idx="2301">
                  <c:v>219.8</c:v>
                </c:pt>
                <c:pt idx="2302">
                  <c:v>224.74</c:v>
                </c:pt>
                <c:pt idx="2303">
                  <c:v>283.45</c:v>
                </c:pt>
                <c:pt idx="2304">
                  <c:v>284.08</c:v>
                </c:pt>
                <c:pt idx="2305">
                  <c:v>293.04000000000002</c:v>
                </c:pt>
                <c:pt idx="2306">
                  <c:v>272.91000000000003</c:v>
                </c:pt>
                <c:pt idx="2307">
                  <c:v>288</c:v>
                </c:pt>
                <c:pt idx="2308">
                  <c:v>211.02</c:v>
                </c:pt>
                <c:pt idx="2309">
                  <c:v>213.61</c:v>
                </c:pt>
                <c:pt idx="2310">
                  <c:v>253.51</c:v>
                </c:pt>
                <c:pt idx="2311">
                  <c:v>295.31</c:v>
                </c:pt>
                <c:pt idx="2312">
                  <c:v>282.14999999999998</c:v>
                </c:pt>
                <c:pt idx="2313">
                  <c:v>294.77</c:v>
                </c:pt>
                <c:pt idx="2314">
                  <c:v>319.47000000000003</c:v>
                </c:pt>
                <c:pt idx="2315">
                  <c:v>217.86</c:v>
                </c:pt>
                <c:pt idx="2316">
                  <c:v>221.02</c:v>
                </c:pt>
                <c:pt idx="2317">
                  <c:v>260.5</c:v>
                </c:pt>
                <c:pt idx="2318">
                  <c:v>248.32</c:v>
                </c:pt>
                <c:pt idx="2319">
                  <c:v>244.21</c:v>
                </c:pt>
                <c:pt idx="2320">
                  <c:v>255.88</c:v>
                </c:pt>
                <c:pt idx="2321">
                  <c:v>278.64999999999998</c:v>
                </c:pt>
                <c:pt idx="2322">
                  <c:v>218.13</c:v>
                </c:pt>
                <c:pt idx="2323">
                  <c:v>227.35</c:v>
                </c:pt>
                <c:pt idx="2324">
                  <c:v>265.13</c:v>
                </c:pt>
                <c:pt idx="2325">
                  <c:v>257.62</c:v>
                </c:pt>
                <c:pt idx="2326">
                  <c:v>244.28</c:v>
                </c:pt>
                <c:pt idx="2327">
                  <c:v>249.62</c:v>
                </c:pt>
                <c:pt idx="2328">
                  <c:v>278.02</c:v>
                </c:pt>
                <c:pt idx="2329">
                  <c:v>221.1</c:v>
                </c:pt>
                <c:pt idx="2330">
                  <c:v>212.44</c:v>
                </c:pt>
                <c:pt idx="2331">
                  <c:v>264.63</c:v>
                </c:pt>
                <c:pt idx="2332">
                  <c:v>241.05</c:v>
                </c:pt>
                <c:pt idx="2333">
                  <c:v>249.84</c:v>
                </c:pt>
                <c:pt idx="2334">
                  <c:v>259.29000000000002</c:v>
                </c:pt>
                <c:pt idx="2335">
                  <c:v>277.11</c:v>
                </c:pt>
                <c:pt idx="2336">
                  <c:v>218.46</c:v>
                </c:pt>
                <c:pt idx="2337">
                  <c:v>215.04</c:v>
                </c:pt>
                <c:pt idx="2338">
                  <c:v>265.23</c:v>
                </c:pt>
                <c:pt idx="2339">
                  <c:v>247.55</c:v>
                </c:pt>
                <c:pt idx="2340">
                  <c:v>257.83999999999997</c:v>
                </c:pt>
                <c:pt idx="2341">
                  <c:v>255.74</c:v>
                </c:pt>
                <c:pt idx="2342">
                  <c:v>317.95</c:v>
                </c:pt>
                <c:pt idx="2343">
                  <c:v>242.28</c:v>
                </c:pt>
                <c:pt idx="2344">
                  <c:v>234.19</c:v>
                </c:pt>
                <c:pt idx="2345">
                  <c:v>322.91000000000003</c:v>
                </c:pt>
                <c:pt idx="2346">
                  <c:v>255.57</c:v>
                </c:pt>
                <c:pt idx="2347">
                  <c:v>252.58</c:v>
                </c:pt>
                <c:pt idx="2348">
                  <c:v>264.68</c:v>
                </c:pt>
                <c:pt idx="2349">
                  <c:v>276.98</c:v>
                </c:pt>
                <c:pt idx="2350">
                  <c:v>228.64</c:v>
                </c:pt>
                <c:pt idx="2351">
                  <c:v>225.2</c:v>
                </c:pt>
                <c:pt idx="2352">
                  <c:v>277.57</c:v>
                </c:pt>
                <c:pt idx="2353">
                  <c:v>248.66</c:v>
                </c:pt>
                <c:pt idx="2354">
                  <c:v>268.72000000000003</c:v>
                </c:pt>
                <c:pt idx="2355">
                  <c:v>261.32</c:v>
                </c:pt>
                <c:pt idx="2356">
                  <c:v>277.16000000000003</c:v>
                </c:pt>
                <c:pt idx="2357">
                  <c:v>221.51</c:v>
                </c:pt>
                <c:pt idx="2358">
                  <c:v>206.58</c:v>
                </c:pt>
                <c:pt idx="2359">
                  <c:v>275.43</c:v>
                </c:pt>
                <c:pt idx="2360">
                  <c:v>251.28</c:v>
                </c:pt>
                <c:pt idx="2361">
                  <c:v>248.77</c:v>
                </c:pt>
                <c:pt idx="2362">
                  <c:v>247.45</c:v>
                </c:pt>
                <c:pt idx="2363">
                  <c:v>288.69</c:v>
                </c:pt>
                <c:pt idx="2364">
                  <c:v>215.5</c:v>
                </c:pt>
                <c:pt idx="2365">
                  <c:v>232.33</c:v>
                </c:pt>
                <c:pt idx="2366">
                  <c:v>268.08999999999997</c:v>
                </c:pt>
                <c:pt idx="2367">
                  <c:v>246.01</c:v>
                </c:pt>
                <c:pt idx="2368">
                  <c:v>250.61</c:v>
                </c:pt>
                <c:pt idx="2369">
                  <c:v>268.89999999999998</c:v>
                </c:pt>
                <c:pt idx="2370">
                  <c:v>278.82</c:v>
                </c:pt>
                <c:pt idx="2371">
                  <c:v>216.13</c:v>
                </c:pt>
                <c:pt idx="2372">
                  <c:v>221.64</c:v>
                </c:pt>
                <c:pt idx="2373">
                  <c:v>317.58</c:v>
                </c:pt>
                <c:pt idx="2374">
                  <c:v>308.18</c:v>
                </c:pt>
                <c:pt idx="2375">
                  <c:v>323.14</c:v>
                </c:pt>
                <c:pt idx="2376">
                  <c:v>306.33999999999997</c:v>
                </c:pt>
                <c:pt idx="2377">
                  <c:v>280.12</c:v>
                </c:pt>
                <c:pt idx="2378">
                  <c:v>225.55</c:v>
                </c:pt>
                <c:pt idx="2379">
                  <c:v>231</c:v>
                </c:pt>
                <c:pt idx="2380">
                  <c:v>274.95999999999998</c:v>
                </c:pt>
                <c:pt idx="2381">
                  <c:v>261.55</c:v>
                </c:pt>
                <c:pt idx="2382">
                  <c:v>272.06</c:v>
                </c:pt>
                <c:pt idx="2383">
                  <c:v>268.89</c:v>
                </c:pt>
                <c:pt idx="2384">
                  <c:v>291.08999999999997</c:v>
                </c:pt>
                <c:pt idx="2385">
                  <c:v>222.77</c:v>
                </c:pt>
                <c:pt idx="2386">
                  <c:v>227.03</c:v>
                </c:pt>
                <c:pt idx="2387">
                  <c:v>275.27999999999997</c:v>
                </c:pt>
                <c:pt idx="2388">
                  <c:v>276.48</c:v>
                </c:pt>
                <c:pt idx="2389">
                  <c:v>277.64999999999998</c:v>
                </c:pt>
                <c:pt idx="2390">
                  <c:v>254.37</c:v>
                </c:pt>
                <c:pt idx="2391">
                  <c:v>283.32</c:v>
                </c:pt>
                <c:pt idx="2392">
                  <c:v>216.8</c:v>
                </c:pt>
                <c:pt idx="2393">
                  <c:v>223.64</c:v>
                </c:pt>
                <c:pt idx="2394">
                  <c:v>282.08</c:v>
                </c:pt>
                <c:pt idx="2395">
                  <c:v>257.57</c:v>
                </c:pt>
                <c:pt idx="2396">
                  <c:v>261.83999999999997</c:v>
                </c:pt>
                <c:pt idx="2397">
                  <c:v>261.18</c:v>
                </c:pt>
                <c:pt idx="2398">
                  <c:v>292.5</c:v>
                </c:pt>
                <c:pt idx="2399">
                  <c:v>229.45</c:v>
                </c:pt>
                <c:pt idx="2400">
                  <c:v>223.06</c:v>
                </c:pt>
                <c:pt idx="2401">
                  <c:v>326.81</c:v>
                </c:pt>
                <c:pt idx="2402">
                  <c:v>304.60000000000002</c:v>
                </c:pt>
                <c:pt idx="2403">
                  <c:v>318.52999999999997</c:v>
                </c:pt>
                <c:pt idx="2404">
                  <c:v>337.27</c:v>
                </c:pt>
                <c:pt idx="2405">
                  <c:v>312.83</c:v>
                </c:pt>
                <c:pt idx="2406">
                  <c:v>226.48</c:v>
                </c:pt>
                <c:pt idx="2407">
                  <c:v>244.32</c:v>
                </c:pt>
                <c:pt idx="2408">
                  <c:v>300.02</c:v>
                </c:pt>
                <c:pt idx="2409">
                  <c:v>269.64</c:v>
                </c:pt>
                <c:pt idx="2410">
                  <c:v>286.12</c:v>
                </c:pt>
                <c:pt idx="2411">
                  <c:v>292.14</c:v>
                </c:pt>
                <c:pt idx="2412">
                  <c:v>292.19</c:v>
                </c:pt>
                <c:pt idx="2413">
                  <c:v>229.68</c:v>
                </c:pt>
                <c:pt idx="2414">
                  <c:v>245.9</c:v>
                </c:pt>
                <c:pt idx="2415">
                  <c:v>295.5</c:v>
                </c:pt>
                <c:pt idx="2416">
                  <c:v>283.88</c:v>
                </c:pt>
                <c:pt idx="2417">
                  <c:v>282.11</c:v>
                </c:pt>
                <c:pt idx="2418">
                  <c:v>282.52999999999997</c:v>
                </c:pt>
                <c:pt idx="2419">
                  <c:v>290.49</c:v>
                </c:pt>
                <c:pt idx="2420">
                  <c:v>246.14</c:v>
                </c:pt>
                <c:pt idx="2421">
                  <c:v>247.17</c:v>
                </c:pt>
                <c:pt idx="2422">
                  <c:v>291.3</c:v>
                </c:pt>
                <c:pt idx="2423">
                  <c:v>278.89</c:v>
                </c:pt>
                <c:pt idx="2424">
                  <c:v>266.43</c:v>
                </c:pt>
                <c:pt idx="2425">
                  <c:v>283.57</c:v>
                </c:pt>
                <c:pt idx="2426">
                  <c:v>306.39</c:v>
                </c:pt>
                <c:pt idx="2427">
                  <c:v>236.85</c:v>
                </c:pt>
                <c:pt idx="2428">
                  <c:v>246.79</c:v>
                </c:pt>
                <c:pt idx="2429">
                  <c:v>290.42</c:v>
                </c:pt>
                <c:pt idx="2430">
                  <c:v>283.99</c:v>
                </c:pt>
                <c:pt idx="2431">
                  <c:v>270.72000000000003</c:v>
                </c:pt>
                <c:pt idx="2432">
                  <c:v>320.92</c:v>
                </c:pt>
                <c:pt idx="2433">
                  <c:v>345.16</c:v>
                </c:pt>
                <c:pt idx="2434">
                  <c:v>292.13</c:v>
                </c:pt>
                <c:pt idx="2435">
                  <c:v>286.05</c:v>
                </c:pt>
                <c:pt idx="2436">
                  <c:v>310.16000000000003</c:v>
                </c:pt>
                <c:pt idx="2437">
                  <c:v>303.85000000000002</c:v>
                </c:pt>
                <c:pt idx="2438">
                  <c:v>292.61</c:v>
                </c:pt>
                <c:pt idx="2439">
                  <c:v>282.20999999999998</c:v>
                </c:pt>
                <c:pt idx="2440">
                  <c:v>335.78</c:v>
                </c:pt>
                <c:pt idx="2441">
                  <c:v>264.31</c:v>
                </c:pt>
                <c:pt idx="2442">
                  <c:v>240.53</c:v>
                </c:pt>
                <c:pt idx="2443">
                  <c:v>317.45999999999998</c:v>
                </c:pt>
                <c:pt idx="2444">
                  <c:v>292.02999999999997</c:v>
                </c:pt>
                <c:pt idx="2445">
                  <c:v>298.83999999999997</c:v>
                </c:pt>
                <c:pt idx="2446">
                  <c:v>299.12</c:v>
                </c:pt>
                <c:pt idx="2447">
                  <c:v>318.13</c:v>
                </c:pt>
                <c:pt idx="2448">
                  <c:v>245.05</c:v>
                </c:pt>
                <c:pt idx="2449">
                  <c:v>245.88</c:v>
                </c:pt>
                <c:pt idx="2450">
                  <c:v>303.18</c:v>
                </c:pt>
                <c:pt idx="2451">
                  <c:v>289.10000000000002</c:v>
                </c:pt>
                <c:pt idx="2452">
                  <c:v>295.89999999999998</c:v>
                </c:pt>
                <c:pt idx="2453">
                  <c:v>290.13</c:v>
                </c:pt>
                <c:pt idx="2454">
                  <c:v>326.29000000000002</c:v>
                </c:pt>
                <c:pt idx="2455">
                  <c:v>265.25</c:v>
                </c:pt>
                <c:pt idx="2456">
                  <c:v>246.87</c:v>
                </c:pt>
                <c:pt idx="2457">
                  <c:v>313.45</c:v>
                </c:pt>
                <c:pt idx="2458">
                  <c:v>300.94</c:v>
                </c:pt>
                <c:pt idx="2459">
                  <c:v>300.7</c:v>
                </c:pt>
                <c:pt idx="2460">
                  <c:v>297.18</c:v>
                </c:pt>
                <c:pt idx="2461">
                  <c:v>326.83</c:v>
                </c:pt>
                <c:pt idx="2462">
                  <c:v>294.76</c:v>
                </c:pt>
                <c:pt idx="2463">
                  <c:v>277.17</c:v>
                </c:pt>
                <c:pt idx="2464">
                  <c:v>359.95</c:v>
                </c:pt>
                <c:pt idx="2465">
                  <c:v>343.41</c:v>
                </c:pt>
                <c:pt idx="2466">
                  <c:v>284.20999999999998</c:v>
                </c:pt>
                <c:pt idx="2467">
                  <c:v>291.2</c:v>
                </c:pt>
                <c:pt idx="2468">
                  <c:v>320.10000000000002</c:v>
                </c:pt>
                <c:pt idx="2469">
                  <c:v>245.41</c:v>
                </c:pt>
                <c:pt idx="2470">
                  <c:v>256.60000000000002</c:v>
                </c:pt>
                <c:pt idx="2471">
                  <c:v>326.04000000000002</c:v>
                </c:pt>
                <c:pt idx="2472">
                  <c:v>284.01</c:v>
                </c:pt>
                <c:pt idx="2473">
                  <c:v>278.82</c:v>
                </c:pt>
                <c:pt idx="2474">
                  <c:v>293.52</c:v>
                </c:pt>
                <c:pt idx="2475">
                  <c:v>320.44</c:v>
                </c:pt>
                <c:pt idx="2476">
                  <c:v>245.23</c:v>
                </c:pt>
                <c:pt idx="2477">
                  <c:v>259.92</c:v>
                </c:pt>
                <c:pt idx="2478">
                  <c:v>293.73</c:v>
                </c:pt>
                <c:pt idx="2479">
                  <c:v>296.92</c:v>
                </c:pt>
                <c:pt idx="2480">
                  <c:v>285.58</c:v>
                </c:pt>
                <c:pt idx="2481">
                  <c:v>305.87</c:v>
                </c:pt>
                <c:pt idx="2482">
                  <c:v>331.53</c:v>
                </c:pt>
                <c:pt idx="2483">
                  <c:v>240.55</c:v>
                </c:pt>
                <c:pt idx="2484">
                  <c:v>242.44</c:v>
                </c:pt>
                <c:pt idx="2485">
                  <c:v>312.92</c:v>
                </c:pt>
                <c:pt idx="2486">
                  <c:v>287.49</c:v>
                </c:pt>
                <c:pt idx="2487">
                  <c:v>290.47000000000003</c:v>
                </c:pt>
                <c:pt idx="2488">
                  <c:v>291.08999999999997</c:v>
                </c:pt>
                <c:pt idx="2489">
                  <c:v>297.39</c:v>
                </c:pt>
                <c:pt idx="2490">
                  <c:v>247.12</c:v>
                </c:pt>
                <c:pt idx="2491">
                  <c:v>241.22</c:v>
                </c:pt>
                <c:pt idx="2492">
                  <c:v>301.11</c:v>
                </c:pt>
                <c:pt idx="2493">
                  <c:v>348.99</c:v>
                </c:pt>
                <c:pt idx="2494">
                  <c:v>321.89</c:v>
                </c:pt>
                <c:pt idx="2495">
                  <c:v>366.57</c:v>
                </c:pt>
                <c:pt idx="2496">
                  <c:v>383.47</c:v>
                </c:pt>
                <c:pt idx="2497">
                  <c:v>261.88</c:v>
                </c:pt>
                <c:pt idx="2498">
                  <c:v>271.87</c:v>
                </c:pt>
                <c:pt idx="2499">
                  <c:v>329.9</c:v>
                </c:pt>
                <c:pt idx="2500">
                  <c:v>316.49</c:v>
                </c:pt>
                <c:pt idx="2501">
                  <c:v>320.2</c:v>
                </c:pt>
                <c:pt idx="2502">
                  <c:v>308.07</c:v>
                </c:pt>
                <c:pt idx="2503">
                  <c:v>330.34</c:v>
                </c:pt>
                <c:pt idx="2504">
                  <c:v>254.36</c:v>
                </c:pt>
                <c:pt idx="2505">
                  <c:v>256.79000000000002</c:v>
                </c:pt>
                <c:pt idx="2506">
                  <c:v>354.25</c:v>
                </c:pt>
                <c:pt idx="2507">
                  <c:v>322.79000000000002</c:v>
                </c:pt>
                <c:pt idx="2508">
                  <c:v>298.55</c:v>
                </c:pt>
                <c:pt idx="2509">
                  <c:v>298.82</c:v>
                </c:pt>
                <c:pt idx="2510">
                  <c:v>340.56</c:v>
                </c:pt>
                <c:pt idx="2511">
                  <c:v>269.60000000000002</c:v>
                </c:pt>
                <c:pt idx="2512">
                  <c:v>269.62</c:v>
                </c:pt>
                <c:pt idx="2513">
                  <c:v>324.33999999999997</c:v>
                </c:pt>
                <c:pt idx="2514">
                  <c:v>310</c:v>
                </c:pt>
                <c:pt idx="2515">
                  <c:v>314.23</c:v>
                </c:pt>
                <c:pt idx="2516">
                  <c:v>311.97000000000003</c:v>
                </c:pt>
                <c:pt idx="2517">
                  <c:v>315.33999999999997</c:v>
                </c:pt>
                <c:pt idx="2518">
                  <c:v>262.35000000000002</c:v>
                </c:pt>
                <c:pt idx="2519">
                  <c:v>256.54000000000002</c:v>
                </c:pt>
                <c:pt idx="2520">
                  <c:v>328.36</c:v>
                </c:pt>
                <c:pt idx="2521">
                  <c:v>339.03</c:v>
                </c:pt>
                <c:pt idx="2522">
                  <c:v>314.60000000000002</c:v>
                </c:pt>
                <c:pt idx="2523">
                  <c:v>354.48</c:v>
                </c:pt>
                <c:pt idx="2524">
                  <c:v>396.36</c:v>
                </c:pt>
                <c:pt idx="2525">
                  <c:v>319.54000000000002</c:v>
                </c:pt>
                <c:pt idx="2526">
                  <c:v>318.85000000000002</c:v>
                </c:pt>
                <c:pt idx="2527">
                  <c:v>343.34</c:v>
                </c:pt>
                <c:pt idx="2528">
                  <c:v>341.25</c:v>
                </c:pt>
                <c:pt idx="2529">
                  <c:v>310.51</c:v>
                </c:pt>
                <c:pt idx="2530">
                  <c:v>325.99</c:v>
                </c:pt>
                <c:pt idx="2531">
                  <c:v>338.2</c:v>
                </c:pt>
                <c:pt idx="2532">
                  <c:v>278.56</c:v>
                </c:pt>
                <c:pt idx="2533">
                  <c:v>264.35000000000002</c:v>
                </c:pt>
                <c:pt idx="2534">
                  <c:v>333.47</c:v>
                </c:pt>
                <c:pt idx="2535">
                  <c:v>318.57</c:v>
                </c:pt>
                <c:pt idx="2536">
                  <c:v>330.83</c:v>
                </c:pt>
                <c:pt idx="2537">
                  <c:v>330.28</c:v>
                </c:pt>
                <c:pt idx="2538">
                  <c:v>335.12</c:v>
                </c:pt>
                <c:pt idx="2539">
                  <c:v>273.74</c:v>
                </c:pt>
                <c:pt idx="2540">
                  <c:v>266.36</c:v>
                </c:pt>
                <c:pt idx="2541">
                  <c:v>325.36</c:v>
                </c:pt>
                <c:pt idx="2542">
                  <c:v>319.33</c:v>
                </c:pt>
                <c:pt idx="2543">
                  <c:v>318.44</c:v>
                </c:pt>
                <c:pt idx="2544">
                  <c:v>344.82</c:v>
                </c:pt>
                <c:pt idx="2545">
                  <c:v>351.31</c:v>
                </c:pt>
                <c:pt idx="2546">
                  <c:v>259.92</c:v>
                </c:pt>
                <c:pt idx="2547">
                  <c:v>267.76</c:v>
                </c:pt>
                <c:pt idx="2548">
                  <c:v>347.34</c:v>
                </c:pt>
                <c:pt idx="2549">
                  <c:v>341.56</c:v>
                </c:pt>
                <c:pt idx="2550">
                  <c:v>306.13</c:v>
                </c:pt>
                <c:pt idx="2551">
                  <c:v>303.29000000000002</c:v>
                </c:pt>
                <c:pt idx="2552">
                  <c:v>365.17</c:v>
                </c:pt>
                <c:pt idx="2553">
                  <c:v>276.95999999999998</c:v>
                </c:pt>
                <c:pt idx="2554">
                  <c:v>304.56</c:v>
                </c:pt>
                <c:pt idx="2555">
                  <c:v>394.04</c:v>
                </c:pt>
                <c:pt idx="2556">
                  <c:v>361.59</c:v>
                </c:pt>
                <c:pt idx="2557">
                  <c:v>392.67</c:v>
                </c:pt>
                <c:pt idx="2558">
                  <c:v>344.78</c:v>
                </c:pt>
                <c:pt idx="2559">
                  <c:v>378.2</c:v>
                </c:pt>
                <c:pt idx="2560">
                  <c:v>279.82</c:v>
                </c:pt>
                <c:pt idx="2561">
                  <c:v>291.08</c:v>
                </c:pt>
                <c:pt idx="2562">
                  <c:v>349.01</c:v>
                </c:pt>
                <c:pt idx="2563">
                  <c:v>344.04</c:v>
                </c:pt>
                <c:pt idx="2564">
                  <c:v>332.25</c:v>
                </c:pt>
                <c:pt idx="2565">
                  <c:v>337.24</c:v>
                </c:pt>
                <c:pt idx="2566">
                  <c:v>358.53</c:v>
                </c:pt>
                <c:pt idx="2567">
                  <c:v>296.88</c:v>
                </c:pt>
                <c:pt idx="2568">
                  <c:v>299</c:v>
                </c:pt>
                <c:pt idx="2569">
                  <c:v>356.09</c:v>
                </c:pt>
                <c:pt idx="2570">
                  <c:v>341.81</c:v>
                </c:pt>
                <c:pt idx="2571">
                  <c:v>326.58</c:v>
                </c:pt>
                <c:pt idx="2572">
                  <c:v>338.35</c:v>
                </c:pt>
                <c:pt idx="2573">
                  <c:v>368.22</c:v>
                </c:pt>
                <c:pt idx="2574">
                  <c:v>317.05</c:v>
                </c:pt>
                <c:pt idx="2575">
                  <c:v>278.82</c:v>
                </c:pt>
                <c:pt idx="2576">
                  <c:v>373.49</c:v>
                </c:pt>
                <c:pt idx="2577">
                  <c:v>351.63</c:v>
                </c:pt>
                <c:pt idx="2578">
                  <c:v>344.29</c:v>
                </c:pt>
                <c:pt idx="2579">
                  <c:v>359.43</c:v>
                </c:pt>
                <c:pt idx="2580">
                  <c:v>372.54</c:v>
                </c:pt>
                <c:pt idx="2581">
                  <c:v>294.19</c:v>
                </c:pt>
                <c:pt idx="2582">
                  <c:v>289.66000000000003</c:v>
                </c:pt>
                <c:pt idx="2583">
                  <c:v>371.02</c:v>
                </c:pt>
                <c:pt idx="2584">
                  <c:v>352.65</c:v>
                </c:pt>
                <c:pt idx="2585">
                  <c:v>385.26</c:v>
                </c:pt>
                <c:pt idx="2586">
                  <c:v>377.09</c:v>
                </c:pt>
                <c:pt idx="2587">
                  <c:v>434.97</c:v>
                </c:pt>
                <c:pt idx="2588">
                  <c:v>334.55</c:v>
                </c:pt>
                <c:pt idx="2589">
                  <c:v>298.7</c:v>
                </c:pt>
                <c:pt idx="2590">
                  <c:v>382.88</c:v>
                </c:pt>
                <c:pt idx="2591">
                  <c:v>347.37</c:v>
                </c:pt>
                <c:pt idx="2592">
                  <c:v>351.75</c:v>
                </c:pt>
                <c:pt idx="2593">
                  <c:v>352.81</c:v>
                </c:pt>
                <c:pt idx="2594">
                  <c:v>389.34</c:v>
                </c:pt>
                <c:pt idx="2595">
                  <c:v>275.63</c:v>
                </c:pt>
                <c:pt idx="2596">
                  <c:v>292.95999999999998</c:v>
                </c:pt>
                <c:pt idx="2597">
                  <c:v>372.04</c:v>
                </c:pt>
                <c:pt idx="2598">
                  <c:v>364.88</c:v>
                </c:pt>
                <c:pt idx="2599">
                  <c:v>347</c:v>
                </c:pt>
                <c:pt idx="2600">
                  <c:v>332.37</c:v>
                </c:pt>
                <c:pt idx="2601">
                  <c:v>386.92</c:v>
                </c:pt>
                <c:pt idx="2602">
                  <c:v>292.66000000000003</c:v>
                </c:pt>
                <c:pt idx="2603">
                  <c:v>286.8</c:v>
                </c:pt>
                <c:pt idx="2604">
                  <c:v>363.21</c:v>
                </c:pt>
                <c:pt idx="2605">
                  <c:v>350.25</c:v>
                </c:pt>
                <c:pt idx="2606">
                  <c:v>345.81</c:v>
                </c:pt>
                <c:pt idx="2607">
                  <c:v>328.9</c:v>
                </c:pt>
                <c:pt idx="2608">
                  <c:v>389.85</c:v>
                </c:pt>
                <c:pt idx="2609">
                  <c:v>312.83999999999997</c:v>
                </c:pt>
                <c:pt idx="2610">
                  <c:v>306.25</c:v>
                </c:pt>
                <c:pt idx="2611">
                  <c:v>357.79</c:v>
                </c:pt>
                <c:pt idx="2612">
                  <c:v>350.07</c:v>
                </c:pt>
                <c:pt idx="2613">
                  <c:v>352.13</c:v>
                </c:pt>
                <c:pt idx="2614">
                  <c:v>358.53</c:v>
                </c:pt>
                <c:pt idx="2615">
                  <c:v>445.55</c:v>
                </c:pt>
                <c:pt idx="2616">
                  <c:v>335.35</c:v>
                </c:pt>
                <c:pt idx="2617">
                  <c:v>360.51</c:v>
                </c:pt>
                <c:pt idx="2618">
                  <c:v>449.85</c:v>
                </c:pt>
                <c:pt idx="2619">
                  <c:v>383.8</c:v>
                </c:pt>
                <c:pt idx="2620">
                  <c:v>375.51</c:v>
                </c:pt>
                <c:pt idx="2621">
                  <c:v>376.45</c:v>
                </c:pt>
                <c:pt idx="2622">
                  <c:v>398.09</c:v>
                </c:pt>
                <c:pt idx="2623">
                  <c:v>328.14</c:v>
                </c:pt>
                <c:pt idx="2624">
                  <c:v>317.10000000000002</c:v>
                </c:pt>
                <c:pt idx="2625">
                  <c:v>376.63</c:v>
                </c:pt>
                <c:pt idx="2626">
                  <c:v>383.22</c:v>
                </c:pt>
                <c:pt idx="2627">
                  <c:v>375.44</c:v>
                </c:pt>
                <c:pt idx="2628">
                  <c:v>362.85</c:v>
                </c:pt>
                <c:pt idx="2629">
                  <c:v>391.87</c:v>
                </c:pt>
                <c:pt idx="2630">
                  <c:v>315.85000000000002</c:v>
                </c:pt>
                <c:pt idx="2631">
                  <c:v>349.46</c:v>
                </c:pt>
                <c:pt idx="2632">
                  <c:v>427.14</c:v>
                </c:pt>
                <c:pt idx="2633">
                  <c:v>408.29</c:v>
                </c:pt>
                <c:pt idx="2634">
                  <c:v>425.15</c:v>
                </c:pt>
                <c:pt idx="2635">
                  <c:v>417.52</c:v>
                </c:pt>
                <c:pt idx="2636">
                  <c:v>439.19</c:v>
                </c:pt>
                <c:pt idx="2637">
                  <c:v>355.26</c:v>
                </c:pt>
                <c:pt idx="2638">
                  <c:v>331.31</c:v>
                </c:pt>
                <c:pt idx="2639">
                  <c:v>429.57</c:v>
                </c:pt>
                <c:pt idx="2640">
                  <c:v>426.47</c:v>
                </c:pt>
                <c:pt idx="2641">
                  <c:v>401.87</c:v>
                </c:pt>
                <c:pt idx="2642">
                  <c:v>358.39</c:v>
                </c:pt>
                <c:pt idx="2643">
                  <c:v>389.97</c:v>
                </c:pt>
                <c:pt idx="2644">
                  <c:v>300.56</c:v>
                </c:pt>
                <c:pt idx="2645">
                  <c:v>303.92</c:v>
                </c:pt>
                <c:pt idx="2646">
                  <c:v>439.35</c:v>
                </c:pt>
                <c:pt idx="2647">
                  <c:v>405.07</c:v>
                </c:pt>
                <c:pt idx="2648">
                  <c:v>428.19</c:v>
                </c:pt>
                <c:pt idx="2649">
                  <c:v>439.58</c:v>
                </c:pt>
                <c:pt idx="2650">
                  <c:v>391.8</c:v>
                </c:pt>
                <c:pt idx="2651">
                  <c:v>333.3</c:v>
                </c:pt>
                <c:pt idx="2652">
                  <c:v>322.04000000000002</c:v>
                </c:pt>
                <c:pt idx="2653">
                  <c:v>402.28</c:v>
                </c:pt>
                <c:pt idx="2654">
                  <c:v>364.82</c:v>
                </c:pt>
                <c:pt idx="2655">
                  <c:v>381.71</c:v>
                </c:pt>
                <c:pt idx="2656">
                  <c:v>359.98</c:v>
                </c:pt>
                <c:pt idx="2657">
                  <c:v>411.88</c:v>
                </c:pt>
                <c:pt idx="2658">
                  <c:v>318.26</c:v>
                </c:pt>
                <c:pt idx="2659">
                  <c:v>322.52</c:v>
                </c:pt>
                <c:pt idx="2660">
                  <c:v>377.65</c:v>
                </c:pt>
                <c:pt idx="2661">
                  <c:v>362.17</c:v>
                </c:pt>
                <c:pt idx="2662">
                  <c:v>416.72</c:v>
                </c:pt>
                <c:pt idx="2663">
                  <c:v>397.74</c:v>
                </c:pt>
                <c:pt idx="2664">
                  <c:v>447.82</c:v>
                </c:pt>
                <c:pt idx="2665">
                  <c:v>331.19</c:v>
                </c:pt>
                <c:pt idx="2666">
                  <c:v>358.39</c:v>
                </c:pt>
                <c:pt idx="2667">
                  <c:v>414.72</c:v>
                </c:pt>
                <c:pt idx="2668">
                  <c:v>416.17</c:v>
                </c:pt>
                <c:pt idx="2669">
                  <c:v>417.07</c:v>
                </c:pt>
                <c:pt idx="2670">
                  <c:v>400.83</c:v>
                </c:pt>
                <c:pt idx="2671">
                  <c:v>449.28</c:v>
                </c:pt>
                <c:pt idx="2672">
                  <c:v>351.17</c:v>
                </c:pt>
                <c:pt idx="2673">
                  <c:v>310.33</c:v>
                </c:pt>
                <c:pt idx="2674">
                  <c:v>379.51</c:v>
                </c:pt>
                <c:pt idx="2675">
                  <c:v>350.25</c:v>
                </c:pt>
                <c:pt idx="2676">
                  <c:v>432.48</c:v>
                </c:pt>
                <c:pt idx="2677">
                  <c:v>407.9</c:v>
                </c:pt>
                <c:pt idx="2678">
                  <c:v>482.85</c:v>
                </c:pt>
                <c:pt idx="2679">
                  <c:v>375.49</c:v>
                </c:pt>
                <c:pt idx="2680">
                  <c:v>337.48</c:v>
                </c:pt>
                <c:pt idx="2681">
                  <c:v>403.62</c:v>
                </c:pt>
                <c:pt idx="2682">
                  <c:v>383.91</c:v>
                </c:pt>
                <c:pt idx="2683">
                  <c:v>396.26</c:v>
                </c:pt>
                <c:pt idx="2684">
                  <c:v>391.64</c:v>
                </c:pt>
                <c:pt idx="2685">
                  <c:v>422.44</c:v>
                </c:pt>
                <c:pt idx="2686">
                  <c:v>335.04</c:v>
                </c:pt>
                <c:pt idx="2687">
                  <c:v>311.72000000000003</c:v>
                </c:pt>
                <c:pt idx="2688">
                  <c:v>415.93</c:v>
                </c:pt>
                <c:pt idx="2689">
                  <c:v>394.87</c:v>
                </c:pt>
                <c:pt idx="2690">
                  <c:v>375.92</c:v>
                </c:pt>
                <c:pt idx="2691">
                  <c:v>384.9</c:v>
                </c:pt>
                <c:pt idx="2692">
                  <c:v>418.3</c:v>
                </c:pt>
                <c:pt idx="2693">
                  <c:v>328.02</c:v>
                </c:pt>
                <c:pt idx="2694">
                  <c:v>333.46</c:v>
                </c:pt>
                <c:pt idx="2695">
                  <c:v>423.78</c:v>
                </c:pt>
                <c:pt idx="2696">
                  <c:v>400.33</c:v>
                </c:pt>
                <c:pt idx="2697">
                  <c:v>372.48</c:v>
                </c:pt>
                <c:pt idx="2698">
                  <c:v>394.98</c:v>
                </c:pt>
                <c:pt idx="2699">
                  <c:v>434.22</c:v>
                </c:pt>
                <c:pt idx="2700">
                  <c:v>334.08</c:v>
                </c:pt>
                <c:pt idx="2701">
                  <c:v>342.27</c:v>
                </c:pt>
                <c:pt idx="2702">
                  <c:v>430.54</c:v>
                </c:pt>
                <c:pt idx="2703">
                  <c:v>399.65</c:v>
                </c:pt>
                <c:pt idx="2704">
                  <c:v>390.64</c:v>
                </c:pt>
                <c:pt idx="2705">
                  <c:v>399.9</c:v>
                </c:pt>
                <c:pt idx="2706">
                  <c:v>420.45</c:v>
                </c:pt>
                <c:pt idx="2707">
                  <c:v>379.34</c:v>
                </c:pt>
                <c:pt idx="2708">
                  <c:v>374.32</c:v>
                </c:pt>
                <c:pt idx="2709">
                  <c:v>496.56</c:v>
                </c:pt>
                <c:pt idx="2710">
                  <c:v>441.58</c:v>
                </c:pt>
                <c:pt idx="2711">
                  <c:v>411.74</c:v>
                </c:pt>
                <c:pt idx="2712">
                  <c:v>399.55</c:v>
                </c:pt>
                <c:pt idx="2713">
                  <c:v>408.61</c:v>
                </c:pt>
                <c:pt idx="2714">
                  <c:v>338.94</c:v>
                </c:pt>
                <c:pt idx="2715">
                  <c:v>309.8</c:v>
                </c:pt>
                <c:pt idx="2716">
                  <c:v>420.71</c:v>
                </c:pt>
                <c:pt idx="2717">
                  <c:v>404.1</c:v>
                </c:pt>
                <c:pt idx="2718">
                  <c:v>386.65</c:v>
                </c:pt>
                <c:pt idx="2719">
                  <c:v>395.1</c:v>
                </c:pt>
                <c:pt idx="2720">
                  <c:v>448.21</c:v>
                </c:pt>
                <c:pt idx="2721">
                  <c:v>328.63</c:v>
                </c:pt>
                <c:pt idx="2722">
                  <c:v>322.08999999999997</c:v>
                </c:pt>
                <c:pt idx="2723">
                  <c:v>430.82</c:v>
                </c:pt>
                <c:pt idx="2724">
                  <c:v>416.82</c:v>
                </c:pt>
                <c:pt idx="2725">
                  <c:v>393.69</c:v>
                </c:pt>
                <c:pt idx="2726">
                  <c:v>405.59</c:v>
                </c:pt>
                <c:pt idx="2727">
                  <c:v>440.98</c:v>
                </c:pt>
                <c:pt idx="2728">
                  <c:v>325.83</c:v>
                </c:pt>
                <c:pt idx="2729">
                  <c:v>328.87</c:v>
                </c:pt>
                <c:pt idx="2730">
                  <c:v>427.86</c:v>
                </c:pt>
                <c:pt idx="2731">
                  <c:v>413.54</c:v>
                </c:pt>
                <c:pt idx="2732">
                  <c:v>400.29</c:v>
                </c:pt>
                <c:pt idx="2733">
                  <c:v>383.26</c:v>
                </c:pt>
                <c:pt idx="2734">
                  <c:v>448.6</c:v>
                </c:pt>
                <c:pt idx="2735">
                  <c:v>328.33</c:v>
                </c:pt>
                <c:pt idx="2736">
                  <c:v>330.64</c:v>
                </c:pt>
                <c:pt idx="2737">
                  <c:v>417.37</c:v>
                </c:pt>
                <c:pt idx="2738">
                  <c:v>473.8</c:v>
                </c:pt>
                <c:pt idx="2739">
                  <c:v>464.29</c:v>
                </c:pt>
                <c:pt idx="2740">
                  <c:v>459.26</c:v>
                </c:pt>
                <c:pt idx="2741">
                  <c:v>496.21</c:v>
                </c:pt>
                <c:pt idx="2742">
                  <c:v>335.8</c:v>
                </c:pt>
                <c:pt idx="2743">
                  <c:v>341.89</c:v>
                </c:pt>
                <c:pt idx="2744">
                  <c:v>384.24</c:v>
                </c:pt>
                <c:pt idx="2745">
                  <c:v>390.94</c:v>
                </c:pt>
                <c:pt idx="2746">
                  <c:v>397.3</c:v>
                </c:pt>
                <c:pt idx="2747">
                  <c:v>380.83</c:v>
                </c:pt>
                <c:pt idx="2748">
                  <c:v>430.58</c:v>
                </c:pt>
                <c:pt idx="2749">
                  <c:v>332.86</c:v>
                </c:pt>
                <c:pt idx="2750">
                  <c:v>356.05</c:v>
                </c:pt>
                <c:pt idx="2751">
                  <c:v>432.78</c:v>
                </c:pt>
                <c:pt idx="2752">
                  <c:v>388.94</c:v>
                </c:pt>
                <c:pt idx="2753">
                  <c:v>392.66</c:v>
                </c:pt>
                <c:pt idx="2754">
                  <c:v>393.57</c:v>
                </c:pt>
                <c:pt idx="2755">
                  <c:v>420.66</c:v>
                </c:pt>
                <c:pt idx="2756">
                  <c:v>337.59</c:v>
                </c:pt>
                <c:pt idx="2757">
                  <c:v>326.31</c:v>
                </c:pt>
                <c:pt idx="2758">
                  <c:v>400.79</c:v>
                </c:pt>
                <c:pt idx="2759">
                  <c:v>401.82</c:v>
                </c:pt>
                <c:pt idx="2760">
                  <c:v>401.9</c:v>
                </c:pt>
                <c:pt idx="2761">
                  <c:v>384.93</c:v>
                </c:pt>
                <c:pt idx="2762">
                  <c:v>436.6</c:v>
                </c:pt>
                <c:pt idx="2763">
                  <c:v>327.81</c:v>
                </c:pt>
                <c:pt idx="2764">
                  <c:v>338.28</c:v>
                </c:pt>
                <c:pt idx="2765">
                  <c:v>423.88</c:v>
                </c:pt>
                <c:pt idx="2766">
                  <c:v>394.05</c:v>
                </c:pt>
                <c:pt idx="2767">
                  <c:v>459.8</c:v>
                </c:pt>
                <c:pt idx="2768">
                  <c:v>446.59</c:v>
                </c:pt>
                <c:pt idx="2769">
                  <c:v>535.73</c:v>
                </c:pt>
                <c:pt idx="2770">
                  <c:v>420.87</c:v>
                </c:pt>
                <c:pt idx="2771">
                  <c:v>358.94</c:v>
                </c:pt>
                <c:pt idx="2772">
                  <c:v>453.1</c:v>
                </c:pt>
                <c:pt idx="2773">
                  <c:v>413.56</c:v>
                </c:pt>
                <c:pt idx="2774">
                  <c:v>427.32</c:v>
                </c:pt>
                <c:pt idx="2775">
                  <c:v>430</c:v>
                </c:pt>
                <c:pt idx="2776">
                  <c:v>465.07</c:v>
                </c:pt>
                <c:pt idx="2777">
                  <c:v>365.51</c:v>
                </c:pt>
                <c:pt idx="2778">
                  <c:v>367.85</c:v>
                </c:pt>
                <c:pt idx="2779">
                  <c:v>461.63</c:v>
                </c:pt>
                <c:pt idx="2780">
                  <c:v>445.09</c:v>
                </c:pt>
                <c:pt idx="2781">
                  <c:v>425.26</c:v>
                </c:pt>
                <c:pt idx="2782">
                  <c:v>418.05</c:v>
                </c:pt>
                <c:pt idx="2783">
                  <c:v>454.85</c:v>
                </c:pt>
                <c:pt idx="2784">
                  <c:v>362.31</c:v>
                </c:pt>
                <c:pt idx="2785">
                  <c:v>364.07</c:v>
                </c:pt>
                <c:pt idx="2786">
                  <c:v>445.38</c:v>
                </c:pt>
                <c:pt idx="2787">
                  <c:v>416.85</c:v>
                </c:pt>
                <c:pt idx="2788">
                  <c:v>427.77</c:v>
                </c:pt>
                <c:pt idx="2789">
                  <c:v>436.07</c:v>
                </c:pt>
                <c:pt idx="2790">
                  <c:v>476.15</c:v>
                </c:pt>
                <c:pt idx="2791">
                  <c:v>361.4</c:v>
                </c:pt>
                <c:pt idx="2792">
                  <c:v>363.28</c:v>
                </c:pt>
                <c:pt idx="2793">
                  <c:v>443.34</c:v>
                </c:pt>
                <c:pt idx="2794">
                  <c:v>433.3</c:v>
                </c:pt>
                <c:pt idx="2795">
                  <c:v>422.67</c:v>
                </c:pt>
                <c:pt idx="2796">
                  <c:v>441.17</c:v>
                </c:pt>
                <c:pt idx="2797">
                  <c:v>445.17</c:v>
                </c:pt>
                <c:pt idx="2798">
                  <c:v>418.57</c:v>
                </c:pt>
                <c:pt idx="2799">
                  <c:v>428.46</c:v>
                </c:pt>
                <c:pt idx="2800">
                  <c:v>539.03</c:v>
                </c:pt>
                <c:pt idx="2801">
                  <c:v>551.92999999999995</c:v>
                </c:pt>
                <c:pt idx="2802">
                  <c:v>448.73</c:v>
                </c:pt>
                <c:pt idx="2803">
                  <c:v>430.69</c:v>
                </c:pt>
                <c:pt idx="2804">
                  <c:v>478.32</c:v>
                </c:pt>
                <c:pt idx="2805">
                  <c:v>353.79</c:v>
                </c:pt>
                <c:pt idx="2806">
                  <c:v>376.38</c:v>
                </c:pt>
                <c:pt idx="2807">
                  <c:v>455.17</c:v>
                </c:pt>
                <c:pt idx="2808">
                  <c:v>456.26</c:v>
                </c:pt>
                <c:pt idx="2809">
                  <c:v>436.75</c:v>
                </c:pt>
                <c:pt idx="2810">
                  <c:v>442.51</c:v>
                </c:pt>
                <c:pt idx="2811">
                  <c:v>471.13</c:v>
                </c:pt>
                <c:pt idx="2812">
                  <c:v>400.62</c:v>
                </c:pt>
                <c:pt idx="2813">
                  <c:v>373.18</c:v>
                </c:pt>
                <c:pt idx="2814">
                  <c:v>490.68</c:v>
                </c:pt>
                <c:pt idx="2815">
                  <c:v>454.91</c:v>
                </c:pt>
                <c:pt idx="2816">
                  <c:v>450.49</c:v>
                </c:pt>
                <c:pt idx="2817">
                  <c:v>448.98</c:v>
                </c:pt>
                <c:pt idx="2818">
                  <c:v>484.84</c:v>
                </c:pt>
                <c:pt idx="2819">
                  <c:v>351.78</c:v>
                </c:pt>
                <c:pt idx="2820">
                  <c:v>373.74</c:v>
                </c:pt>
                <c:pt idx="2821">
                  <c:v>477.53</c:v>
                </c:pt>
                <c:pt idx="2822">
                  <c:v>443.42</c:v>
                </c:pt>
                <c:pt idx="2823">
                  <c:v>425.35</c:v>
                </c:pt>
                <c:pt idx="2824">
                  <c:v>443.37</c:v>
                </c:pt>
                <c:pt idx="2825">
                  <c:v>502.29</c:v>
                </c:pt>
                <c:pt idx="2826">
                  <c:v>394.07</c:v>
                </c:pt>
                <c:pt idx="2827">
                  <c:v>376.63</c:v>
                </c:pt>
                <c:pt idx="2828">
                  <c:v>550.79</c:v>
                </c:pt>
                <c:pt idx="2829">
                  <c:v>505.06</c:v>
                </c:pt>
                <c:pt idx="2830">
                  <c:v>494.07</c:v>
                </c:pt>
                <c:pt idx="2831">
                  <c:v>506.25</c:v>
                </c:pt>
                <c:pt idx="2832">
                  <c:v>510.23</c:v>
                </c:pt>
                <c:pt idx="2833">
                  <c:v>381.14</c:v>
                </c:pt>
                <c:pt idx="2834">
                  <c:v>381.55</c:v>
                </c:pt>
                <c:pt idx="2835">
                  <c:v>471.34</c:v>
                </c:pt>
                <c:pt idx="2836">
                  <c:v>478.64</c:v>
                </c:pt>
                <c:pt idx="2837">
                  <c:v>474.86</c:v>
                </c:pt>
                <c:pt idx="2838">
                  <c:v>482.91</c:v>
                </c:pt>
                <c:pt idx="2839">
                  <c:v>486.84</c:v>
                </c:pt>
                <c:pt idx="2840">
                  <c:v>388.87</c:v>
                </c:pt>
                <c:pt idx="2841">
                  <c:v>364.26</c:v>
                </c:pt>
                <c:pt idx="2842">
                  <c:v>495.47</c:v>
                </c:pt>
                <c:pt idx="2843">
                  <c:v>436.91</c:v>
                </c:pt>
                <c:pt idx="2844">
                  <c:v>455.72</c:v>
                </c:pt>
                <c:pt idx="2845">
                  <c:v>437.87</c:v>
                </c:pt>
                <c:pt idx="2846">
                  <c:v>481</c:v>
                </c:pt>
                <c:pt idx="2847">
                  <c:v>373.49</c:v>
                </c:pt>
                <c:pt idx="2848">
                  <c:v>376.6</c:v>
                </c:pt>
                <c:pt idx="2849">
                  <c:v>468.09</c:v>
                </c:pt>
                <c:pt idx="2850">
                  <c:v>445.33</c:v>
                </c:pt>
                <c:pt idx="2851">
                  <c:v>464.09</c:v>
                </c:pt>
                <c:pt idx="2852">
                  <c:v>437.77</c:v>
                </c:pt>
                <c:pt idx="2853">
                  <c:v>491.99</c:v>
                </c:pt>
                <c:pt idx="2854">
                  <c:v>401.4</c:v>
                </c:pt>
                <c:pt idx="2855">
                  <c:v>377.89</c:v>
                </c:pt>
                <c:pt idx="2856">
                  <c:v>465.66</c:v>
                </c:pt>
                <c:pt idx="2857">
                  <c:v>449.64</c:v>
                </c:pt>
                <c:pt idx="2858">
                  <c:v>468.8</c:v>
                </c:pt>
                <c:pt idx="2859">
                  <c:v>523.72</c:v>
                </c:pt>
                <c:pt idx="2860">
                  <c:v>554.04999999999995</c:v>
                </c:pt>
                <c:pt idx="2861">
                  <c:v>460.15</c:v>
                </c:pt>
                <c:pt idx="2862">
                  <c:v>434.82</c:v>
                </c:pt>
                <c:pt idx="2863">
                  <c:v>495.44</c:v>
                </c:pt>
                <c:pt idx="2864">
                  <c:v>468.51</c:v>
                </c:pt>
                <c:pt idx="2865">
                  <c:v>458.56</c:v>
                </c:pt>
                <c:pt idx="2866">
                  <c:v>451.19</c:v>
                </c:pt>
                <c:pt idx="2867">
                  <c:v>487.55</c:v>
                </c:pt>
                <c:pt idx="2868">
                  <c:v>400.83</c:v>
                </c:pt>
                <c:pt idx="2869">
                  <c:v>410.47</c:v>
                </c:pt>
                <c:pt idx="2870">
                  <c:v>477.13</c:v>
                </c:pt>
                <c:pt idx="2871">
                  <c:v>469.2</c:v>
                </c:pt>
                <c:pt idx="2872">
                  <c:v>433.85</c:v>
                </c:pt>
                <c:pt idx="2873">
                  <c:v>454.72</c:v>
                </c:pt>
                <c:pt idx="2874">
                  <c:v>499.43</c:v>
                </c:pt>
                <c:pt idx="2875">
                  <c:v>380.78</c:v>
                </c:pt>
                <c:pt idx="2876">
                  <c:v>380.4</c:v>
                </c:pt>
                <c:pt idx="2877">
                  <c:v>476.7</c:v>
                </c:pt>
                <c:pt idx="2878">
                  <c:v>466.89</c:v>
                </c:pt>
                <c:pt idx="2879">
                  <c:v>460.23</c:v>
                </c:pt>
                <c:pt idx="2880">
                  <c:v>431.76</c:v>
                </c:pt>
                <c:pt idx="2881">
                  <c:v>470.41</c:v>
                </c:pt>
                <c:pt idx="2882">
                  <c:v>384.98</c:v>
                </c:pt>
                <c:pt idx="2883">
                  <c:v>399.76</c:v>
                </c:pt>
                <c:pt idx="2884">
                  <c:v>447.83</c:v>
                </c:pt>
                <c:pt idx="2885">
                  <c:v>455.89</c:v>
                </c:pt>
                <c:pt idx="2886">
                  <c:v>455.53</c:v>
                </c:pt>
                <c:pt idx="2887">
                  <c:v>482.11</c:v>
                </c:pt>
                <c:pt idx="2888">
                  <c:v>494.51</c:v>
                </c:pt>
                <c:pt idx="2889">
                  <c:v>458.54</c:v>
                </c:pt>
                <c:pt idx="2890">
                  <c:v>454.68</c:v>
                </c:pt>
                <c:pt idx="2891">
                  <c:v>528.11</c:v>
                </c:pt>
                <c:pt idx="2892">
                  <c:v>547.91</c:v>
                </c:pt>
                <c:pt idx="2893">
                  <c:v>468.72</c:v>
                </c:pt>
                <c:pt idx="2894">
                  <c:v>472.81</c:v>
                </c:pt>
                <c:pt idx="2895">
                  <c:v>557.82000000000005</c:v>
                </c:pt>
                <c:pt idx="2896">
                  <c:v>366.74</c:v>
                </c:pt>
                <c:pt idx="2897">
                  <c:v>419.95</c:v>
                </c:pt>
                <c:pt idx="2898">
                  <c:v>484.98</c:v>
                </c:pt>
                <c:pt idx="2899">
                  <c:v>469.72</c:v>
                </c:pt>
                <c:pt idx="2900">
                  <c:v>465.07</c:v>
                </c:pt>
                <c:pt idx="2901">
                  <c:v>459.78</c:v>
                </c:pt>
                <c:pt idx="2902">
                  <c:v>495.01</c:v>
                </c:pt>
                <c:pt idx="2903">
                  <c:v>400.46</c:v>
                </c:pt>
                <c:pt idx="2904">
                  <c:v>374.66</c:v>
                </c:pt>
                <c:pt idx="2905">
                  <c:v>499.48</c:v>
                </c:pt>
                <c:pt idx="2906">
                  <c:v>459.89</c:v>
                </c:pt>
                <c:pt idx="2907">
                  <c:v>449.92</c:v>
                </c:pt>
                <c:pt idx="2908">
                  <c:v>459.42</c:v>
                </c:pt>
                <c:pt idx="2909">
                  <c:v>520.53</c:v>
                </c:pt>
                <c:pt idx="2910">
                  <c:v>388.37</c:v>
                </c:pt>
                <c:pt idx="2911">
                  <c:v>400.86</c:v>
                </c:pt>
                <c:pt idx="2912">
                  <c:v>478.78</c:v>
                </c:pt>
                <c:pt idx="2913">
                  <c:v>476.3</c:v>
                </c:pt>
                <c:pt idx="2914">
                  <c:v>475.29</c:v>
                </c:pt>
                <c:pt idx="2915">
                  <c:v>491.54</c:v>
                </c:pt>
                <c:pt idx="2916">
                  <c:v>500.51</c:v>
                </c:pt>
                <c:pt idx="2917">
                  <c:v>405.2</c:v>
                </c:pt>
                <c:pt idx="2918">
                  <c:v>397.22</c:v>
                </c:pt>
                <c:pt idx="2919">
                  <c:v>507.1</c:v>
                </c:pt>
                <c:pt idx="2920">
                  <c:v>524.02</c:v>
                </c:pt>
                <c:pt idx="2921">
                  <c:v>547.54</c:v>
                </c:pt>
                <c:pt idx="2922">
                  <c:v>554.82000000000005</c:v>
                </c:pt>
                <c:pt idx="2923">
                  <c:v>601.66</c:v>
                </c:pt>
                <c:pt idx="2924">
                  <c:v>413.83</c:v>
                </c:pt>
                <c:pt idx="2925">
                  <c:v>416.17</c:v>
                </c:pt>
                <c:pt idx="2926">
                  <c:v>507.86</c:v>
                </c:pt>
                <c:pt idx="2927">
                  <c:v>488.42</c:v>
                </c:pt>
                <c:pt idx="2928">
                  <c:v>508.27</c:v>
                </c:pt>
                <c:pt idx="2929">
                  <c:v>499.64</c:v>
                </c:pt>
                <c:pt idx="2930">
                  <c:v>536.77</c:v>
                </c:pt>
                <c:pt idx="2931">
                  <c:v>405.86</c:v>
                </c:pt>
                <c:pt idx="2932">
                  <c:v>399.55</c:v>
                </c:pt>
                <c:pt idx="2933">
                  <c:v>523.46</c:v>
                </c:pt>
                <c:pt idx="2934">
                  <c:v>498.04</c:v>
                </c:pt>
                <c:pt idx="2935">
                  <c:v>506.73</c:v>
                </c:pt>
                <c:pt idx="2936">
                  <c:v>476.5</c:v>
                </c:pt>
                <c:pt idx="2937">
                  <c:v>520.77</c:v>
                </c:pt>
                <c:pt idx="2938">
                  <c:v>388.63</c:v>
                </c:pt>
                <c:pt idx="2939">
                  <c:v>406.78</c:v>
                </c:pt>
                <c:pt idx="2940">
                  <c:v>524.05999999999995</c:v>
                </c:pt>
                <c:pt idx="2941">
                  <c:v>478.5</c:v>
                </c:pt>
                <c:pt idx="2942">
                  <c:v>494.61</c:v>
                </c:pt>
                <c:pt idx="2943">
                  <c:v>482.52</c:v>
                </c:pt>
                <c:pt idx="2944">
                  <c:v>528.83000000000004</c:v>
                </c:pt>
                <c:pt idx="2945">
                  <c:v>395.79</c:v>
                </c:pt>
                <c:pt idx="2946">
                  <c:v>413.74</c:v>
                </c:pt>
                <c:pt idx="2947">
                  <c:v>466.01</c:v>
                </c:pt>
                <c:pt idx="2948">
                  <c:v>482.57</c:v>
                </c:pt>
                <c:pt idx="2949">
                  <c:v>461.55</c:v>
                </c:pt>
                <c:pt idx="2950">
                  <c:v>502.85</c:v>
                </c:pt>
                <c:pt idx="2951">
                  <c:v>615.75</c:v>
                </c:pt>
                <c:pt idx="2952">
                  <c:v>482.18</c:v>
                </c:pt>
                <c:pt idx="2953">
                  <c:v>516.36</c:v>
                </c:pt>
                <c:pt idx="2954">
                  <c:v>588.95000000000005</c:v>
                </c:pt>
                <c:pt idx="2955">
                  <c:v>527.61</c:v>
                </c:pt>
                <c:pt idx="2956">
                  <c:v>515.35</c:v>
                </c:pt>
                <c:pt idx="2957">
                  <c:v>497.78</c:v>
                </c:pt>
                <c:pt idx="2958">
                  <c:v>558.52</c:v>
                </c:pt>
                <c:pt idx="2959">
                  <c:v>409.49</c:v>
                </c:pt>
                <c:pt idx="2960">
                  <c:v>413.73</c:v>
                </c:pt>
                <c:pt idx="2961">
                  <c:v>517.25</c:v>
                </c:pt>
                <c:pt idx="2962">
                  <c:v>493.38</c:v>
                </c:pt>
                <c:pt idx="2963">
                  <c:v>485.44</c:v>
                </c:pt>
                <c:pt idx="2964">
                  <c:v>519.73</c:v>
                </c:pt>
                <c:pt idx="2965">
                  <c:v>537.54999999999995</c:v>
                </c:pt>
                <c:pt idx="2966">
                  <c:v>431.44</c:v>
                </c:pt>
                <c:pt idx="2967">
                  <c:v>417.56</c:v>
                </c:pt>
                <c:pt idx="2968">
                  <c:v>499.02</c:v>
                </c:pt>
                <c:pt idx="2969">
                  <c:v>505.39</c:v>
                </c:pt>
                <c:pt idx="2970">
                  <c:v>472.57</c:v>
                </c:pt>
                <c:pt idx="2971">
                  <c:v>500.3</c:v>
                </c:pt>
                <c:pt idx="2972">
                  <c:v>520.86</c:v>
                </c:pt>
                <c:pt idx="2973">
                  <c:v>456.02</c:v>
                </c:pt>
                <c:pt idx="2974">
                  <c:v>439.84</c:v>
                </c:pt>
                <c:pt idx="2975">
                  <c:v>527.99</c:v>
                </c:pt>
                <c:pt idx="2976">
                  <c:v>520.34</c:v>
                </c:pt>
                <c:pt idx="2977">
                  <c:v>488.6</c:v>
                </c:pt>
                <c:pt idx="2978">
                  <c:v>509.51</c:v>
                </c:pt>
                <c:pt idx="2979">
                  <c:v>544.45000000000005</c:v>
                </c:pt>
                <c:pt idx="2980">
                  <c:v>430.1</c:v>
                </c:pt>
                <c:pt idx="2981">
                  <c:v>512.05999999999995</c:v>
                </c:pt>
                <c:pt idx="2982">
                  <c:v>618.03</c:v>
                </c:pt>
                <c:pt idx="2983">
                  <c:v>620.54</c:v>
                </c:pt>
                <c:pt idx="2984">
                  <c:v>584.66999999999996</c:v>
                </c:pt>
                <c:pt idx="2985">
                  <c:v>519.55999999999995</c:v>
                </c:pt>
                <c:pt idx="2986">
                  <c:v>575.79999999999995</c:v>
                </c:pt>
                <c:pt idx="2987">
                  <c:v>456.22</c:v>
                </c:pt>
                <c:pt idx="2988">
                  <c:v>436.58</c:v>
                </c:pt>
                <c:pt idx="2989">
                  <c:v>600.41999999999996</c:v>
                </c:pt>
                <c:pt idx="2990">
                  <c:v>559.29999999999995</c:v>
                </c:pt>
                <c:pt idx="2991">
                  <c:v>544.63</c:v>
                </c:pt>
                <c:pt idx="2992">
                  <c:v>536.12</c:v>
                </c:pt>
                <c:pt idx="2993">
                  <c:v>574.36</c:v>
                </c:pt>
                <c:pt idx="2994">
                  <c:v>439.45</c:v>
                </c:pt>
                <c:pt idx="2995">
                  <c:v>455.97</c:v>
                </c:pt>
                <c:pt idx="2996">
                  <c:v>565.85</c:v>
                </c:pt>
                <c:pt idx="2997">
                  <c:v>566.54</c:v>
                </c:pt>
                <c:pt idx="2998">
                  <c:v>594.36</c:v>
                </c:pt>
                <c:pt idx="2999">
                  <c:v>585.72</c:v>
                </c:pt>
                <c:pt idx="3000">
                  <c:v>601.86</c:v>
                </c:pt>
                <c:pt idx="3001">
                  <c:v>485.01</c:v>
                </c:pt>
                <c:pt idx="3002">
                  <c:v>492.89</c:v>
                </c:pt>
                <c:pt idx="3003">
                  <c:v>651.21</c:v>
                </c:pt>
                <c:pt idx="3004">
                  <c:v>598.29</c:v>
                </c:pt>
                <c:pt idx="3005">
                  <c:v>564.89</c:v>
                </c:pt>
                <c:pt idx="3006">
                  <c:v>597.04</c:v>
                </c:pt>
                <c:pt idx="3007">
                  <c:v>608.23</c:v>
                </c:pt>
                <c:pt idx="3008">
                  <c:v>472.1</c:v>
                </c:pt>
                <c:pt idx="3009">
                  <c:v>447.16</c:v>
                </c:pt>
                <c:pt idx="3010">
                  <c:v>560.21</c:v>
                </c:pt>
                <c:pt idx="3011">
                  <c:v>556.25</c:v>
                </c:pt>
                <c:pt idx="3012">
                  <c:v>591.46</c:v>
                </c:pt>
                <c:pt idx="3013">
                  <c:v>589.42999999999995</c:v>
                </c:pt>
                <c:pt idx="3014">
                  <c:v>630.77</c:v>
                </c:pt>
                <c:pt idx="3015">
                  <c:v>523.11</c:v>
                </c:pt>
                <c:pt idx="3016">
                  <c:v>415.27</c:v>
                </c:pt>
                <c:pt idx="3017">
                  <c:v>498.18</c:v>
                </c:pt>
                <c:pt idx="3018">
                  <c:v>509.25</c:v>
                </c:pt>
                <c:pt idx="3019">
                  <c:v>524.78</c:v>
                </c:pt>
                <c:pt idx="3020">
                  <c:v>534.82000000000005</c:v>
                </c:pt>
                <c:pt idx="3021">
                  <c:v>550.36</c:v>
                </c:pt>
                <c:pt idx="3022">
                  <c:v>432.43</c:v>
                </c:pt>
                <c:pt idx="3023">
                  <c:v>456.67</c:v>
                </c:pt>
                <c:pt idx="3024">
                  <c:v>513.09</c:v>
                </c:pt>
                <c:pt idx="3025">
                  <c:v>510.22</c:v>
                </c:pt>
                <c:pt idx="3026">
                  <c:v>519.17999999999995</c:v>
                </c:pt>
                <c:pt idx="3027">
                  <c:v>523.19000000000005</c:v>
                </c:pt>
                <c:pt idx="3028">
                  <c:v>604.6</c:v>
                </c:pt>
                <c:pt idx="3029">
                  <c:v>483.26</c:v>
                </c:pt>
                <c:pt idx="3030">
                  <c:v>440.29</c:v>
                </c:pt>
                <c:pt idx="3031">
                  <c:v>585.04</c:v>
                </c:pt>
                <c:pt idx="3032">
                  <c:v>575.58000000000004</c:v>
                </c:pt>
                <c:pt idx="3033">
                  <c:v>551.12</c:v>
                </c:pt>
                <c:pt idx="3034">
                  <c:v>568.86</c:v>
                </c:pt>
                <c:pt idx="3035">
                  <c:v>620.9</c:v>
                </c:pt>
                <c:pt idx="3036">
                  <c:v>476.84</c:v>
                </c:pt>
                <c:pt idx="3037">
                  <c:v>485.58</c:v>
                </c:pt>
                <c:pt idx="3038">
                  <c:v>579.85</c:v>
                </c:pt>
                <c:pt idx="3039">
                  <c:v>513.03</c:v>
                </c:pt>
                <c:pt idx="3040">
                  <c:v>525.67999999999995</c:v>
                </c:pt>
                <c:pt idx="3041">
                  <c:v>518.66</c:v>
                </c:pt>
                <c:pt idx="3042">
                  <c:v>630.72</c:v>
                </c:pt>
                <c:pt idx="3043">
                  <c:v>508.61</c:v>
                </c:pt>
                <c:pt idx="3044">
                  <c:v>540.74</c:v>
                </c:pt>
                <c:pt idx="3045">
                  <c:v>613.38</c:v>
                </c:pt>
                <c:pt idx="3046">
                  <c:v>558.34</c:v>
                </c:pt>
                <c:pt idx="3047">
                  <c:v>534.14</c:v>
                </c:pt>
                <c:pt idx="3048">
                  <c:v>546.47</c:v>
                </c:pt>
                <c:pt idx="3049">
                  <c:v>602.13</c:v>
                </c:pt>
                <c:pt idx="3050">
                  <c:v>436.44</c:v>
                </c:pt>
                <c:pt idx="3051">
                  <c:v>447.16</c:v>
                </c:pt>
                <c:pt idx="3052">
                  <c:v>561.89</c:v>
                </c:pt>
                <c:pt idx="3053">
                  <c:v>526.89</c:v>
                </c:pt>
                <c:pt idx="3054">
                  <c:v>567.66</c:v>
                </c:pt>
                <c:pt idx="3055">
                  <c:v>525.71</c:v>
                </c:pt>
                <c:pt idx="3056">
                  <c:v>573.75</c:v>
                </c:pt>
                <c:pt idx="3057">
                  <c:v>461.95</c:v>
                </c:pt>
                <c:pt idx="3058">
                  <c:v>439.18</c:v>
                </c:pt>
                <c:pt idx="3059">
                  <c:v>560.15</c:v>
                </c:pt>
                <c:pt idx="3060">
                  <c:v>544.72</c:v>
                </c:pt>
                <c:pt idx="3061">
                  <c:v>534.19000000000005</c:v>
                </c:pt>
                <c:pt idx="3062">
                  <c:v>538.07000000000005</c:v>
                </c:pt>
                <c:pt idx="3063">
                  <c:v>574.17999999999995</c:v>
                </c:pt>
                <c:pt idx="3064">
                  <c:v>434.13</c:v>
                </c:pt>
                <c:pt idx="3065">
                  <c:v>463.85</c:v>
                </c:pt>
                <c:pt idx="3066">
                  <c:v>594.97</c:v>
                </c:pt>
                <c:pt idx="3067">
                  <c:v>539.88</c:v>
                </c:pt>
                <c:pt idx="3068">
                  <c:v>543.23</c:v>
                </c:pt>
                <c:pt idx="3069">
                  <c:v>550.79</c:v>
                </c:pt>
                <c:pt idx="3070">
                  <c:v>562.20000000000005</c:v>
                </c:pt>
                <c:pt idx="3071">
                  <c:v>486.2</c:v>
                </c:pt>
                <c:pt idx="3072">
                  <c:v>461.92</c:v>
                </c:pt>
                <c:pt idx="3073">
                  <c:v>681.92</c:v>
                </c:pt>
                <c:pt idx="3074">
                  <c:v>606.87</c:v>
                </c:pt>
                <c:pt idx="3075">
                  <c:v>664.81</c:v>
                </c:pt>
                <c:pt idx="3076">
                  <c:v>645.08000000000004</c:v>
                </c:pt>
                <c:pt idx="3077">
                  <c:v>601.14</c:v>
                </c:pt>
                <c:pt idx="3078">
                  <c:v>469.81</c:v>
                </c:pt>
                <c:pt idx="3079">
                  <c:v>461.88</c:v>
                </c:pt>
                <c:pt idx="3080">
                  <c:v>595.35</c:v>
                </c:pt>
                <c:pt idx="3081">
                  <c:v>550.5</c:v>
                </c:pt>
                <c:pt idx="3082">
                  <c:v>515.84</c:v>
                </c:pt>
                <c:pt idx="3083">
                  <c:v>529.82000000000005</c:v>
                </c:pt>
                <c:pt idx="3084">
                  <c:v>588.99</c:v>
                </c:pt>
                <c:pt idx="3085">
                  <c:v>471.06</c:v>
                </c:pt>
                <c:pt idx="3086">
                  <c:v>465.03</c:v>
                </c:pt>
                <c:pt idx="3087">
                  <c:v>595.65</c:v>
                </c:pt>
                <c:pt idx="3088">
                  <c:v>516.11</c:v>
                </c:pt>
                <c:pt idx="3089">
                  <c:v>550.54999999999995</c:v>
                </c:pt>
                <c:pt idx="3090">
                  <c:v>518.29999999999995</c:v>
                </c:pt>
                <c:pt idx="3091">
                  <c:v>604.54</c:v>
                </c:pt>
                <c:pt idx="3092">
                  <c:v>464.41</c:v>
                </c:pt>
                <c:pt idx="3093">
                  <c:v>472.87</c:v>
                </c:pt>
                <c:pt idx="3094">
                  <c:v>561.4</c:v>
                </c:pt>
                <c:pt idx="3095">
                  <c:v>569.24</c:v>
                </c:pt>
                <c:pt idx="3096">
                  <c:v>565.33000000000004</c:v>
                </c:pt>
                <c:pt idx="3097">
                  <c:v>557.79</c:v>
                </c:pt>
                <c:pt idx="3098">
                  <c:v>589.91999999999996</c:v>
                </c:pt>
                <c:pt idx="3099">
                  <c:v>475.5</c:v>
                </c:pt>
                <c:pt idx="3100">
                  <c:v>454.34</c:v>
                </c:pt>
                <c:pt idx="3101">
                  <c:v>589.66999999999996</c:v>
                </c:pt>
                <c:pt idx="3102">
                  <c:v>575.32000000000005</c:v>
                </c:pt>
                <c:pt idx="3103">
                  <c:v>565.79999999999995</c:v>
                </c:pt>
                <c:pt idx="3104">
                  <c:v>616.62</c:v>
                </c:pt>
                <c:pt idx="3105">
                  <c:v>687.69</c:v>
                </c:pt>
                <c:pt idx="3106">
                  <c:v>521.41999999999996</c:v>
                </c:pt>
                <c:pt idx="3107">
                  <c:v>557.39</c:v>
                </c:pt>
                <c:pt idx="3108">
                  <c:v>594.42999999999995</c:v>
                </c:pt>
                <c:pt idx="3109">
                  <c:v>527.58000000000004</c:v>
                </c:pt>
                <c:pt idx="3110">
                  <c:v>539.45000000000005</c:v>
                </c:pt>
                <c:pt idx="3111">
                  <c:v>554.17999999999995</c:v>
                </c:pt>
                <c:pt idx="3112">
                  <c:v>598.6</c:v>
                </c:pt>
                <c:pt idx="3113">
                  <c:v>454.81</c:v>
                </c:pt>
                <c:pt idx="3114">
                  <c:v>481.61</c:v>
                </c:pt>
                <c:pt idx="3115">
                  <c:v>591.09</c:v>
                </c:pt>
                <c:pt idx="3116">
                  <c:v>555.66999999999996</c:v>
                </c:pt>
                <c:pt idx="3117">
                  <c:v>546.26</c:v>
                </c:pt>
                <c:pt idx="3118">
                  <c:v>576.51</c:v>
                </c:pt>
                <c:pt idx="3119">
                  <c:v>631.4</c:v>
                </c:pt>
                <c:pt idx="3120">
                  <c:v>466.98</c:v>
                </c:pt>
                <c:pt idx="3121">
                  <c:v>464.82</c:v>
                </c:pt>
                <c:pt idx="3122">
                  <c:v>595.11</c:v>
                </c:pt>
                <c:pt idx="3123">
                  <c:v>552.92999999999995</c:v>
                </c:pt>
                <c:pt idx="3124">
                  <c:v>556.59</c:v>
                </c:pt>
                <c:pt idx="3125">
                  <c:v>571.33000000000004</c:v>
                </c:pt>
                <c:pt idx="3126">
                  <c:v>571.63</c:v>
                </c:pt>
                <c:pt idx="3127">
                  <c:v>497.19</c:v>
                </c:pt>
                <c:pt idx="3128">
                  <c:v>476.31</c:v>
                </c:pt>
                <c:pt idx="3129">
                  <c:v>579.98</c:v>
                </c:pt>
                <c:pt idx="3130">
                  <c:v>557.42999999999995</c:v>
                </c:pt>
                <c:pt idx="3131">
                  <c:v>558.29999999999995</c:v>
                </c:pt>
                <c:pt idx="3132">
                  <c:v>609.39</c:v>
                </c:pt>
                <c:pt idx="3133">
                  <c:v>723.02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48-4795-80AA-54915329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834354"/>
        <c:axId val="97820502"/>
      </c:lineChart>
      <c:catAx>
        <c:axId val="538343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20502"/>
        <c:crosses val="autoZero"/>
        <c:auto val="1"/>
        <c:lblAlgn val="ctr"/>
        <c:lblOffset val="100"/>
        <c:noMultiLvlLbl val="0"/>
      </c:catAx>
      <c:valAx>
        <c:axId val="97820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34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Value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Daily_Analysis!$H$10</c:f>
              <c:strCache>
                <c:ptCount val="1"/>
                <c:pt idx="0">
                  <c:v>value_crores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Daily_Analysis!$C$11:$C$3144</c:f>
              <c:numCache>
                <c:formatCode>General</c:formatCode>
                <c:ptCount val="313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12</c:v>
                </c:pt>
                <c:pt idx="488">
                  <c:v>12</c:v>
                </c:pt>
                <c:pt idx="489">
                  <c:v>12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9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9</c:v>
                </c:pt>
                <c:pt idx="790">
                  <c:v>9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11</c:v>
                </c:pt>
                <c:pt idx="823">
                  <c:v>11</c:v>
                </c:pt>
                <c:pt idx="824">
                  <c:v>11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42">
                  <c:v>11</c:v>
                </c:pt>
                <c:pt idx="843">
                  <c:v>11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12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12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12</c:v>
                </c:pt>
                <c:pt idx="872">
                  <c:v>12</c:v>
                </c:pt>
                <c:pt idx="873">
                  <c:v>12</c:v>
                </c:pt>
                <c:pt idx="874">
                  <c:v>12</c:v>
                </c:pt>
                <c:pt idx="875">
                  <c:v>12</c:v>
                </c:pt>
                <c:pt idx="876">
                  <c:v>12</c:v>
                </c:pt>
                <c:pt idx="877">
                  <c:v>12</c:v>
                </c:pt>
                <c:pt idx="878">
                  <c:v>12</c:v>
                </c:pt>
                <c:pt idx="879">
                  <c:v>12</c:v>
                </c:pt>
                <c:pt idx="880">
                  <c:v>12</c:v>
                </c:pt>
                <c:pt idx="881">
                  <c:v>12</c:v>
                </c:pt>
                <c:pt idx="882">
                  <c:v>12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6</c:v>
                </c:pt>
                <c:pt idx="1035">
                  <c:v>6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6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7</c:v>
                </c:pt>
                <c:pt idx="1065">
                  <c:v>7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7</c:v>
                </c:pt>
                <c:pt idx="1070">
                  <c:v>7</c:v>
                </c:pt>
                <c:pt idx="1071">
                  <c:v>7</c:v>
                </c:pt>
                <c:pt idx="1072">
                  <c:v>7</c:v>
                </c:pt>
                <c:pt idx="1073">
                  <c:v>7</c:v>
                </c:pt>
                <c:pt idx="1074">
                  <c:v>7</c:v>
                </c:pt>
                <c:pt idx="1075">
                  <c:v>7</c:v>
                </c:pt>
                <c:pt idx="1076">
                  <c:v>7</c:v>
                </c:pt>
                <c:pt idx="1077">
                  <c:v>7</c:v>
                </c:pt>
                <c:pt idx="1078">
                  <c:v>7</c:v>
                </c:pt>
                <c:pt idx="1079">
                  <c:v>7</c:v>
                </c:pt>
                <c:pt idx="1080">
                  <c:v>7</c:v>
                </c:pt>
                <c:pt idx="1081">
                  <c:v>7</c:v>
                </c:pt>
                <c:pt idx="1082">
                  <c:v>7</c:v>
                </c:pt>
                <c:pt idx="1083">
                  <c:v>7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7</c:v>
                </c:pt>
                <c:pt idx="1091">
                  <c:v>7</c:v>
                </c:pt>
                <c:pt idx="1092">
                  <c:v>7</c:v>
                </c:pt>
                <c:pt idx="1093">
                  <c:v>7</c:v>
                </c:pt>
                <c:pt idx="1094">
                  <c:v>7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9</c:v>
                </c:pt>
                <c:pt idx="1127">
                  <c:v>9</c:v>
                </c:pt>
                <c:pt idx="1128">
                  <c:v>9</c:v>
                </c:pt>
                <c:pt idx="1129">
                  <c:v>9</c:v>
                </c:pt>
                <c:pt idx="1130">
                  <c:v>9</c:v>
                </c:pt>
                <c:pt idx="1131">
                  <c:v>9</c:v>
                </c:pt>
                <c:pt idx="1132">
                  <c:v>9</c:v>
                </c:pt>
                <c:pt idx="1133">
                  <c:v>9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10</c:v>
                </c:pt>
                <c:pt idx="1157">
                  <c:v>10</c:v>
                </c:pt>
                <c:pt idx="1158">
                  <c:v>10</c:v>
                </c:pt>
                <c:pt idx="1159">
                  <c:v>10</c:v>
                </c:pt>
                <c:pt idx="1160">
                  <c:v>10</c:v>
                </c:pt>
                <c:pt idx="1161">
                  <c:v>10</c:v>
                </c:pt>
                <c:pt idx="1162">
                  <c:v>10</c:v>
                </c:pt>
                <c:pt idx="1163">
                  <c:v>10</c:v>
                </c:pt>
                <c:pt idx="1164">
                  <c:v>10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10</c:v>
                </c:pt>
                <c:pt idx="1169">
                  <c:v>10</c:v>
                </c:pt>
                <c:pt idx="1170">
                  <c:v>10</c:v>
                </c:pt>
                <c:pt idx="1171">
                  <c:v>10</c:v>
                </c:pt>
                <c:pt idx="1172">
                  <c:v>10</c:v>
                </c:pt>
                <c:pt idx="1173">
                  <c:v>10</c:v>
                </c:pt>
                <c:pt idx="1174">
                  <c:v>10</c:v>
                </c:pt>
                <c:pt idx="1175">
                  <c:v>10</c:v>
                </c:pt>
                <c:pt idx="1176">
                  <c:v>10</c:v>
                </c:pt>
                <c:pt idx="1177">
                  <c:v>10</c:v>
                </c:pt>
                <c:pt idx="1178">
                  <c:v>10</c:v>
                </c:pt>
                <c:pt idx="1179">
                  <c:v>10</c:v>
                </c:pt>
                <c:pt idx="1180">
                  <c:v>10</c:v>
                </c:pt>
                <c:pt idx="1181">
                  <c:v>10</c:v>
                </c:pt>
                <c:pt idx="1182">
                  <c:v>10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11</c:v>
                </c:pt>
                <c:pt idx="1188">
                  <c:v>11</c:v>
                </c:pt>
                <c:pt idx="1189">
                  <c:v>11</c:v>
                </c:pt>
                <c:pt idx="1190">
                  <c:v>11</c:v>
                </c:pt>
                <c:pt idx="1191">
                  <c:v>11</c:v>
                </c:pt>
                <c:pt idx="1192">
                  <c:v>11</c:v>
                </c:pt>
                <c:pt idx="1193">
                  <c:v>11</c:v>
                </c:pt>
                <c:pt idx="1194">
                  <c:v>11</c:v>
                </c:pt>
                <c:pt idx="1195">
                  <c:v>11</c:v>
                </c:pt>
                <c:pt idx="1196">
                  <c:v>11</c:v>
                </c:pt>
                <c:pt idx="1197">
                  <c:v>11</c:v>
                </c:pt>
                <c:pt idx="1198">
                  <c:v>11</c:v>
                </c:pt>
                <c:pt idx="1199">
                  <c:v>11</c:v>
                </c:pt>
                <c:pt idx="1200">
                  <c:v>11</c:v>
                </c:pt>
                <c:pt idx="1201">
                  <c:v>11</c:v>
                </c:pt>
                <c:pt idx="1202">
                  <c:v>11</c:v>
                </c:pt>
                <c:pt idx="1203">
                  <c:v>11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11</c:v>
                </c:pt>
                <c:pt idx="1208">
                  <c:v>11</c:v>
                </c:pt>
                <c:pt idx="1209">
                  <c:v>11</c:v>
                </c:pt>
                <c:pt idx="1210">
                  <c:v>11</c:v>
                </c:pt>
                <c:pt idx="1211">
                  <c:v>11</c:v>
                </c:pt>
                <c:pt idx="1212">
                  <c:v>11</c:v>
                </c:pt>
                <c:pt idx="1213">
                  <c:v>11</c:v>
                </c:pt>
                <c:pt idx="1214">
                  <c:v>11</c:v>
                </c:pt>
                <c:pt idx="1215">
                  <c:v>11</c:v>
                </c:pt>
                <c:pt idx="1216">
                  <c:v>11</c:v>
                </c:pt>
                <c:pt idx="1217">
                  <c:v>12</c:v>
                </c:pt>
                <c:pt idx="1218">
                  <c:v>12</c:v>
                </c:pt>
                <c:pt idx="1219">
                  <c:v>12</c:v>
                </c:pt>
                <c:pt idx="1220">
                  <c:v>12</c:v>
                </c:pt>
                <c:pt idx="1221">
                  <c:v>12</c:v>
                </c:pt>
                <c:pt idx="1222">
                  <c:v>12</c:v>
                </c:pt>
                <c:pt idx="1223">
                  <c:v>12</c:v>
                </c:pt>
                <c:pt idx="1224">
                  <c:v>12</c:v>
                </c:pt>
                <c:pt idx="1225">
                  <c:v>12</c:v>
                </c:pt>
                <c:pt idx="1226">
                  <c:v>12</c:v>
                </c:pt>
                <c:pt idx="1227">
                  <c:v>12</c:v>
                </c:pt>
                <c:pt idx="1228">
                  <c:v>12</c:v>
                </c:pt>
                <c:pt idx="1229">
                  <c:v>12</c:v>
                </c:pt>
                <c:pt idx="1230">
                  <c:v>12</c:v>
                </c:pt>
                <c:pt idx="1231">
                  <c:v>12</c:v>
                </c:pt>
                <c:pt idx="1232">
                  <c:v>12</c:v>
                </c:pt>
                <c:pt idx="1233">
                  <c:v>12</c:v>
                </c:pt>
                <c:pt idx="1234">
                  <c:v>12</c:v>
                </c:pt>
                <c:pt idx="1235">
                  <c:v>12</c:v>
                </c:pt>
                <c:pt idx="1236">
                  <c:v>12</c:v>
                </c:pt>
                <c:pt idx="1237">
                  <c:v>12</c:v>
                </c:pt>
                <c:pt idx="1238">
                  <c:v>12</c:v>
                </c:pt>
                <c:pt idx="1239">
                  <c:v>12</c:v>
                </c:pt>
                <c:pt idx="1240">
                  <c:v>12</c:v>
                </c:pt>
                <c:pt idx="1241">
                  <c:v>12</c:v>
                </c:pt>
                <c:pt idx="1242">
                  <c:v>12</c:v>
                </c:pt>
                <c:pt idx="1243">
                  <c:v>12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12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4</c:v>
                </c:pt>
                <c:pt idx="1359">
                  <c:v>4</c:v>
                </c:pt>
                <c:pt idx="1360">
                  <c:v>4</c:v>
                </c:pt>
                <c:pt idx="1361">
                  <c:v>4</c:v>
                </c:pt>
                <c:pt idx="1362">
                  <c:v>4</c:v>
                </c:pt>
                <c:pt idx="1363">
                  <c:v>4</c:v>
                </c:pt>
                <c:pt idx="1364">
                  <c:v>4</c:v>
                </c:pt>
                <c:pt idx="1365">
                  <c:v>4</c:v>
                </c:pt>
                <c:pt idx="1366">
                  <c:v>4</c:v>
                </c:pt>
                <c:pt idx="1367">
                  <c:v>4</c:v>
                </c:pt>
                <c:pt idx="1368">
                  <c:v>4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6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6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7</c:v>
                </c:pt>
                <c:pt idx="1460">
                  <c:v>7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11</c:v>
                </c:pt>
                <c:pt idx="1554">
                  <c:v>11</c:v>
                </c:pt>
                <c:pt idx="1555">
                  <c:v>11</c:v>
                </c:pt>
                <c:pt idx="1556">
                  <c:v>11</c:v>
                </c:pt>
                <c:pt idx="1557">
                  <c:v>11</c:v>
                </c:pt>
                <c:pt idx="1558">
                  <c:v>11</c:v>
                </c:pt>
                <c:pt idx="1559">
                  <c:v>11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12</c:v>
                </c:pt>
                <c:pt idx="1584">
                  <c:v>12</c:v>
                </c:pt>
                <c:pt idx="1585">
                  <c:v>12</c:v>
                </c:pt>
                <c:pt idx="1586">
                  <c:v>12</c:v>
                </c:pt>
                <c:pt idx="1587">
                  <c:v>12</c:v>
                </c:pt>
                <c:pt idx="1588">
                  <c:v>12</c:v>
                </c:pt>
                <c:pt idx="1589">
                  <c:v>12</c:v>
                </c:pt>
                <c:pt idx="1590">
                  <c:v>12</c:v>
                </c:pt>
                <c:pt idx="1591">
                  <c:v>12</c:v>
                </c:pt>
                <c:pt idx="1592">
                  <c:v>12</c:v>
                </c:pt>
                <c:pt idx="1593">
                  <c:v>12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12</c:v>
                </c:pt>
                <c:pt idx="1598">
                  <c:v>12</c:v>
                </c:pt>
                <c:pt idx="1599">
                  <c:v>12</c:v>
                </c:pt>
                <c:pt idx="1600">
                  <c:v>12</c:v>
                </c:pt>
                <c:pt idx="1601">
                  <c:v>12</c:v>
                </c:pt>
                <c:pt idx="1602">
                  <c:v>12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12</c:v>
                </c:pt>
                <c:pt idx="1612">
                  <c:v>12</c:v>
                </c:pt>
                <c:pt idx="1613">
                  <c:v>12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6</c:v>
                </c:pt>
                <c:pt idx="1766">
                  <c:v>6</c:v>
                </c:pt>
                <c:pt idx="1767">
                  <c:v>6</c:v>
                </c:pt>
                <c:pt idx="1768">
                  <c:v>6</c:v>
                </c:pt>
                <c:pt idx="1769">
                  <c:v>6</c:v>
                </c:pt>
                <c:pt idx="1770">
                  <c:v>6</c:v>
                </c:pt>
                <c:pt idx="1771">
                  <c:v>6</c:v>
                </c:pt>
                <c:pt idx="1772">
                  <c:v>6</c:v>
                </c:pt>
                <c:pt idx="1773">
                  <c:v>6</c:v>
                </c:pt>
                <c:pt idx="1774">
                  <c:v>6</c:v>
                </c:pt>
                <c:pt idx="1775">
                  <c:v>6</c:v>
                </c:pt>
                <c:pt idx="1776">
                  <c:v>6</c:v>
                </c:pt>
                <c:pt idx="1777">
                  <c:v>6</c:v>
                </c:pt>
                <c:pt idx="1778">
                  <c:v>6</c:v>
                </c:pt>
                <c:pt idx="1779">
                  <c:v>6</c:v>
                </c:pt>
                <c:pt idx="1780">
                  <c:v>6</c:v>
                </c:pt>
                <c:pt idx="1781">
                  <c:v>6</c:v>
                </c:pt>
                <c:pt idx="1782">
                  <c:v>6</c:v>
                </c:pt>
                <c:pt idx="1783">
                  <c:v>6</c:v>
                </c:pt>
                <c:pt idx="1784">
                  <c:v>6</c:v>
                </c:pt>
                <c:pt idx="1785">
                  <c:v>6</c:v>
                </c:pt>
                <c:pt idx="1786">
                  <c:v>6</c:v>
                </c:pt>
                <c:pt idx="1787">
                  <c:v>6</c:v>
                </c:pt>
                <c:pt idx="1788">
                  <c:v>6</c:v>
                </c:pt>
                <c:pt idx="1789">
                  <c:v>6</c:v>
                </c:pt>
                <c:pt idx="1790">
                  <c:v>6</c:v>
                </c:pt>
                <c:pt idx="1791">
                  <c:v>6</c:v>
                </c:pt>
                <c:pt idx="1792">
                  <c:v>6</c:v>
                </c:pt>
                <c:pt idx="1793">
                  <c:v>6</c:v>
                </c:pt>
                <c:pt idx="1794">
                  <c:v>6</c:v>
                </c:pt>
                <c:pt idx="1795">
                  <c:v>7</c:v>
                </c:pt>
                <c:pt idx="1796">
                  <c:v>7</c:v>
                </c:pt>
                <c:pt idx="1797">
                  <c:v>7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7</c:v>
                </c:pt>
                <c:pt idx="1802">
                  <c:v>7</c:v>
                </c:pt>
                <c:pt idx="1803">
                  <c:v>7</c:v>
                </c:pt>
                <c:pt idx="1804">
                  <c:v>7</c:v>
                </c:pt>
                <c:pt idx="1805">
                  <c:v>7</c:v>
                </c:pt>
                <c:pt idx="1806">
                  <c:v>7</c:v>
                </c:pt>
                <c:pt idx="1807">
                  <c:v>7</c:v>
                </c:pt>
                <c:pt idx="1808">
                  <c:v>7</c:v>
                </c:pt>
                <c:pt idx="1809">
                  <c:v>7</c:v>
                </c:pt>
                <c:pt idx="1810">
                  <c:v>7</c:v>
                </c:pt>
                <c:pt idx="1811">
                  <c:v>7</c:v>
                </c:pt>
                <c:pt idx="1812">
                  <c:v>7</c:v>
                </c:pt>
                <c:pt idx="1813">
                  <c:v>7</c:v>
                </c:pt>
                <c:pt idx="1814">
                  <c:v>7</c:v>
                </c:pt>
                <c:pt idx="1815">
                  <c:v>7</c:v>
                </c:pt>
                <c:pt idx="1816">
                  <c:v>7</c:v>
                </c:pt>
                <c:pt idx="1817">
                  <c:v>7</c:v>
                </c:pt>
                <c:pt idx="1818">
                  <c:v>7</c:v>
                </c:pt>
                <c:pt idx="1819">
                  <c:v>7</c:v>
                </c:pt>
                <c:pt idx="1820">
                  <c:v>7</c:v>
                </c:pt>
                <c:pt idx="1821">
                  <c:v>7</c:v>
                </c:pt>
                <c:pt idx="1822">
                  <c:v>7</c:v>
                </c:pt>
                <c:pt idx="1823">
                  <c:v>7</c:v>
                </c:pt>
                <c:pt idx="1824">
                  <c:v>7</c:v>
                </c:pt>
                <c:pt idx="1825">
                  <c:v>7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9</c:v>
                </c:pt>
                <c:pt idx="1858">
                  <c:v>9</c:v>
                </c:pt>
                <c:pt idx="1859">
                  <c:v>9</c:v>
                </c:pt>
                <c:pt idx="1860">
                  <c:v>9</c:v>
                </c:pt>
                <c:pt idx="1861">
                  <c:v>9</c:v>
                </c:pt>
                <c:pt idx="1862">
                  <c:v>9</c:v>
                </c:pt>
                <c:pt idx="1863">
                  <c:v>9</c:v>
                </c:pt>
                <c:pt idx="1864">
                  <c:v>9</c:v>
                </c:pt>
                <c:pt idx="1865">
                  <c:v>9</c:v>
                </c:pt>
                <c:pt idx="1866">
                  <c:v>9</c:v>
                </c:pt>
                <c:pt idx="1867">
                  <c:v>9</c:v>
                </c:pt>
                <c:pt idx="1868">
                  <c:v>9</c:v>
                </c:pt>
                <c:pt idx="1869">
                  <c:v>9</c:v>
                </c:pt>
                <c:pt idx="1870">
                  <c:v>9</c:v>
                </c:pt>
                <c:pt idx="1871">
                  <c:v>9</c:v>
                </c:pt>
                <c:pt idx="1872">
                  <c:v>9</c:v>
                </c:pt>
                <c:pt idx="1873">
                  <c:v>9</c:v>
                </c:pt>
                <c:pt idx="1874">
                  <c:v>9</c:v>
                </c:pt>
                <c:pt idx="1875">
                  <c:v>9</c:v>
                </c:pt>
                <c:pt idx="1876">
                  <c:v>9</c:v>
                </c:pt>
                <c:pt idx="1877">
                  <c:v>9</c:v>
                </c:pt>
                <c:pt idx="1878">
                  <c:v>9</c:v>
                </c:pt>
                <c:pt idx="1879">
                  <c:v>9</c:v>
                </c:pt>
                <c:pt idx="1880">
                  <c:v>9</c:v>
                </c:pt>
                <c:pt idx="1881">
                  <c:v>9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9</c:v>
                </c:pt>
                <c:pt idx="1886">
                  <c:v>9</c:v>
                </c:pt>
                <c:pt idx="1887">
                  <c:v>10</c:v>
                </c:pt>
                <c:pt idx="1888">
                  <c:v>10</c:v>
                </c:pt>
                <c:pt idx="1889">
                  <c:v>10</c:v>
                </c:pt>
                <c:pt idx="1890">
                  <c:v>10</c:v>
                </c:pt>
                <c:pt idx="1891">
                  <c:v>10</c:v>
                </c:pt>
                <c:pt idx="1892">
                  <c:v>10</c:v>
                </c:pt>
                <c:pt idx="1893">
                  <c:v>10</c:v>
                </c:pt>
                <c:pt idx="1894">
                  <c:v>10</c:v>
                </c:pt>
                <c:pt idx="1895">
                  <c:v>10</c:v>
                </c:pt>
                <c:pt idx="1896">
                  <c:v>10</c:v>
                </c:pt>
                <c:pt idx="1897">
                  <c:v>10</c:v>
                </c:pt>
                <c:pt idx="1898">
                  <c:v>10</c:v>
                </c:pt>
                <c:pt idx="1899">
                  <c:v>10</c:v>
                </c:pt>
                <c:pt idx="1900">
                  <c:v>10</c:v>
                </c:pt>
                <c:pt idx="1901">
                  <c:v>10</c:v>
                </c:pt>
                <c:pt idx="1902">
                  <c:v>10</c:v>
                </c:pt>
                <c:pt idx="1903">
                  <c:v>10</c:v>
                </c:pt>
                <c:pt idx="1904">
                  <c:v>10</c:v>
                </c:pt>
                <c:pt idx="1905">
                  <c:v>10</c:v>
                </c:pt>
                <c:pt idx="1906">
                  <c:v>10</c:v>
                </c:pt>
                <c:pt idx="1907">
                  <c:v>10</c:v>
                </c:pt>
                <c:pt idx="1908">
                  <c:v>10</c:v>
                </c:pt>
                <c:pt idx="1909">
                  <c:v>10</c:v>
                </c:pt>
                <c:pt idx="1910">
                  <c:v>10</c:v>
                </c:pt>
                <c:pt idx="1911">
                  <c:v>10</c:v>
                </c:pt>
                <c:pt idx="1912">
                  <c:v>10</c:v>
                </c:pt>
                <c:pt idx="1913">
                  <c:v>10</c:v>
                </c:pt>
                <c:pt idx="1914">
                  <c:v>10</c:v>
                </c:pt>
                <c:pt idx="1915">
                  <c:v>10</c:v>
                </c:pt>
                <c:pt idx="1916">
                  <c:v>10</c:v>
                </c:pt>
                <c:pt idx="1917">
                  <c:v>10</c:v>
                </c:pt>
                <c:pt idx="1918">
                  <c:v>11</c:v>
                </c:pt>
                <c:pt idx="1919">
                  <c:v>11</c:v>
                </c:pt>
                <c:pt idx="1920">
                  <c:v>11</c:v>
                </c:pt>
                <c:pt idx="1921">
                  <c:v>11</c:v>
                </c:pt>
                <c:pt idx="1922">
                  <c:v>11</c:v>
                </c:pt>
                <c:pt idx="1923">
                  <c:v>11</c:v>
                </c:pt>
                <c:pt idx="1924">
                  <c:v>11</c:v>
                </c:pt>
                <c:pt idx="1925">
                  <c:v>11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</c:v>
                </c:pt>
                <c:pt idx="1943">
                  <c:v>11</c:v>
                </c:pt>
                <c:pt idx="1944">
                  <c:v>11</c:v>
                </c:pt>
                <c:pt idx="1945">
                  <c:v>11</c:v>
                </c:pt>
                <c:pt idx="1946">
                  <c:v>11</c:v>
                </c:pt>
                <c:pt idx="1947">
                  <c:v>11</c:v>
                </c:pt>
                <c:pt idx="1948">
                  <c:v>12</c:v>
                </c:pt>
                <c:pt idx="1949">
                  <c:v>12</c:v>
                </c:pt>
                <c:pt idx="1950">
                  <c:v>12</c:v>
                </c:pt>
                <c:pt idx="1951">
                  <c:v>12</c:v>
                </c:pt>
                <c:pt idx="1952">
                  <c:v>12</c:v>
                </c:pt>
                <c:pt idx="1953">
                  <c:v>12</c:v>
                </c:pt>
                <c:pt idx="1954">
                  <c:v>12</c:v>
                </c:pt>
                <c:pt idx="1955">
                  <c:v>12</c:v>
                </c:pt>
                <c:pt idx="1956">
                  <c:v>12</c:v>
                </c:pt>
                <c:pt idx="1957">
                  <c:v>12</c:v>
                </c:pt>
                <c:pt idx="1958">
                  <c:v>12</c:v>
                </c:pt>
                <c:pt idx="1959">
                  <c:v>12</c:v>
                </c:pt>
                <c:pt idx="1960">
                  <c:v>12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12</c:v>
                </c:pt>
                <c:pt idx="1966">
                  <c:v>12</c:v>
                </c:pt>
                <c:pt idx="1967">
                  <c:v>12</c:v>
                </c:pt>
                <c:pt idx="1968">
                  <c:v>12</c:v>
                </c:pt>
                <c:pt idx="1969">
                  <c:v>12</c:v>
                </c:pt>
                <c:pt idx="1970">
                  <c:v>12</c:v>
                </c:pt>
                <c:pt idx="1971">
                  <c:v>12</c:v>
                </c:pt>
                <c:pt idx="1972">
                  <c:v>12</c:v>
                </c:pt>
                <c:pt idx="1973">
                  <c:v>12</c:v>
                </c:pt>
                <c:pt idx="1974">
                  <c:v>12</c:v>
                </c:pt>
                <c:pt idx="1975">
                  <c:v>12</c:v>
                </c:pt>
                <c:pt idx="1976">
                  <c:v>12</c:v>
                </c:pt>
                <c:pt idx="1977">
                  <c:v>12</c:v>
                </c:pt>
                <c:pt idx="1978">
                  <c:v>12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4</c:v>
                </c:pt>
                <c:pt idx="2070">
                  <c:v>4</c:v>
                </c:pt>
                <c:pt idx="2071">
                  <c:v>4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4</c:v>
                </c:pt>
                <c:pt idx="2080">
                  <c:v>4</c:v>
                </c:pt>
                <c:pt idx="2081">
                  <c:v>4</c:v>
                </c:pt>
                <c:pt idx="2082">
                  <c:v>4</c:v>
                </c:pt>
                <c:pt idx="2083">
                  <c:v>4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4</c:v>
                </c:pt>
                <c:pt idx="2089">
                  <c:v>4</c:v>
                </c:pt>
                <c:pt idx="2090">
                  <c:v>4</c:v>
                </c:pt>
                <c:pt idx="2091">
                  <c:v>4</c:v>
                </c:pt>
                <c:pt idx="2092">
                  <c:v>4</c:v>
                </c:pt>
                <c:pt idx="2093">
                  <c:v>4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4</c:v>
                </c:pt>
                <c:pt idx="2098">
                  <c:v>4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</c:v>
                </c:pt>
                <c:pt idx="2126">
                  <c:v>5</c:v>
                </c:pt>
                <c:pt idx="2127">
                  <c:v>5</c:v>
                </c:pt>
                <c:pt idx="2128">
                  <c:v>5</c:v>
                </c:pt>
                <c:pt idx="2129">
                  <c:v>5</c:v>
                </c:pt>
                <c:pt idx="2130">
                  <c:v>6</c:v>
                </c:pt>
                <c:pt idx="2131">
                  <c:v>6</c:v>
                </c:pt>
                <c:pt idx="2132">
                  <c:v>6</c:v>
                </c:pt>
                <c:pt idx="2133">
                  <c:v>6</c:v>
                </c:pt>
                <c:pt idx="2134">
                  <c:v>6</c:v>
                </c:pt>
                <c:pt idx="2135">
                  <c:v>6</c:v>
                </c:pt>
                <c:pt idx="2136">
                  <c:v>6</c:v>
                </c:pt>
                <c:pt idx="2137">
                  <c:v>6</c:v>
                </c:pt>
                <c:pt idx="2138">
                  <c:v>6</c:v>
                </c:pt>
                <c:pt idx="2139">
                  <c:v>6</c:v>
                </c:pt>
                <c:pt idx="2140">
                  <c:v>6</c:v>
                </c:pt>
                <c:pt idx="2141">
                  <c:v>6</c:v>
                </c:pt>
                <c:pt idx="2142">
                  <c:v>6</c:v>
                </c:pt>
                <c:pt idx="2143">
                  <c:v>6</c:v>
                </c:pt>
                <c:pt idx="2144">
                  <c:v>6</c:v>
                </c:pt>
                <c:pt idx="2145">
                  <c:v>6</c:v>
                </c:pt>
                <c:pt idx="2146">
                  <c:v>6</c:v>
                </c:pt>
                <c:pt idx="2147">
                  <c:v>6</c:v>
                </c:pt>
                <c:pt idx="2148">
                  <c:v>6</c:v>
                </c:pt>
                <c:pt idx="2149">
                  <c:v>6</c:v>
                </c:pt>
                <c:pt idx="2150">
                  <c:v>6</c:v>
                </c:pt>
                <c:pt idx="2151">
                  <c:v>6</c:v>
                </c:pt>
                <c:pt idx="2152">
                  <c:v>6</c:v>
                </c:pt>
                <c:pt idx="2153">
                  <c:v>6</c:v>
                </c:pt>
                <c:pt idx="2154">
                  <c:v>6</c:v>
                </c:pt>
                <c:pt idx="2155">
                  <c:v>6</c:v>
                </c:pt>
                <c:pt idx="2156">
                  <c:v>6</c:v>
                </c:pt>
                <c:pt idx="2157">
                  <c:v>6</c:v>
                </c:pt>
                <c:pt idx="2158">
                  <c:v>6</c:v>
                </c:pt>
                <c:pt idx="2159">
                  <c:v>6</c:v>
                </c:pt>
                <c:pt idx="2160">
                  <c:v>7</c:v>
                </c:pt>
                <c:pt idx="2161">
                  <c:v>7</c:v>
                </c:pt>
                <c:pt idx="2162">
                  <c:v>7</c:v>
                </c:pt>
                <c:pt idx="2163">
                  <c:v>7</c:v>
                </c:pt>
                <c:pt idx="2164">
                  <c:v>7</c:v>
                </c:pt>
                <c:pt idx="2165">
                  <c:v>7</c:v>
                </c:pt>
                <c:pt idx="2166">
                  <c:v>7</c:v>
                </c:pt>
                <c:pt idx="2167">
                  <c:v>7</c:v>
                </c:pt>
                <c:pt idx="2168">
                  <c:v>7</c:v>
                </c:pt>
                <c:pt idx="2169">
                  <c:v>7</c:v>
                </c:pt>
                <c:pt idx="2170">
                  <c:v>7</c:v>
                </c:pt>
                <c:pt idx="2171">
                  <c:v>7</c:v>
                </c:pt>
                <c:pt idx="2172">
                  <c:v>7</c:v>
                </c:pt>
                <c:pt idx="2173">
                  <c:v>7</c:v>
                </c:pt>
                <c:pt idx="2174">
                  <c:v>7</c:v>
                </c:pt>
                <c:pt idx="2175">
                  <c:v>7</c:v>
                </c:pt>
                <c:pt idx="2176">
                  <c:v>7</c:v>
                </c:pt>
                <c:pt idx="2177">
                  <c:v>7</c:v>
                </c:pt>
                <c:pt idx="2178">
                  <c:v>7</c:v>
                </c:pt>
                <c:pt idx="2179">
                  <c:v>7</c:v>
                </c:pt>
                <c:pt idx="2180">
                  <c:v>7</c:v>
                </c:pt>
                <c:pt idx="2181">
                  <c:v>7</c:v>
                </c:pt>
                <c:pt idx="2182">
                  <c:v>7</c:v>
                </c:pt>
                <c:pt idx="2183">
                  <c:v>7</c:v>
                </c:pt>
                <c:pt idx="2184">
                  <c:v>7</c:v>
                </c:pt>
                <c:pt idx="2185">
                  <c:v>7</c:v>
                </c:pt>
                <c:pt idx="2186">
                  <c:v>7</c:v>
                </c:pt>
                <c:pt idx="2187">
                  <c:v>7</c:v>
                </c:pt>
                <c:pt idx="2188">
                  <c:v>7</c:v>
                </c:pt>
                <c:pt idx="2189">
                  <c:v>7</c:v>
                </c:pt>
                <c:pt idx="2190">
                  <c:v>7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9</c:v>
                </c:pt>
                <c:pt idx="2223">
                  <c:v>9</c:v>
                </c:pt>
                <c:pt idx="2224">
                  <c:v>9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9</c:v>
                </c:pt>
                <c:pt idx="2235">
                  <c:v>9</c:v>
                </c:pt>
                <c:pt idx="2236">
                  <c:v>9</c:v>
                </c:pt>
                <c:pt idx="2237">
                  <c:v>9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10</c:v>
                </c:pt>
                <c:pt idx="2253">
                  <c:v>10</c:v>
                </c:pt>
                <c:pt idx="2254">
                  <c:v>10</c:v>
                </c:pt>
                <c:pt idx="2255">
                  <c:v>10</c:v>
                </c:pt>
                <c:pt idx="2256">
                  <c:v>10</c:v>
                </c:pt>
                <c:pt idx="2257">
                  <c:v>10</c:v>
                </c:pt>
                <c:pt idx="2258">
                  <c:v>10</c:v>
                </c:pt>
                <c:pt idx="2259">
                  <c:v>10</c:v>
                </c:pt>
                <c:pt idx="2260">
                  <c:v>10</c:v>
                </c:pt>
                <c:pt idx="2261">
                  <c:v>10</c:v>
                </c:pt>
                <c:pt idx="2262">
                  <c:v>10</c:v>
                </c:pt>
                <c:pt idx="2263">
                  <c:v>10</c:v>
                </c:pt>
                <c:pt idx="2264">
                  <c:v>10</c:v>
                </c:pt>
                <c:pt idx="2265">
                  <c:v>10</c:v>
                </c:pt>
                <c:pt idx="2266">
                  <c:v>10</c:v>
                </c:pt>
                <c:pt idx="2267">
                  <c:v>10</c:v>
                </c:pt>
                <c:pt idx="2268">
                  <c:v>10</c:v>
                </c:pt>
                <c:pt idx="2269">
                  <c:v>10</c:v>
                </c:pt>
                <c:pt idx="2270">
                  <c:v>10</c:v>
                </c:pt>
                <c:pt idx="2271">
                  <c:v>10</c:v>
                </c:pt>
                <c:pt idx="2272">
                  <c:v>10</c:v>
                </c:pt>
                <c:pt idx="2273">
                  <c:v>10</c:v>
                </c:pt>
                <c:pt idx="2274">
                  <c:v>10</c:v>
                </c:pt>
                <c:pt idx="2275">
                  <c:v>10</c:v>
                </c:pt>
                <c:pt idx="2276">
                  <c:v>10</c:v>
                </c:pt>
                <c:pt idx="2277">
                  <c:v>10</c:v>
                </c:pt>
                <c:pt idx="2278">
                  <c:v>10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11</c:v>
                </c:pt>
                <c:pt idx="2284">
                  <c:v>11</c:v>
                </c:pt>
                <c:pt idx="2285">
                  <c:v>11</c:v>
                </c:pt>
                <c:pt idx="2286">
                  <c:v>11</c:v>
                </c:pt>
                <c:pt idx="2287">
                  <c:v>11</c:v>
                </c:pt>
                <c:pt idx="2288">
                  <c:v>11</c:v>
                </c:pt>
                <c:pt idx="2289">
                  <c:v>11</c:v>
                </c:pt>
                <c:pt idx="2290">
                  <c:v>11</c:v>
                </c:pt>
                <c:pt idx="2291">
                  <c:v>11</c:v>
                </c:pt>
                <c:pt idx="2292">
                  <c:v>11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11</c:v>
                </c:pt>
                <c:pt idx="2308">
                  <c:v>11</c:v>
                </c:pt>
                <c:pt idx="2309">
                  <c:v>11</c:v>
                </c:pt>
                <c:pt idx="2310">
                  <c:v>11</c:v>
                </c:pt>
                <c:pt idx="2311">
                  <c:v>11</c:v>
                </c:pt>
                <c:pt idx="2312">
                  <c:v>11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12</c:v>
                </c:pt>
                <c:pt idx="2323">
                  <c:v>12</c:v>
                </c:pt>
                <c:pt idx="2324">
                  <c:v>12</c:v>
                </c:pt>
                <c:pt idx="2325">
                  <c:v>12</c:v>
                </c:pt>
                <c:pt idx="2326">
                  <c:v>12</c:v>
                </c:pt>
                <c:pt idx="2327">
                  <c:v>12</c:v>
                </c:pt>
                <c:pt idx="2328">
                  <c:v>12</c:v>
                </c:pt>
                <c:pt idx="2329">
                  <c:v>12</c:v>
                </c:pt>
                <c:pt idx="2330">
                  <c:v>12</c:v>
                </c:pt>
                <c:pt idx="2331">
                  <c:v>12</c:v>
                </c:pt>
                <c:pt idx="2332">
                  <c:v>12</c:v>
                </c:pt>
                <c:pt idx="2333">
                  <c:v>12</c:v>
                </c:pt>
                <c:pt idx="2334">
                  <c:v>12</c:v>
                </c:pt>
                <c:pt idx="2335">
                  <c:v>12</c:v>
                </c:pt>
                <c:pt idx="2336">
                  <c:v>12</c:v>
                </c:pt>
                <c:pt idx="2337">
                  <c:v>12</c:v>
                </c:pt>
                <c:pt idx="2338">
                  <c:v>12</c:v>
                </c:pt>
                <c:pt idx="2339">
                  <c:v>12</c:v>
                </c:pt>
                <c:pt idx="2340">
                  <c:v>12</c:v>
                </c:pt>
                <c:pt idx="2341">
                  <c:v>12</c:v>
                </c:pt>
                <c:pt idx="2342">
                  <c:v>12</c:v>
                </c:pt>
                <c:pt idx="2343">
                  <c:v>12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4</c:v>
                </c:pt>
                <c:pt idx="2451">
                  <c:v>4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4</c:v>
                </c:pt>
                <c:pt idx="2456">
                  <c:v>4</c:v>
                </c:pt>
                <c:pt idx="2457">
                  <c:v>4</c:v>
                </c:pt>
                <c:pt idx="2458">
                  <c:v>4</c:v>
                </c:pt>
                <c:pt idx="2459">
                  <c:v>4</c:v>
                </c:pt>
                <c:pt idx="2460">
                  <c:v>4</c:v>
                </c:pt>
                <c:pt idx="2461">
                  <c:v>4</c:v>
                </c:pt>
                <c:pt idx="2462">
                  <c:v>4</c:v>
                </c:pt>
                <c:pt idx="2463">
                  <c:v>4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</c:v>
                </c:pt>
                <c:pt idx="2477">
                  <c:v>5</c:v>
                </c:pt>
                <c:pt idx="2478">
                  <c:v>5</c:v>
                </c:pt>
                <c:pt idx="2479">
                  <c:v>5</c:v>
                </c:pt>
                <c:pt idx="2480">
                  <c:v>5</c:v>
                </c:pt>
                <c:pt idx="2481">
                  <c:v>5</c:v>
                </c:pt>
                <c:pt idx="2482">
                  <c:v>5</c:v>
                </c:pt>
                <c:pt idx="2483">
                  <c:v>5</c:v>
                </c:pt>
                <c:pt idx="2484">
                  <c:v>5</c:v>
                </c:pt>
                <c:pt idx="2485">
                  <c:v>5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5</c:v>
                </c:pt>
                <c:pt idx="2490">
                  <c:v>5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6</c:v>
                </c:pt>
                <c:pt idx="2496">
                  <c:v>6</c:v>
                </c:pt>
                <c:pt idx="2497">
                  <c:v>6</c:v>
                </c:pt>
                <c:pt idx="2498">
                  <c:v>6</c:v>
                </c:pt>
                <c:pt idx="2499">
                  <c:v>6</c:v>
                </c:pt>
                <c:pt idx="2500">
                  <c:v>6</c:v>
                </c:pt>
                <c:pt idx="2501">
                  <c:v>6</c:v>
                </c:pt>
                <c:pt idx="2502">
                  <c:v>6</c:v>
                </c:pt>
                <c:pt idx="2503">
                  <c:v>6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6</c:v>
                </c:pt>
                <c:pt idx="2510">
                  <c:v>6</c:v>
                </c:pt>
                <c:pt idx="2511">
                  <c:v>6</c:v>
                </c:pt>
                <c:pt idx="2512">
                  <c:v>6</c:v>
                </c:pt>
                <c:pt idx="2513">
                  <c:v>6</c:v>
                </c:pt>
                <c:pt idx="2514">
                  <c:v>6</c:v>
                </c:pt>
                <c:pt idx="2515">
                  <c:v>6</c:v>
                </c:pt>
                <c:pt idx="2516">
                  <c:v>6</c:v>
                </c:pt>
                <c:pt idx="2517">
                  <c:v>6</c:v>
                </c:pt>
                <c:pt idx="2518">
                  <c:v>6</c:v>
                </c:pt>
                <c:pt idx="2519">
                  <c:v>6</c:v>
                </c:pt>
                <c:pt idx="2520">
                  <c:v>6</c:v>
                </c:pt>
                <c:pt idx="2521">
                  <c:v>6</c:v>
                </c:pt>
                <c:pt idx="2522">
                  <c:v>6</c:v>
                </c:pt>
                <c:pt idx="2523">
                  <c:v>6</c:v>
                </c:pt>
                <c:pt idx="2524">
                  <c:v>6</c:v>
                </c:pt>
                <c:pt idx="2525">
                  <c:v>7</c:v>
                </c:pt>
                <c:pt idx="2526">
                  <c:v>7</c:v>
                </c:pt>
                <c:pt idx="2527">
                  <c:v>7</c:v>
                </c:pt>
                <c:pt idx="2528">
                  <c:v>7</c:v>
                </c:pt>
                <c:pt idx="2529">
                  <c:v>7</c:v>
                </c:pt>
                <c:pt idx="2530">
                  <c:v>7</c:v>
                </c:pt>
                <c:pt idx="2531">
                  <c:v>7</c:v>
                </c:pt>
                <c:pt idx="2532">
                  <c:v>7</c:v>
                </c:pt>
                <c:pt idx="2533">
                  <c:v>7</c:v>
                </c:pt>
                <c:pt idx="2534">
                  <c:v>7</c:v>
                </c:pt>
                <c:pt idx="2535">
                  <c:v>7</c:v>
                </c:pt>
                <c:pt idx="2536">
                  <c:v>7</c:v>
                </c:pt>
                <c:pt idx="2537">
                  <c:v>7</c:v>
                </c:pt>
                <c:pt idx="2538">
                  <c:v>7</c:v>
                </c:pt>
                <c:pt idx="2539">
                  <c:v>7</c:v>
                </c:pt>
                <c:pt idx="2540">
                  <c:v>7</c:v>
                </c:pt>
                <c:pt idx="2541">
                  <c:v>7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7</c:v>
                </c:pt>
                <c:pt idx="2549">
                  <c:v>7</c:v>
                </c:pt>
                <c:pt idx="2550">
                  <c:v>7</c:v>
                </c:pt>
                <c:pt idx="2551">
                  <c:v>7</c:v>
                </c:pt>
                <c:pt idx="2552">
                  <c:v>7</c:v>
                </c:pt>
                <c:pt idx="2553">
                  <c:v>7</c:v>
                </c:pt>
                <c:pt idx="2554">
                  <c:v>7</c:v>
                </c:pt>
                <c:pt idx="2555">
                  <c:v>7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8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9</c:v>
                </c:pt>
                <c:pt idx="2588">
                  <c:v>9</c:v>
                </c:pt>
                <c:pt idx="2589">
                  <c:v>9</c:v>
                </c:pt>
                <c:pt idx="2590">
                  <c:v>9</c:v>
                </c:pt>
                <c:pt idx="2591">
                  <c:v>9</c:v>
                </c:pt>
                <c:pt idx="2592">
                  <c:v>9</c:v>
                </c:pt>
                <c:pt idx="2593">
                  <c:v>9</c:v>
                </c:pt>
                <c:pt idx="2594">
                  <c:v>9</c:v>
                </c:pt>
                <c:pt idx="2595">
                  <c:v>9</c:v>
                </c:pt>
                <c:pt idx="2596">
                  <c:v>9</c:v>
                </c:pt>
                <c:pt idx="2597">
                  <c:v>9</c:v>
                </c:pt>
                <c:pt idx="2598">
                  <c:v>9</c:v>
                </c:pt>
                <c:pt idx="2599">
                  <c:v>9</c:v>
                </c:pt>
                <c:pt idx="2600">
                  <c:v>9</c:v>
                </c:pt>
                <c:pt idx="2601">
                  <c:v>9</c:v>
                </c:pt>
                <c:pt idx="2602">
                  <c:v>9</c:v>
                </c:pt>
                <c:pt idx="2603">
                  <c:v>9</c:v>
                </c:pt>
                <c:pt idx="2604">
                  <c:v>9</c:v>
                </c:pt>
                <c:pt idx="2605">
                  <c:v>9</c:v>
                </c:pt>
                <c:pt idx="2606">
                  <c:v>9</c:v>
                </c:pt>
                <c:pt idx="2607">
                  <c:v>9</c:v>
                </c:pt>
                <c:pt idx="2608">
                  <c:v>9</c:v>
                </c:pt>
                <c:pt idx="2609">
                  <c:v>9</c:v>
                </c:pt>
                <c:pt idx="2610">
                  <c:v>9</c:v>
                </c:pt>
                <c:pt idx="2611">
                  <c:v>9</c:v>
                </c:pt>
                <c:pt idx="2612">
                  <c:v>9</c:v>
                </c:pt>
                <c:pt idx="2613">
                  <c:v>9</c:v>
                </c:pt>
                <c:pt idx="2614">
                  <c:v>9</c:v>
                </c:pt>
                <c:pt idx="2615">
                  <c:v>9</c:v>
                </c:pt>
                <c:pt idx="2616">
                  <c:v>9</c:v>
                </c:pt>
                <c:pt idx="2617">
                  <c:v>10</c:v>
                </c:pt>
                <c:pt idx="2618">
                  <c:v>10</c:v>
                </c:pt>
                <c:pt idx="2619">
                  <c:v>10</c:v>
                </c:pt>
                <c:pt idx="2620">
                  <c:v>10</c:v>
                </c:pt>
                <c:pt idx="2621">
                  <c:v>10</c:v>
                </c:pt>
                <c:pt idx="2622">
                  <c:v>10</c:v>
                </c:pt>
                <c:pt idx="2623">
                  <c:v>10</c:v>
                </c:pt>
                <c:pt idx="2624">
                  <c:v>10</c:v>
                </c:pt>
                <c:pt idx="2625">
                  <c:v>10</c:v>
                </c:pt>
                <c:pt idx="2626">
                  <c:v>10</c:v>
                </c:pt>
                <c:pt idx="2627">
                  <c:v>10</c:v>
                </c:pt>
                <c:pt idx="2628">
                  <c:v>10</c:v>
                </c:pt>
                <c:pt idx="2629">
                  <c:v>10</c:v>
                </c:pt>
                <c:pt idx="2630">
                  <c:v>10</c:v>
                </c:pt>
                <c:pt idx="2631">
                  <c:v>10</c:v>
                </c:pt>
                <c:pt idx="2632">
                  <c:v>10</c:v>
                </c:pt>
                <c:pt idx="2633">
                  <c:v>10</c:v>
                </c:pt>
                <c:pt idx="2634">
                  <c:v>10</c:v>
                </c:pt>
                <c:pt idx="2635">
                  <c:v>10</c:v>
                </c:pt>
                <c:pt idx="2636">
                  <c:v>10</c:v>
                </c:pt>
                <c:pt idx="2637">
                  <c:v>10</c:v>
                </c:pt>
                <c:pt idx="2638">
                  <c:v>10</c:v>
                </c:pt>
                <c:pt idx="2639">
                  <c:v>10</c:v>
                </c:pt>
                <c:pt idx="2640">
                  <c:v>10</c:v>
                </c:pt>
                <c:pt idx="2641">
                  <c:v>10</c:v>
                </c:pt>
                <c:pt idx="2642">
                  <c:v>10</c:v>
                </c:pt>
                <c:pt idx="2643">
                  <c:v>10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11</c:v>
                </c:pt>
                <c:pt idx="2649">
                  <c:v>11</c:v>
                </c:pt>
                <c:pt idx="2650">
                  <c:v>11</c:v>
                </c:pt>
                <c:pt idx="2651">
                  <c:v>11</c:v>
                </c:pt>
                <c:pt idx="2652">
                  <c:v>11</c:v>
                </c:pt>
                <c:pt idx="2653">
                  <c:v>11</c:v>
                </c:pt>
                <c:pt idx="2654">
                  <c:v>11</c:v>
                </c:pt>
                <c:pt idx="2655">
                  <c:v>11</c:v>
                </c:pt>
                <c:pt idx="2656">
                  <c:v>11</c:v>
                </c:pt>
                <c:pt idx="2657">
                  <c:v>11</c:v>
                </c:pt>
                <c:pt idx="2658">
                  <c:v>11</c:v>
                </c:pt>
                <c:pt idx="2659">
                  <c:v>11</c:v>
                </c:pt>
                <c:pt idx="2660">
                  <c:v>11</c:v>
                </c:pt>
                <c:pt idx="2661">
                  <c:v>11</c:v>
                </c:pt>
                <c:pt idx="2662">
                  <c:v>11</c:v>
                </c:pt>
                <c:pt idx="2663">
                  <c:v>11</c:v>
                </c:pt>
                <c:pt idx="2664">
                  <c:v>11</c:v>
                </c:pt>
                <c:pt idx="2665">
                  <c:v>11</c:v>
                </c:pt>
                <c:pt idx="2666">
                  <c:v>11</c:v>
                </c:pt>
                <c:pt idx="2667">
                  <c:v>11</c:v>
                </c:pt>
                <c:pt idx="2668">
                  <c:v>11</c:v>
                </c:pt>
                <c:pt idx="2669">
                  <c:v>11</c:v>
                </c:pt>
                <c:pt idx="2670">
                  <c:v>11</c:v>
                </c:pt>
                <c:pt idx="2671">
                  <c:v>11</c:v>
                </c:pt>
                <c:pt idx="2672">
                  <c:v>11</c:v>
                </c:pt>
                <c:pt idx="2673">
                  <c:v>11</c:v>
                </c:pt>
                <c:pt idx="2674">
                  <c:v>11</c:v>
                </c:pt>
                <c:pt idx="2675">
                  <c:v>11</c:v>
                </c:pt>
                <c:pt idx="2676">
                  <c:v>11</c:v>
                </c:pt>
                <c:pt idx="2677">
                  <c:v>11</c:v>
                </c:pt>
                <c:pt idx="2678">
                  <c:v>12</c:v>
                </c:pt>
                <c:pt idx="2679">
                  <c:v>12</c:v>
                </c:pt>
                <c:pt idx="2680">
                  <c:v>12</c:v>
                </c:pt>
                <c:pt idx="2681">
                  <c:v>12</c:v>
                </c:pt>
                <c:pt idx="2682">
                  <c:v>12</c:v>
                </c:pt>
                <c:pt idx="2683">
                  <c:v>12</c:v>
                </c:pt>
                <c:pt idx="2684">
                  <c:v>12</c:v>
                </c:pt>
                <c:pt idx="2685">
                  <c:v>12</c:v>
                </c:pt>
                <c:pt idx="2686">
                  <c:v>12</c:v>
                </c:pt>
                <c:pt idx="2687">
                  <c:v>12</c:v>
                </c:pt>
                <c:pt idx="2688">
                  <c:v>12</c:v>
                </c:pt>
                <c:pt idx="2689">
                  <c:v>12</c:v>
                </c:pt>
                <c:pt idx="2690">
                  <c:v>12</c:v>
                </c:pt>
                <c:pt idx="2691">
                  <c:v>12</c:v>
                </c:pt>
                <c:pt idx="2692">
                  <c:v>12</c:v>
                </c:pt>
                <c:pt idx="2693">
                  <c:v>12</c:v>
                </c:pt>
                <c:pt idx="2694">
                  <c:v>12</c:v>
                </c:pt>
                <c:pt idx="2695">
                  <c:v>12</c:v>
                </c:pt>
                <c:pt idx="2696">
                  <c:v>12</c:v>
                </c:pt>
                <c:pt idx="2697">
                  <c:v>12</c:v>
                </c:pt>
                <c:pt idx="2698">
                  <c:v>12</c:v>
                </c:pt>
                <c:pt idx="2699">
                  <c:v>12</c:v>
                </c:pt>
                <c:pt idx="2700">
                  <c:v>12</c:v>
                </c:pt>
                <c:pt idx="2701">
                  <c:v>12</c:v>
                </c:pt>
                <c:pt idx="2702">
                  <c:v>12</c:v>
                </c:pt>
                <c:pt idx="2703">
                  <c:v>12</c:v>
                </c:pt>
                <c:pt idx="2704">
                  <c:v>12</c:v>
                </c:pt>
                <c:pt idx="2705">
                  <c:v>12</c:v>
                </c:pt>
                <c:pt idx="2706">
                  <c:v>12</c:v>
                </c:pt>
                <c:pt idx="2707">
                  <c:v>12</c:v>
                </c:pt>
                <c:pt idx="2708">
                  <c:v>12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4</c:v>
                </c:pt>
                <c:pt idx="2801">
                  <c:v>4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4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6</c:v>
                </c:pt>
                <c:pt idx="2862">
                  <c:v>6</c:v>
                </c:pt>
                <c:pt idx="2863">
                  <c:v>6</c:v>
                </c:pt>
                <c:pt idx="2864">
                  <c:v>6</c:v>
                </c:pt>
                <c:pt idx="2865">
                  <c:v>6</c:v>
                </c:pt>
                <c:pt idx="2866">
                  <c:v>6</c:v>
                </c:pt>
                <c:pt idx="2867">
                  <c:v>6</c:v>
                </c:pt>
                <c:pt idx="2868">
                  <c:v>6</c:v>
                </c:pt>
                <c:pt idx="2869">
                  <c:v>6</c:v>
                </c:pt>
                <c:pt idx="2870">
                  <c:v>6</c:v>
                </c:pt>
                <c:pt idx="2871">
                  <c:v>6</c:v>
                </c:pt>
                <c:pt idx="2872">
                  <c:v>6</c:v>
                </c:pt>
                <c:pt idx="2873">
                  <c:v>6</c:v>
                </c:pt>
                <c:pt idx="2874">
                  <c:v>6</c:v>
                </c:pt>
                <c:pt idx="2875">
                  <c:v>6</c:v>
                </c:pt>
                <c:pt idx="2876">
                  <c:v>6</c:v>
                </c:pt>
                <c:pt idx="2877">
                  <c:v>6</c:v>
                </c:pt>
                <c:pt idx="2878">
                  <c:v>6</c:v>
                </c:pt>
                <c:pt idx="2879">
                  <c:v>6</c:v>
                </c:pt>
                <c:pt idx="2880">
                  <c:v>6</c:v>
                </c:pt>
                <c:pt idx="2881">
                  <c:v>6</c:v>
                </c:pt>
                <c:pt idx="2882">
                  <c:v>6</c:v>
                </c:pt>
                <c:pt idx="2883">
                  <c:v>6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7</c:v>
                </c:pt>
                <c:pt idx="2892">
                  <c:v>7</c:v>
                </c:pt>
                <c:pt idx="2893">
                  <c:v>7</c:v>
                </c:pt>
                <c:pt idx="2894">
                  <c:v>7</c:v>
                </c:pt>
                <c:pt idx="2895">
                  <c:v>7</c:v>
                </c:pt>
                <c:pt idx="2896">
                  <c:v>7</c:v>
                </c:pt>
                <c:pt idx="2897">
                  <c:v>7</c:v>
                </c:pt>
                <c:pt idx="2898">
                  <c:v>7</c:v>
                </c:pt>
                <c:pt idx="2899">
                  <c:v>7</c:v>
                </c:pt>
                <c:pt idx="2900">
                  <c:v>7</c:v>
                </c:pt>
                <c:pt idx="2901">
                  <c:v>7</c:v>
                </c:pt>
                <c:pt idx="2902">
                  <c:v>7</c:v>
                </c:pt>
                <c:pt idx="2903">
                  <c:v>7</c:v>
                </c:pt>
                <c:pt idx="2904">
                  <c:v>7</c:v>
                </c:pt>
                <c:pt idx="2905">
                  <c:v>7</c:v>
                </c:pt>
                <c:pt idx="2906">
                  <c:v>7</c:v>
                </c:pt>
                <c:pt idx="2907">
                  <c:v>7</c:v>
                </c:pt>
                <c:pt idx="2908">
                  <c:v>7</c:v>
                </c:pt>
                <c:pt idx="2909">
                  <c:v>7</c:v>
                </c:pt>
                <c:pt idx="2910">
                  <c:v>7</c:v>
                </c:pt>
                <c:pt idx="2911">
                  <c:v>7</c:v>
                </c:pt>
                <c:pt idx="2912">
                  <c:v>7</c:v>
                </c:pt>
                <c:pt idx="2913">
                  <c:v>7</c:v>
                </c:pt>
                <c:pt idx="2914">
                  <c:v>7</c:v>
                </c:pt>
                <c:pt idx="2915">
                  <c:v>7</c:v>
                </c:pt>
                <c:pt idx="2916">
                  <c:v>7</c:v>
                </c:pt>
                <c:pt idx="2917">
                  <c:v>7</c:v>
                </c:pt>
                <c:pt idx="2918">
                  <c:v>7</c:v>
                </c:pt>
                <c:pt idx="2919">
                  <c:v>7</c:v>
                </c:pt>
                <c:pt idx="2920">
                  <c:v>7</c:v>
                </c:pt>
                <c:pt idx="2921">
                  <c:v>7</c:v>
                </c:pt>
                <c:pt idx="2922">
                  <c:v>8</c:v>
                </c:pt>
                <c:pt idx="2923">
                  <c:v>8</c:v>
                </c:pt>
                <c:pt idx="2924">
                  <c:v>8</c:v>
                </c:pt>
                <c:pt idx="2925">
                  <c:v>8</c:v>
                </c:pt>
                <c:pt idx="2926">
                  <c:v>8</c:v>
                </c:pt>
                <c:pt idx="2927">
                  <c:v>8</c:v>
                </c:pt>
                <c:pt idx="2928">
                  <c:v>8</c:v>
                </c:pt>
                <c:pt idx="2929">
                  <c:v>8</c:v>
                </c:pt>
                <c:pt idx="2930">
                  <c:v>8</c:v>
                </c:pt>
                <c:pt idx="2931">
                  <c:v>8</c:v>
                </c:pt>
                <c:pt idx="2932">
                  <c:v>8</c:v>
                </c:pt>
                <c:pt idx="2933">
                  <c:v>8</c:v>
                </c:pt>
                <c:pt idx="2934">
                  <c:v>8</c:v>
                </c:pt>
                <c:pt idx="2935">
                  <c:v>8</c:v>
                </c:pt>
                <c:pt idx="2936">
                  <c:v>8</c:v>
                </c:pt>
                <c:pt idx="2937">
                  <c:v>8</c:v>
                </c:pt>
                <c:pt idx="2938">
                  <c:v>8</c:v>
                </c:pt>
                <c:pt idx="2939">
                  <c:v>8</c:v>
                </c:pt>
                <c:pt idx="2940">
                  <c:v>8</c:v>
                </c:pt>
                <c:pt idx="2941">
                  <c:v>8</c:v>
                </c:pt>
                <c:pt idx="2942">
                  <c:v>8</c:v>
                </c:pt>
                <c:pt idx="2943">
                  <c:v>8</c:v>
                </c:pt>
                <c:pt idx="2944">
                  <c:v>8</c:v>
                </c:pt>
                <c:pt idx="2945">
                  <c:v>8</c:v>
                </c:pt>
                <c:pt idx="2946">
                  <c:v>8</c:v>
                </c:pt>
                <c:pt idx="2947">
                  <c:v>8</c:v>
                </c:pt>
                <c:pt idx="2948">
                  <c:v>8</c:v>
                </c:pt>
                <c:pt idx="2949">
                  <c:v>8</c:v>
                </c:pt>
                <c:pt idx="2950">
                  <c:v>8</c:v>
                </c:pt>
                <c:pt idx="2951">
                  <c:v>8</c:v>
                </c:pt>
                <c:pt idx="2952">
                  <c:v>8</c:v>
                </c:pt>
                <c:pt idx="2953">
                  <c:v>9</c:v>
                </c:pt>
                <c:pt idx="2954">
                  <c:v>9</c:v>
                </c:pt>
                <c:pt idx="2955">
                  <c:v>9</c:v>
                </c:pt>
                <c:pt idx="2956">
                  <c:v>9</c:v>
                </c:pt>
                <c:pt idx="2957">
                  <c:v>9</c:v>
                </c:pt>
                <c:pt idx="2958">
                  <c:v>9</c:v>
                </c:pt>
                <c:pt idx="2959">
                  <c:v>9</c:v>
                </c:pt>
                <c:pt idx="2960">
                  <c:v>9</c:v>
                </c:pt>
                <c:pt idx="2961">
                  <c:v>9</c:v>
                </c:pt>
                <c:pt idx="2962">
                  <c:v>9</c:v>
                </c:pt>
                <c:pt idx="2963">
                  <c:v>9</c:v>
                </c:pt>
                <c:pt idx="2964">
                  <c:v>9</c:v>
                </c:pt>
                <c:pt idx="2965">
                  <c:v>9</c:v>
                </c:pt>
                <c:pt idx="2966">
                  <c:v>9</c:v>
                </c:pt>
                <c:pt idx="2967">
                  <c:v>9</c:v>
                </c:pt>
                <c:pt idx="2968">
                  <c:v>9</c:v>
                </c:pt>
                <c:pt idx="2969">
                  <c:v>9</c:v>
                </c:pt>
                <c:pt idx="2970">
                  <c:v>9</c:v>
                </c:pt>
                <c:pt idx="2971">
                  <c:v>9</c:v>
                </c:pt>
                <c:pt idx="2972">
                  <c:v>9</c:v>
                </c:pt>
                <c:pt idx="2973">
                  <c:v>9</c:v>
                </c:pt>
                <c:pt idx="2974">
                  <c:v>9</c:v>
                </c:pt>
                <c:pt idx="2975">
                  <c:v>9</c:v>
                </c:pt>
                <c:pt idx="2976">
                  <c:v>9</c:v>
                </c:pt>
                <c:pt idx="2977">
                  <c:v>9</c:v>
                </c:pt>
                <c:pt idx="2978">
                  <c:v>9</c:v>
                </c:pt>
                <c:pt idx="2979">
                  <c:v>9</c:v>
                </c:pt>
                <c:pt idx="2980">
                  <c:v>9</c:v>
                </c:pt>
                <c:pt idx="2981">
                  <c:v>9</c:v>
                </c:pt>
                <c:pt idx="2982">
                  <c:v>9</c:v>
                </c:pt>
                <c:pt idx="2983">
                  <c:v>10</c:v>
                </c:pt>
                <c:pt idx="2984">
                  <c:v>10</c:v>
                </c:pt>
                <c:pt idx="2985">
                  <c:v>10</c:v>
                </c:pt>
                <c:pt idx="2986">
                  <c:v>10</c:v>
                </c:pt>
                <c:pt idx="2987">
                  <c:v>10</c:v>
                </c:pt>
                <c:pt idx="2988">
                  <c:v>10</c:v>
                </c:pt>
                <c:pt idx="2989">
                  <c:v>10</c:v>
                </c:pt>
                <c:pt idx="2990">
                  <c:v>10</c:v>
                </c:pt>
                <c:pt idx="2991">
                  <c:v>10</c:v>
                </c:pt>
                <c:pt idx="2992">
                  <c:v>10</c:v>
                </c:pt>
                <c:pt idx="2993">
                  <c:v>10</c:v>
                </c:pt>
                <c:pt idx="2994">
                  <c:v>10</c:v>
                </c:pt>
                <c:pt idx="2995">
                  <c:v>10</c:v>
                </c:pt>
                <c:pt idx="2996">
                  <c:v>10</c:v>
                </c:pt>
                <c:pt idx="2997">
                  <c:v>10</c:v>
                </c:pt>
                <c:pt idx="2998">
                  <c:v>10</c:v>
                </c:pt>
                <c:pt idx="2999">
                  <c:v>10</c:v>
                </c:pt>
                <c:pt idx="3000">
                  <c:v>10</c:v>
                </c:pt>
                <c:pt idx="3001">
                  <c:v>10</c:v>
                </c:pt>
                <c:pt idx="3002">
                  <c:v>10</c:v>
                </c:pt>
                <c:pt idx="3003">
                  <c:v>10</c:v>
                </c:pt>
                <c:pt idx="3004">
                  <c:v>10</c:v>
                </c:pt>
                <c:pt idx="3005">
                  <c:v>10</c:v>
                </c:pt>
                <c:pt idx="3006">
                  <c:v>10</c:v>
                </c:pt>
                <c:pt idx="3007">
                  <c:v>10</c:v>
                </c:pt>
                <c:pt idx="3008">
                  <c:v>10</c:v>
                </c:pt>
                <c:pt idx="3009">
                  <c:v>10</c:v>
                </c:pt>
                <c:pt idx="3010">
                  <c:v>10</c:v>
                </c:pt>
                <c:pt idx="3011">
                  <c:v>10</c:v>
                </c:pt>
                <c:pt idx="3012">
                  <c:v>10</c:v>
                </c:pt>
                <c:pt idx="3013">
                  <c:v>10</c:v>
                </c:pt>
                <c:pt idx="3014">
                  <c:v>11</c:v>
                </c:pt>
                <c:pt idx="3015">
                  <c:v>11</c:v>
                </c:pt>
                <c:pt idx="3016">
                  <c:v>11</c:v>
                </c:pt>
                <c:pt idx="3017">
                  <c:v>11</c:v>
                </c:pt>
                <c:pt idx="3018">
                  <c:v>11</c:v>
                </c:pt>
                <c:pt idx="3019">
                  <c:v>11</c:v>
                </c:pt>
                <c:pt idx="3020">
                  <c:v>11</c:v>
                </c:pt>
                <c:pt idx="3021">
                  <c:v>11</c:v>
                </c:pt>
                <c:pt idx="3022">
                  <c:v>11</c:v>
                </c:pt>
                <c:pt idx="3023">
                  <c:v>11</c:v>
                </c:pt>
                <c:pt idx="3024">
                  <c:v>11</c:v>
                </c:pt>
                <c:pt idx="3025">
                  <c:v>11</c:v>
                </c:pt>
                <c:pt idx="3026">
                  <c:v>11</c:v>
                </c:pt>
                <c:pt idx="3027">
                  <c:v>11</c:v>
                </c:pt>
                <c:pt idx="3028">
                  <c:v>11</c:v>
                </c:pt>
                <c:pt idx="3029">
                  <c:v>11</c:v>
                </c:pt>
                <c:pt idx="3030">
                  <c:v>11</c:v>
                </c:pt>
                <c:pt idx="3031">
                  <c:v>11</c:v>
                </c:pt>
                <c:pt idx="3032">
                  <c:v>11</c:v>
                </c:pt>
                <c:pt idx="3033">
                  <c:v>11</c:v>
                </c:pt>
                <c:pt idx="3034">
                  <c:v>11</c:v>
                </c:pt>
                <c:pt idx="3035">
                  <c:v>11</c:v>
                </c:pt>
                <c:pt idx="3036">
                  <c:v>11</c:v>
                </c:pt>
                <c:pt idx="3037">
                  <c:v>11</c:v>
                </c:pt>
                <c:pt idx="3038">
                  <c:v>11</c:v>
                </c:pt>
                <c:pt idx="3039">
                  <c:v>11</c:v>
                </c:pt>
                <c:pt idx="3040">
                  <c:v>11</c:v>
                </c:pt>
                <c:pt idx="3041">
                  <c:v>11</c:v>
                </c:pt>
                <c:pt idx="3042">
                  <c:v>11</c:v>
                </c:pt>
                <c:pt idx="3043">
                  <c:v>11</c:v>
                </c:pt>
                <c:pt idx="3044">
                  <c:v>12</c:v>
                </c:pt>
                <c:pt idx="3045">
                  <c:v>12</c:v>
                </c:pt>
                <c:pt idx="3046">
                  <c:v>12</c:v>
                </c:pt>
                <c:pt idx="3047">
                  <c:v>12</c:v>
                </c:pt>
                <c:pt idx="3048">
                  <c:v>12</c:v>
                </c:pt>
                <c:pt idx="3049">
                  <c:v>12</c:v>
                </c:pt>
                <c:pt idx="3050">
                  <c:v>12</c:v>
                </c:pt>
                <c:pt idx="3051">
                  <c:v>12</c:v>
                </c:pt>
                <c:pt idx="3052">
                  <c:v>12</c:v>
                </c:pt>
                <c:pt idx="3053">
                  <c:v>12</c:v>
                </c:pt>
                <c:pt idx="3054">
                  <c:v>12</c:v>
                </c:pt>
                <c:pt idx="3055">
                  <c:v>12</c:v>
                </c:pt>
                <c:pt idx="3056">
                  <c:v>12</c:v>
                </c:pt>
                <c:pt idx="3057">
                  <c:v>12</c:v>
                </c:pt>
                <c:pt idx="3058">
                  <c:v>12</c:v>
                </c:pt>
                <c:pt idx="3059">
                  <c:v>12</c:v>
                </c:pt>
                <c:pt idx="3060">
                  <c:v>12</c:v>
                </c:pt>
                <c:pt idx="3061">
                  <c:v>12</c:v>
                </c:pt>
                <c:pt idx="3062">
                  <c:v>12</c:v>
                </c:pt>
                <c:pt idx="3063">
                  <c:v>12</c:v>
                </c:pt>
                <c:pt idx="3064">
                  <c:v>12</c:v>
                </c:pt>
                <c:pt idx="3065">
                  <c:v>12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12</c:v>
                </c:pt>
                <c:pt idx="3070">
                  <c:v>12</c:v>
                </c:pt>
                <c:pt idx="3071">
                  <c:v>12</c:v>
                </c:pt>
                <c:pt idx="3072">
                  <c:v>12</c:v>
                </c:pt>
                <c:pt idx="3073">
                  <c:v>12</c:v>
                </c:pt>
                <c:pt idx="3074">
                  <c:v>12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</c:numCache>
            </c:numRef>
          </c:cat>
          <c:val>
            <c:numRef>
              <c:f>Daily_Analysis!$H$11:$H$3144</c:f>
              <c:numCache>
                <c:formatCode>General</c:formatCode>
                <c:ptCount val="3134"/>
                <c:pt idx="0">
                  <c:v>0.12</c:v>
                </c:pt>
                <c:pt idx="1">
                  <c:v>0.11</c:v>
                </c:pt>
                <c:pt idx="2">
                  <c:v>0.1</c:v>
                </c:pt>
                <c:pt idx="3">
                  <c:v>0.1</c:v>
                </c:pt>
                <c:pt idx="4">
                  <c:v>0.11</c:v>
                </c:pt>
                <c:pt idx="5">
                  <c:v>0.08</c:v>
                </c:pt>
                <c:pt idx="6">
                  <c:v>0.09</c:v>
                </c:pt>
                <c:pt idx="7">
                  <c:v>0.11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0.11</c:v>
                </c:pt>
                <c:pt idx="12">
                  <c:v>0.09</c:v>
                </c:pt>
                <c:pt idx="13">
                  <c:v>0.08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0.08</c:v>
                </c:pt>
                <c:pt idx="20">
                  <c:v>0.09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0.11</c:v>
                </c:pt>
                <c:pt idx="26">
                  <c:v>0.08</c:v>
                </c:pt>
                <c:pt idx="27">
                  <c:v>0.09</c:v>
                </c:pt>
                <c:pt idx="28">
                  <c:v>0.1</c:v>
                </c:pt>
                <c:pt idx="29">
                  <c:v>0.11</c:v>
                </c:pt>
                <c:pt idx="30">
                  <c:v>0.11</c:v>
                </c:pt>
                <c:pt idx="31">
                  <c:v>0.21</c:v>
                </c:pt>
                <c:pt idx="32">
                  <c:v>0.22</c:v>
                </c:pt>
                <c:pt idx="33">
                  <c:v>0.14000000000000001</c:v>
                </c:pt>
                <c:pt idx="34">
                  <c:v>0.15</c:v>
                </c:pt>
                <c:pt idx="35">
                  <c:v>0.18</c:v>
                </c:pt>
                <c:pt idx="36">
                  <c:v>0.18</c:v>
                </c:pt>
                <c:pt idx="37">
                  <c:v>0.17</c:v>
                </c:pt>
                <c:pt idx="38">
                  <c:v>0.17</c:v>
                </c:pt>
                <c:pt idx="39">
                  <c:v>0.19</c:v>
                </c:pt>
                <c:pt idx="40">
                  <c:v>0.15</c:v>
                </c:pt>
                <c:pt idx="41">
                  <c:v>0.15</c:v>
                </c:pt>
                <c:pt idx="42">
                  <c:v>0.18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0.19</c:v>
                </c:pt>
                <c:pt idx="47">
                  <c:v>0.16</c:v>
                </c:pt>
                <c:pt idx="48">
                  <c:v>0.15</c:v>
                </c:pt>
                <c:pt idx="49">
                  <c:v>0.18</c:v>
                </c:pt>
                <c:pt idx="50">
                  <c:v>0.18</c:v>
                </c:pt>
                <c:pt idx="51">
                  <c:v>0.17</c:v>
                </c:pt>
                <c:pt idx="52">
                  <c:v>0.17</c:v>
                </c:pt>
                <c:pt idx="53">
                  <c:v>0.19</c:v>
                </c:pt>
                <c:pt idx="54">
                  <c:v>0.16</c:v>
                </c:pt>
                <c:pt idx="55">
                  <c:v>0.15</c:v>
                </c:pt>
                <c:pt idx="56">
                  <c:v>0.18</c:v>
                </c:pt>
                <c:pt idx="57">
                  <c:v>0.17</c:v>
                </c:pt>
                <c:pt idx="58">
                  <c:v>0.18</c:v>
                </c:pt>
                <c:pt idx="59">
                  <c:v>0.21</c:v>
                </c:pt>
                <c:pt idx="60">
                  <c:v>0.22</c:v>
                </c:pt>
                <c:pt idx="61">
                  <c:v>0.5</c:v>
                </c:pt>
                <c:pt idx="62">
                  <c:v>0.49</c:v>
                </c:pt>
                <c:pt idx="63">
                  <c:v>0.52</c:v>
                </c:pt>
                <c:pt idx="64">
                  <c:v>0.53</c:v>
                </c:pt>
                <c:pt idx="65">
                  <c:v>0.54</c:v>
                </c:pt>
                <c:pt idx="66">
                  <c:v>0.52</c:v>
                </c:pt>
                <c:pt idx="67">
                  <c:v>0.56999999999999995</c:v>
                </c:pt>
                <c:pt idx="68">
                  <c:v>0.44</c:v>
                </c:pt>
                <c:pt idx="69">
                  <c:v>0.43</c:v>
                </c:pt>
                <c:pt idx="70">
                  <c:v>0.55000000000000004</c:v>
                </c:pt>
                <c:pt idx="71">
                  <c:v>0.54</c:v>
                </c:pt>
                <c:pt idx="72">
                  <c:v>0.52</c:v>
                </c:pt>
                <c:pt idx="73">
                  <c:v>0.54</c:v>
                </c:pt>
                <c:pt idx="74">
                  <c:v>0.52</c:v>
                </c:pt>
                <c:pt idx="75">
                  <c:v>0.5</c:v>
                </c:pt>
                <c:pt idx="76">
                  <c:v>0.48</c:v>
                </c:pt>
                <c:pt idx="77">
                  <c:v>0.59</c:v>
                </c:pt>
                <c:pt idx="78">
                  <c:v>0.56999999999999995</c:v>
                </c:pt>
                <c:pt idx="79">
                  <c:v>0.53</c:v>
                </c:pt>
                <c:pt idx="80">
                  <c:v>0.56000000000000005</c:v>
                </c:pt>
                <c:pt idx="81">
                  <c:v>0.62</c:v>
                </c:pt>
                <c:pt idx="82">
                  <c:v>0.51</c:v>
                </c:pt>
                <c:pt idx="83">
                  <c:v>0.47</c:v>
                </c:pt>
                <c:pt idx="84">
                  <c:v>0.57999999999999996</c:v>
                </c:pt>
                <c:pt idx="85">
                  <c:v>0.56000000000000005</c:v>
                </c:pt>
                <c:pt idx="86">
                  <c:v>0.53</c:v>
                </c:pt>
                <c:pt idx="87">
                  <c:v>0.52</c:v>
                </c:pt>
                <c:pt idx="88">
                  <c:v>0.55000000000000004</c:v>
                </c:pt>
                <c:pt idx="89">
                  <c:v>0.45</c:v>
                </c:pt>
                <c:pt idx="90">
                  <c:v>0.51</c:v>
                </c:pt>
                <c:pt idx="91">
                  <c:v>0.64</c:v>
                </c:pt>
                <c:pt idx="92">
                  <c:v>0.9</c:v>
                </c:pt>
                <c:pt idx="93">
                  <c:v>0.91</c:v>
                </c:pt>
                <c:pt idx="94">
                  <c:v>0.79</c:v>
                </c:pt>
                <c:pt idx="95">
                  <c:v>0.83</c:v>
                </c:pt>
                <c:pt idx="96">
                  <c:v>0.69</c:v>
                </c:pt>
                <c:pt idx="97">
                  <c:v>0.69</c:v>
                </c:pt>
                <c:pt idx="98">
                  <c:v>0.84</c:v>
                </c:pt>
                <c:pt idx="99">
                  <c:v>0.8</c:v>
                </c:pt>
                <c:pt idx="100">
                  <c:v>0.77</c:v>
                </c:pt>
                <c:pt idx="101">
                  <c:v>0.79</c:v>
                </c:pt>
                <c:pt idx="102">
                  <c:v>0.86</c:v>
                </c:pt>
                <c:pt idx="103">
                  <c:v>0.66</c:v>
                </c:pt>
                <c:pt idx="104">
                  <c:v>0.68</c:v>
                </c:pt>
                <c:pt idx="105">
                  <c:v>0.85</c:v>
                </c:pt>
                <c:pt idx="106">
                  <c:v>0.93</c:v>
                </c:pt>
                <c:pt idx="107">
                  <c:v>0.89</c:v>
                </c:pt>
                <c:pt idx="108">
                  <c:v>0.89</c:v>
                </c:pt>
                <c:pt idx="109">
                  <c:v>0.95</c:v>
                </c:pt>
                <c:pt idx="110">
                  <c:v>0.7</c:v>
                </c:pt>
                <c:pt idx="111">
                  <c:v>0.75</c:v>
                </c:pt>
                <c:pt idx="112">
                  <c:v>0.93</c:v>
                </c:pt>
                <c:pt idx="113">
                  <c:v>0.95</c:v>
                </c:pt>
                <c:pt idx="114">
                  <c:v>0.88</c:v>
                </c:pt>
                <c:pt idx="115">
                  <c:v>0.89</c:v>
                </c:pt>
                <c:pt idx="116">
                  <c:v>0.95</c:v>
                </c:pt>
                <c:pt idx="117">
                  <c:v>0.65</c:v>
                </c:pt>
                <c:pt idx="118">
                  <c:v>0.71</c:v>
                </c:pt>
                <c:pt idx="119">
                  <c:v>0.86</c:v>
                </c:pt>
                <c:pt idx="120">
                  <c:v>0.94</c:v>
                </c:pt>
                <c:pt idx="121">
                  <c:v>0.9</c:v>
                </c:pt>
                <c:pt idx="122">
                  <c:v>2.76</c:v>
                </c:pt>
                <c:pt idx="123">
                  <c:v>2.75</c:v>
                </c:pt>
                <c:pt idx="124">
                  <c:v>2</c:v>
                </c:pt>
                <c:pt idx="125">
                  <c:v>2.11</c:v>
                </c:pt>
                <c:pt idx="126">
                  <c:v>2.35</c:v>
                </c:pt>
                <c:pt idx="127">
                  <c:v>2.2599999999999998</c:v>
                </c:pt>
                <c:pt idx="128">
                  <c:v>2.31</c:v>
                </c:pt>
                <c:pt idx="129">
                  <c:v>2.27</c:v>
                </c:pt>
                <c:pt idx="130">
                  <c:v>2.38</c:v>
                </c:pt>
                <c:pt idx="131">
                  <c:v>1.96</c:v>
                </c:pt>
                <c:pt idx="132">
                  <c:v>1.88</c:v>
                </c:pt>
                <c:pt idx="133">
                  <c:v>2.4500000000000002</c:v>
                </c:pt>
                <c:pt idx="134">
                  <c:v>2.2400000000000002</c:v>
                </c:pt>
                <c:pt idx="135">
                  <c:v>2.41</c:v>
                </c:pt>
                <c:pt idx="136">
                  <c:v>2.25</c:v>
                </c:pt>
                <c:pt idx="137">
                  <c:v>2.46</c:v>
                </c:pt>
                <c:pt idx="138">
                  <c:v>2.0099999999999998</c:v>
                </c:pt>
                <c:pt idx="139">
                  <c:v>1.87</c:v>
                </c:pt>
                <c:pt idx="140">
                  <c:v>2.4300000000000002</c:v>
                </c:pt>
                <c:pt idx="141">
                  <c:v>2.39</c:v>
                </c:pt>
                <c:pt idx="142">
                  <c:v>2.19</c:v>
                </c:pt>
                <c:pt idx="143">
                  <c:v>2.31</c:v>
                </c:pt>
                <c:pt idx="144">
                  <c:v>2.5</c:v>
                </c:pt>
                <c:pt idx="145">
                  <c:v>2.0099999999999998</c:v>
                </c:pt>
                <c:pt idx="146">
                  <c:v>1.87</c:v>
                </c:pt>
                <c:pt idx="147">
                  <c:v>2.33</c:v>
                </c:pt>
                <c:pt idx="148">
                  <c:v>2.34</c:v>
                </c:pt>
                <c:pt idx="149">
                  <c:v>2.3199999999999998</c:v>
                </c:pt>
                <c:pt idx="150">
                  <c:v>2.3199999999999998</c:v>
                </c:pt>
                <c:pt idx="151">
                  <c:v>2.89</c:v>
                </c:pt>
                <c:pt idx="152">
                  <c:v>2.2000000000000002</c:v>
                </c:pt>
                <c:pt idx="153">
                  <c:v>5.39</c:v>
                </c:pt>
                <c:pt idx="154">
                  <c:v>6.66</c:v>
                </c:pt>
                <c:pt idx="155">
                  <c:v>5.35</c:v>
                </c:pt>
                <c:pt idx="156">
                  <c:v>5.77</c:v>
                </c:pt>
                <c:pt idx="157">
                  <c:v>5.54</c:v>
                </c:pt>
                <c:pt idx="158">
                  <c:v>5.71</c:v>
                </c:pt>
                <c:pt idx="159">
                  <c:v>4.75</c:v>
                </c:pt>
                <c:pt idx="160">
                  <c:v>4.49</c:v>
                </c:pt>
                <c:pt idx="161">
                  <c:v>5.87</c:v>
                </c:pt>
                <c:pt idx="162">
                  <c:v>5.66</c:v>
                </c:pt>
                <c:pt idx="163">
                  <c:v>5.33</c:v>
                </c:pt>
                <c:pt idx="164">
                  <c:v>5.62</c:v>
                </c:pt>
                <c:pt idx="165">
                  <c:v>5.97</c:v>
                </c:pt>
                <c:pt idx="166">
                  <c:v>4.78</c:v>
                </c:pt>
                <c:pt idx="167">
                  <c:v>4.96</c:v>
                </c:pt>
                <c:pt idx="168">
                  <c:v>5.7</c:v>
                </c:pt>
                <c:pt idx="169">
                  <c:v>5.34</c:v>
                </c:pt>
                <c:pt idx="170">
                  <c:v>5.32</c:v>
                </c:pt>
                <c:pt idx="171">
                  <c:v>5.33</c:v>
                </c:pt>
                <c:pt idx="172">
                  <c:v>5.89</c:v>
                </c:pt>
                <c:pt idx="173">
                  <c:v>4.7</c:v>
                </c:pt>
                <c:pt idx="174">
                  <c:v>4.6900000000000004</c:v>
                </c:pt>
                <c:pt idx="175">
                  <c:v>5.88</c:v>
                </c:pt>
                <c:pt idx="176">
                  <c:v>5.47</c:v>
                </c:pt>
                <c:pt idx="177">
                  <c:v>5.7</c:v>
                </c:pt>
                <c:pt idx="178">
                  <c:v>5.42</c:v>
                </c:pt>
                <c:pt idx="179">
                  <c:v>6.35</c:v>
                </c:pt>
                <c:pt idx="180">
                  <c:v>4.75</c:v>
                </c:pt>
                <c:pt idx="181">
                  <c:v>4.51</c:v>
                </c:pt>
                <c:pt idx="182">
                  <c:v>6.4</c:v>
                </c:pt>
                <c:pt idx="183">
                  <c:v>6.38</c:v>
                </c:pt>
                <c:pt idx="184">
                  <c:v>7.78</c:v>
                </c:pt>
                <c:pt idx="185">
                  <c:v>8</c:v>
                </c:pt>
                <c:pt idx="186">
                  <c:v>7.45</c:v>
                </c:pt>
                <c:pt idx="187">
                  <c:v>5.78</c:v>
                </c:pt>
                <c:pt idx="188">
                  <c:v>5.62</c:v>
                </c:pt>
                <c:pt idx="189">
                  <c:v>6.84</c:v>
                </c:pt>
                <c:pt idx="190">
                  <c:v>6.72</c:v>
                </c:pt>
                <c:pt idx="191">
                  <c:v>6.99</c:v>
                </c:pt>
                <c:pt idx="192">
                  <c:v>6.86</c:v>
                </c:pt>
                <c:pt idx="193">
                  <c:v>7.1</c:v>
                </c:pt>
                <c:pt idx="194">
                  <c:v>5.83</c:v>
                </c:pt>
                <c:pt idx="195">
                  <c:v>5.87</c:v>
                </c:pt>
                <c:pt idx="196">
                  <c:v>6.97</c:v>
                </c:pt>
                <c:pt idx="197">
                  <c:v>6.84</c:v>
                </c:pt>
                <c:pt idx="198">
                  <c:v>6.83</c:v>
                </c:pt>
                <c:pt idx="199">
                  <c:v>6.58</c:v>
                </c:pt>
                <c:pt idx="200">
                  <c:v>7.43</c:v>
                </c:pt>
                <c:pt idx="201">
                  <c:v>5.91</c:v>
                </c:pt>
                <c:pt idx="202">
                  <c:v>6.01</c:v>
                </c:pt>
                <c:pt idx="203">
                  <c:v>7.37</c:v>
                </c:pt>
                <c:pt idx="204">
                  <c:v>6.53</c:v>
                </c:pt>
                <c:pt idx="205">
                  <c:v>6.62</c:v>
                </c:pt>
                <c:pt idx="206">
                  <c:v>6.92</c:v>
                </c:pt>
                <c:pt idx="207">
                  <c:v>7.46</c:v>
                </c:pt>
                <c:pt idx="208">
                  <c:v>5.9</c:v>
                </c:pt>
                <c:pt idx="209">
                  <c:v>6.58</c:v>
                </c:pt>
                <c:pt idx="210">
                  <c:v>8.36</c:v>
                </c:pt>
                <c:pt idx="211">
                  <c:v>8.1</c:v>
                </c:pt>
                <c:pt idx="212">
                  <c:v>8.9700000000000006</c:v>
                </c:pt>
                <c:pt idx="213">
                  <c:v>8.89</c:v>
                </c:pt>
                <c:pt idx="214">
                  <c:v>8.1199999999999992</c:v>
                </c:pt>
                <c:pt idx="215">
                  <c:v>6.62</c:v>
                </c:pt>
                <c:pt idx="216">
                  <c:v>6.27</c:v>
                </c:pt>
                <c:pt idx="217">
                  <c:v>7.91</c:v>
                </c:pt>
                <c:pt idx="218">
                  <c:v>7.47</c:v>
                </c:pt>
                <c:pt idx="219">
                  <c:v>7.6</c:v>
                </c:pt>
                <c:pt idx="220">
                  <c:v>8.11</c:v>
                </c:pt>
                <c:pt idx="221">
                  <c:v>7.76</c:v>
                </c:pt>
                <c:pt idx="222">
                  <c:v>6.6</c:v>
                </c:pt>
                <c:pt idx="223">
                  <c:v>6.08</c:v>
                </c:pt>
                <c:pt idx="224">
                  <c:v>7.85</c:v>
                </c:pt>
                <c:pt idx="225">
                  <c:v>7.83</c:v>
                </c:pt>
                <c:pt idx="226">
                  <c:v>7.6</c:v>
                </c:pt>
                <c:pt idx="227">
                  <c:v>7.34</c:v>
                </c:pt>
                <c:pt idx="228">
                  <c:v>8.02</c:v>
                </c:pt>
                <c:pt idx="229">
                  <c:v>6.6</c:v>
                </c:pt>
                <c:pt idx="230">
                  <c:v>6.28</c:v>
                </c:pt>
                <c:pt idx="231">
                  <c:v>8.01</c:v>
                </c:pt>
                <c:pt idx="232">
                  <c:v>7.59</c:v>
                </c:pt>
                <c:pt idx="233">
                  <c:v>7.43</c:v>
                </c:pt>
                <c:pt idx="234">
                  <c:v>8.07</c:v>
                </c:pt>
                <c:pt idx="235">
                  <c:v>8.33</c:v>
                </c:pt>
                <c:pt idx="236">
                  <c:v>5.98</c:v>
                </c:pt>
                <c:pt idx="237">
                  <c:v>6.49</c:v>
                </c:pt>
                <c:pt idx="238">
                  <c:v>7.81</c:v>
                </c:pt>
                <c:pt idx="239">
                  <c:v>7.77</c:v>
                </c:pt>
                <c:pt idx="240">
                  <c:v>7.4</c:v>
                </c:pt>
                <c:pt idx="241">
                  <c:v>8.69</c:v>
                </c:pt>
                <c:pt idx="242">
                  <c:v>9.5500000000000007</c:v>
                </c:pt>
                <c:pt idx="243">
                  <c:v>9.07</c:v>
                </c:pt>
                <c:pt idx="244">
                  <c:v>8.42</c:v>
                </c:pt>
                <c:pt idx="245">
                  <c:v>9.36</c:v>
                </c:pt>
                <c:pt idx="246">
                  <c:v>8.8699999999999992</c:v>
                </c:pt>
                <c:pt idx="247">
                  <c:v>8.82</c:v>
                </c:pt>
                <c:pt idx="248">
                  <c:v>9.48</c:v>
                </c:pt>
                <c:pt idx="249">
                  <c:v>9.83</c:v>
                </c:pt>
                <c:pt idx="250">
                  <c:v>7.31</c:v>
                </c:pt>
                <c:pt idx="251">
                  <c:v>7.9</c:v>
                </c:pt>
                <c:pt idx="252">
                  <c:v>10.02</c:v>
                </c:pt>
                <c:pt idx="253">
                  <c:v>9.2799999999999994</c:v>
                </c:pt>
                <c:pt idx="254">
                  <c:v>8.59</c:v>
                </c:pt>
                <c:pt idx="255">
                  <c:v>8.8699999999999992</c:v>
                </c:pt>
                <c:pt idx="256">
                  <c:v>10.06</c:v>
                </c:pt>
                <c:pt idx="257">
                  <c:v>7.46</c:v>
                </c:pt>
                <c:pt idx="258">
                  <c:v>7.77</c:v>
                </c:pt>
                <c:pt idx="259">
                  <c:v>9.66</c:v>
                </c:pt>
                <c:pt idx="260">
                  <c:v>8.75</c:v>
                </c:pt>
                <c:pt idx="261">
                  <c:v>8.98</c:v>
                </c:pt>
                <c:pt idx="262">
                  <c:v>8.1199999999999992</c:v>
                </c:pt>
                <c:pt idx="263">
                  <c:v>9.44</c:v>
                </c:pt>
                <c:pt idx="264">
                  <c:v>7.58</c:v>
                </c:pt>
                <c:pt idx="265">
                  <c:v>7.31</c:v>
                </c:pt>
                <c:pt idx="266">
                  <c:v>9.89</c:v>
                </c:pt>
                <c:pt idx="267">
                  <c:v>8.61</c:v>
                </c:pt>
                <c:pt idx="268">
                  <c:v>8.8800000000000008</c:v>
                </c:pt>
                <c:pt idx="269">
                  <c:v>9.0399999999999991</c:v>
                </c:pt>
                <c:pt idx="270">
                  <c:v>10.11</c:v>
                </c:pt>
                <c:pt idx="271">
                  <c:v>8.35</c:v>
                </c:pt>
                <c:pt idx="272">
                  <c:v>9.16</c:v>
                </c:pt>
                <c:pt idx="273">
                  <c:v>15.59</c:v>
                </c:pt>
                <c:pt idx="274">
                  <c:v>14.4</c:v>
                </c:pt>
                <c:pt idx="275">
                  <c:v>13.08</c:v>
                </c:pt>
                <c:pt idx="276">
                  <c:v>12.98</c:v>
                </c:pt>
                <c:pt idx="277">
                  <c:v>13.7</c:v>
                </c:pt>
                <c:pt idx="278">
                  <c:v>10.99</c:v>
                </c:pt>
                <c:pt idx="279">
                  <c:v>10.82</c:v>
                </c:pt>
                <c:pt idx="280">
                  <c:v>13.59</c:v>
                </c:pt>
                <c:pt idx="281">
                  <c:v>13.16</c:v>
                </c:pt>
                <c:pt idx="282">
                  <c:v>13.52</c:v>
                </c:pt>
                <c:pt idx="283">
                  <c:v>12.42</c:v>
                </c:pt>
                <c:pt idx="284">
                  <c:v>14.76</c:v>
                </c:pt>
                <c:pt idx="285">
                  <c:v>10.210000000000001</c:v>
                </c:pt>
                <c:pt idx="286">
                  <c:v>10.91</c:v>
                </c:pt>
                <c:pt idx="287">
                  <c:v>13.78</c:v>
                </c:pt>
                <c:pt idx="288">
                  <c:v>13.01</c:v>
                </c:pt>
                <c:pt idx="289">
                  <c:v>12.66</c:v>
                </c:pt>
                <c:pt idx="290">
                  <c:v>12.82</c:v>
                </c:pt>
                <c:pt idx="291">
                  <c:v>13.74</c:v>
                </c:pt>
                <c:pt idx="292">
                  <c:v>10.74</c:v>
                </c:pt>
                <c:pt idx="293">
                  <c:v>11.3</c:v>
                </c:pt>
                <c:pt idx="294">
                  <c:v>13.69</c:v>
                </c:pt>
                <c:pt idx="295">
                  <c:v>12.64</c:v>
                </c:pt>
                <c:pt idx="296">
                  <c:v>13.25</c:v>
                </c:pt>
                <c:pt idx="297">
                  <c:v>13.02</c:v>
                </c:pt>
                <c:pt idx="298">
                  <c:v>14.25</c:v>
                </c:pt>
                <c:pt idx="299">
                  <c:v>11.21</c:v>
                </c:pt>
                <c:pt idx="300">
                  <c:v>10.65</c:v>
                </c:pt>
                <c:pt idx="301">
                  <c:v>13.33</c:v>
                </c:pt>
                <c:pt idx="302">
                  <c:v>15.17</c:v>
                </c:pt>
                <c:pt idx="303">
                  <c:v>15.11</c:v>
                </c:pt>
                <c:pt idx="304">
                  <c:v>17.239999999999998</c:v>
                </c:pt>
                <c:pt idx="305">
                  <c:v>18.690000000000001</c:v>
                </c:pt>
                <c:pt idx="306">
                  <c:v>13.32</c:v>
                </c:pt>
                <c:pt idx="307">
                  <c:v>12.48</c:v>
                </c:pt>
                <c:pt idx="308">
                  <c:v>16</c:v>
                </c:pt>
                <c:pt idx="309">
                  <c:v>14.91</c:v>
                </c:pt>
                <c:pt idx="310">
                  <c:v>14.9</c:v>
                </c:pt>
                <c:pt idx="311">
                  <c:v>15.49</c:v>
                </c:pt>
                <c:pt idx="312">
                  <c:v>16.57</c:v>
                </c:pt>
                <c:pt idx="313">
                  <c:v>13.12</c:v>
                </c:pt>
                <c:pt idx="314">
                  <c:v>13.34</c:v>
                </c:pt>
                <c:pt idx="315">
                  <c:v>15.76</c:v>
                </c:pt>
                <c:pt idx="316">
                  <c:v>15.31</c:v>
                </c:pt>
                <c:pt idx="317">
                  <c:v>14.86</c:v>
                </c:pt>
                <c:pt idx="318">
                  <c:v>15.15</c:v>
                </c:pt>
                <c:pt idx="319">
                  <c:v>16.14</c:v>
                </c:pt>
                <c:pt idx="320">
                  <c:v>12.79</c:v>
                </c:pt>
                <c:pt idx="321">
                  <c:v>13.02</c:v>
                </c:pt>
                <c:pt idx="322">
                  <c:v>15.38</c:v>
                </c:pt>
                <c:pt idx="323">
                  <c:v>15.94</c:v>
                </c:pt>
                <c:pt idx="324">
                  <c:v>14.55</c:v>
                </c:pt>
                <c:pt idx="325">
                  <c:v>14.45</c:v>
                </c:pt>
                <c:pt idx="326">
                  <c:v>16.72</c:v>
                </c:pt>
                <c:pt idx="327">
                  <c:v>13.11</c:v>
                </c:pt>
                <c:pt idx="328">
                  <c:v>13.03</c:v>
                </c:pt>
                <c:pt idx="329">
                  <c:v>16.03</c:v>
                </c:pt>
                <c:pt idx="330">
                  <c:v>14.99</c:v>
                </c:pt>
                <c:pt idx="331">
                  <c:v>14.6</c:v>
                </c:pt>
                <c:pt idx="332">
                  <c:v>17.29</c:v>
                </c:pt>
                <c:pt idx="333">
                  <c:v>18.28</c:v>
                </c:pt>
                <c:pt idx="334">
                  <c:v>17.61</c:v>
                </c:pt>
                <c:pt idx="335">
                  <c:v>16.940000000000001</c:v>
                </c:pt>
                <c:pt idx="336">
                  <c:v>17.86</c:v>
                </c:pt>
                <c:pt idx="337">
                  <c:v>17.25</c:v>
                </c:pt>
                <c:pt idx="338">
                  <c:v>17.64</c:v>
                </c:pt>
                <c:pt idx="339">
                  <c:v>17.12</c:v>
                </c:pt>
                <c:pt idx="340">
                  <c:v>18.38</c:v>
                </c:pt>
                <c:pt idx="341">
                  <c:v>14.93</c:v>
                </c:pt>
                <c:pt idx="342">
                  <c:v>14.93</c:v>
                </c:pt>
                <c:pt idx="343">
                  <c:v>18.03</c:v>
                </c:pt>
                <c:pt idx="344">
                  <c:v>17.170000000000002</c:v>
                </c:pt>
                <c:pt idx="345">
                  <c:v>17.54</c:v>
                </c:pt>
                <c:pt idx="346">
                  <c:v>16.66</c:v>
                </c:pt>
                <c:pt idx="347">
                  <c:v>18.079999999999998</c:v>
                </c:pt>
                <c:pt idx="348">
                  <c:v>14.43</c:v>
                </c:pt>
                <c:pt idx="349">
                  <c:v>14.69</c:v>
                </c:pt>
                <c:pt idx="350">
                  <c:v>18.45</c:v>
                </c:pt>
                <c:pt idx="351">
                  <c:v>18.190000000000001</c:v>
                </c:pt>
                <c:pt idx="352">
                  <c:v>17.87</c:v>
                </c:pt>
                <c:pt idx="353">
                  <c:v>17.34</c:v>
                </c:pt>
                <c:pt idx="354">
                  <c:v>18.8</c:v>
                </c:pt>
                <c:pt idx="355">
                  <c:v>14.28</c:v>
                </c:pt>
                <c:pt idx="356">
                  <c:v>14.8</c:v>
                </c:pt>
                <c:pt idx="357">
                  <c:v>18.14</c:v>
                </c:pt>
                <c:pt idx="358">
                  <c:v>17.59</c:v>
                </c:pt>
                <c:pt idx="359">
                  <c:v>16.989999999999998</c:v>
                </c:pt>
                <c:pt idx="360">
                  <c:v>17.690000000000001</c:v>
                </c:pt>
                <c:pt idx="361">
                  <c:v>19.61</c:v>
                </c:pt>
                <c:pt idx="362">
                  <c:v>14.75</c:v>
                </c:pt>
                <c:pt idx="363">
                  <c:v>17.27</c:v>
                </c:pt>
                <c:pt idx="364">
                  <c:v>21.45</c:v>
                </c:pt>
                <c:pt idx="365">
                  <c:v>38.85</c:v>
                </c:pt>
                <c:pt idx="366">
                  <c:v>39.590000000000003</c:v>
                </c:pt>
                <c:pt idx="367">
                  <c:v>34.21</c:v>
                </c:pt>
                <c:pt idx="368">
                  <c:v>37.03</c:v>
                </c:pt>
                <c:pt idx="369">
                  <c:v>28.27</c:v>
                </c:pt>
                <c:pt idx="370">
                  <c:v>29.09</c:v>
                </c:pt>
                <c:pt idx="371">
                  <c:v>36.409999999999997</c:v>
                </c:pt>
                <c:pt idx="372">
                  <c:v>35.68</c:v>
                </c:pt>
                <c:pt idx="373">
                  <c:v>35.18</c:v>
                </c:pt>
                <c:pt idx="374">
                  <c:v>36.4</c:v>
                </c:pt>
                <c:pt idx="375">
                  <c:v>36.14</c:v>
                </c:pt>
                <c:pt idx="376">
                  <c:v>29.96</c:v>
                </c:pt>
                <c:pt idx="377">
                  <c:v>29.25</c:v>
                </c:pt>
                <c:pt idx="378">
                  <c:v>38.15</c:v>
                </c:pt>
                <c:pt idx="379">
                  <c:v>33.36</c:v>
                </c:pt>
                <c:pt idx="380">
                  <c:v>33.33</c:v>
                </c:pt>
                <c:pt idx="381">
                  <c:v>33.58</c:v>
                </c:pt>
                <c:pt idx="382">
                  <c:v>34.75</c:v>
                </c:pt>
                <c:pt idx="383">
                  <c:v>28.53</c:v>
                </c:pt>
                <c:pt idx="384">
                  <c:v>28.29</c:v>
                </c:pt>
                <c:pt idx="385">
                  <c:v>36.06</c:v>
                </c:pt>
                <c:pt idx="386">
                  <c:v>34.54</c:v>
                </c:pt>
                <c:pt idx="387">
                  <c:v>36.119999999999997</c:v>
                </c:pt>
                <c:pt idx="388">
                  <c:v>35.17</c:v>
                </c:pt>
                <c:pt idx="389">
                  <c:v>36.340000000000003</c:v>
                </c:pt>
                <c:pt idx="390">
                  <c:v>28.14</c:v>
                </c:pt>
                <c:pt idx="391">
                  <c:v>29.57</c:v>
                </c:pt>
                <c:pt idx="392">
                  <c:v>34.549999999999997</c:v>
                </c:pt>
                <c:pt idx="393">
                  <c:v>36.07</c:v>
                </c:pt>
                <c:pt idx="394">
                  <c:v>40.71</c:v>
                </c:pt>
                <c:pt idx="395">
                  <c:v>38.770000000000003</c:v>
                </c:pt>
                <c:pt idx="396">
                  <c:v>77.400000000000006</c:v>
                </c:pt>
                <c:pt idx="397">
                  <c:v>67.02</c:v>
                </c:pt>
                <c:pt idx="398">
                  <c:v>55.39</c:v>
                </c:pt>
                <c:pt idx="399">
                  <c:v>71.13</c:v>
                </c:pt>
                <c:pt idx="400">
                  <c:v>62.3</c:v>
                </c:pt>
                <c:pt idx="401">
                  <c:v>64.260000000000005</c:v>
                </c:pt>
                <c:pt idx="402">
                  <c:v>65.44</c:v>
                </c:pt>
                <c:pt idx="403">
                  <c:v>70.760000000000005</c:v>
                </c:pt>
                <c:pt idx="404">
                  <c:v>54.73</c:v>
                </c:pt>
                <c:pt idx="405">
                  <c:v>56.84</c:v>
                </c:pt>
                <c:pt idx="406">
                  <c:v>66.61</c:v>
                </c:pt>
                <c:pt idx="407">
                  <c:v>65.150000000000006</c:v>
                </c:pt>
                <c:pt idx="408">
                  <c:v>65.67</c:v>
                </c:pt>
                <c:pt idx="409">
                  <c:v>66.44</c:v>
                </c:pt>
                <c:pt idx="410">
                  <c:v>72.06</c:v>
                </c:pt>
                <c:pt idx="411">
                  <c:v>53.41</c:v>
                </c:pt>
                <c:pt idx="412">
                  <c:v>52.61</c:v>
                </c:pt>
                <c:pt idx="413">
                  <c:v>71.209999999999994</c:v>
                </c:pt>
                <c:pt idx="414">
                  <c:v>66.09</c:v>
                </c:pt>
                <c:pt idx="415">
                  <c:v>63.96</c:v>
                </c:pt>
                <c:pt idx="416">
                  <c:v>68.48</c:v>
                </c:pt>
                <c:pt idx="417">
                  <c:v>70.900000000000006</c:v>
                </c:pt>
                <c:pt idx="418">
                  <c:v>57.93</c:v>
                </c:pt>
                <c:pt idx="419">
                  <c:v>55.75</c:v>
                </c:pt>
                <c:pt idx="420">
                  <c:v>72.75</c:v>
                </c:pt>
                <c:pt idx="421">
                  <c:v>68.88</c:v>
                </c:pt>
                <c:pt idx="422">
                  <c:v>64.94</c:v>
                </c:pt>
                <c:pt idx="423">
                  <c:v>67.34</c:v>
                </c:pt>
                <c:pt idx="424">
                  <c:v>82.73</c:v>
                </c:pt>
                <c:pt idx="425">
                  <c:v>67.05</c:v>
                </c:pt>
                <c:pt idx="426">
                  <c:v>82.54</c:v>
                </c:pt>
                <c:pt idx="427">
                  <c:v>107.63</c:v>
                </c:pt>
                <c:pt idx="428">
                  <c:v>90.2</c:v>
                </c:pt>
                <c:pt idx="429">
                  <c:v>82.81</c:v>
                </c:pt>
                <c:pt idx="430">
                  <c:v>84.32</c:v>
                </c:pt>
                <c:pt idx="431">
                  <c:v>89.06</c:v>
                </c:pt>
                <c:pt idx="432">
                  <c:v>73.599999999999994</c:v>
                </c:pt>
                <c:pt idx="433">
                  <c:v>76.19</c:v>
                </c:pt>
                <c:pt idx="434">
                  <c:v>95.73</c:v>
                </c:pt>
                <c:pt idx="435">
                  <c:v>87.61</c:v>
                </c:pt>
                <c:pt idx="436">
                  <c:v>91.69</c:v>
                </c:pt>
                <c:pt idx="437">
                  <c:v>83.8</c:v>
                </c:pt>
                <c:pt idx="438">
                  <c:v>89.95</c:v>
                </c:pt>
                <c:pt idx="439">
                  <c:v>74.16</c:v>
                </c:pt>
                <c:pt idx="440">
                  <c:v>82.85</c:v>
                </c:pt>
                <c:pt idx="441">
                  <c:v>100.88</c:v>
                </c:pt>
                <c:pt idx="442">
                  <c:v>90.2</c:v>
                </c:pt>
                <c:pt idx="443">
                  <c:v>95.9</c:v>
                </c:pt>
                <c:pt idx="444">
                  <c:v>92.4</c:v>
                </c:pt>
                <c:pt idx="445">
                  <c:v>105.79</c:v>
                </c:pt>
                <c:pt idx="446">
                  <c:v>82.79</c:v>
                </c:pt>
                <c:pt idx="447">
                  <c:v>79.03</c:v>
                </c:pt>
                <c:pt idx="448">
                  <c:v>99.49</c:v>
                </c:pt>
                <c:pt idx="449">
                  <c:v>93.11</c:v>
                </c:pt>
                <c:pt idx="450">
                  <c:v>95.98</c:v>
                </c:pt>
                <c:pt idx="451">
                  <c:v>89.92</c:v>
                </c:pt>
                <c:pt idx="452">
                  <c:v>91.83</c:v>
                </c:pt>
                <c:pt idx="453">
                  <c:v>75.63</c:v>
                </c:pt>
                <c:pt idx="454">
                  <c:v>72.92</c:v>
                </c:pt>
                <c:pt idx="455">
                  <c:v>103.17</c:v>
                </c:pt>
                <c:pt idx="456">
                  <c:v>100.21</c:v>
                </c:pt>
                <c:pt idx="457">
                  <c:v>145.75</c:v>
                </c:pt>
                <c:pt idx="458">
                  <c:v>147.91999999999999</c:v>
                </c:pt>
                <c:pt idx="459">
                  <c:v>136.56</c:v>
                </c:pt>
                <c:pt idx="460">
                  <c:v>118.89</c:v>
                </c:pt>
                <c:pt idx="461">
                  <c:v>111.32</c:v>
                </c:pt>
                <c:pt idx="462">
                  <c:v>134.59</c:v>
                </c:pt>
                <c:pt idx="463">
                  <c:v>131.63999999999999</c:v>
                </c:pt>
                <c:pt idx="464">
                  <c:v>130.36000000000001</c:v>
                </c:pt>
                <c:pt idx="465">
                  <c:v>129.93</c:v>
                </c:pt>
                <c:pt idx="466">
                  <c:v>143.66999999999999</c:v>
                </c:pt>
                <c:pt idx="467">
                  <c:v>114.15</c:v>
                </c:pt>
                <c:pt idx="468">
                  <c:v>109.1</c:v>
                </c:pt>
                <c:pt idx="469">
                  <c:v>135.08000000000001</c:v>
                </c:pt>
                <c:pt idx="470">
                  <c:v>129.72</c:v>
                </c:pt>
                <c:pt idx="471">
                  <c:v>133.94</c:v>
                </c:pt>
                <c:pt idx="472">
                  <c:v>137.34</c:v>
                </c:pt>
                <c:pt idx="473">
                  <c:v>161.29</c:v>
                </c:pt>
                <c:pt idx="474">
                  <c:v>129.4</c:v>
                </c:pt>
                <c:pt idx="475">
                  <c:v>121.22</c:v>
                </c:pt>
                <c:pt idx="476">
                  <c:v>153.56</c:v>
                </c:pt>
                <c:pt idx="477">
                  <c:v>145.22</c:v>
                </c:pt>
                <c:pt idx="478">
                  <c:v>157.16999999999999</c:v>
                </c:pt>
                <c:pt idx="479">
                  <c:v>148.71</c:v>
                </c:pt>
                <c:pt idx="480">
                  <c:v>154.84</c:v>
                </c:pt>
                <c:pt idx="481">
                  <c:v>118.17</c:v>
                </c:pt>
                <c:pt idx="482">
                  <c:v>104.88</c:v>
                </c:pt>
                <c:pt idx="483">
                  <c:v>138.13999999999999</c:v>
                </c:pt>
                <c:pt idx="484">
                  <c:v>127.83</c:v>
                </c:pt>
                <c:pt idx="485">
                  <c:v>144</c:v>
                </c:pt>
                <c:pt idx="486">
                  <c:v>147.5</c:v>
                </c:pt>
                <c:pt idx="487">
                  <c:v>195.08</c:v>
                </c:pt>
                <c:pt idx="488">
                  <c:v>167.72</c:v>
                </c:pt>
                <c:pt idx="489">
                  <c:v>141.93</c:v>
                </c:pt>
                <c:pt idx="490">
                  <c:v>169.99</c:v>
                </c:pt>
                <c:pt idx="491">
                  <c:v>169.13</c:v>
                </c:pt>
                <c:pt idx="492">
                  <c:v>162.31</c:v>
                </c:pt>
                <c:pt idx="493">
                  <c:v>157.75</c:v>
                </c:pt>
                <c:pt idx="494">
                  <c:v>182.29</c:v>
                </c:pt>
                <c:pt idx="495">
                  <c:v>140.26</c:v>
                </c:pt>
                <c:pt idx="496">
                  <c:v>132.61000000000001</c:v>
                </c:pt>
                <c:pt idx="497">
                  <c:v>169.11</c:v>
                </c:pt>
                <c:pt idx="498">
                  <c:v>157.68</c:v>
                </c:pt>
                <c:pt idx="499">
                  <c:v>155.22</c:v>
                </c:pt>
                <c:pt idx="500">
                  <c:v>166.43</c:v>
                </c:pt>
                <c:pt idx="501">
                  <c:v>184.17</c:v>
                </c:pt>
                <c:pt idx="502">
                  <c:v>130.85</c:v>
                </c:pt>
                <c:pt idx="503">
                  <c:v>140.38</c:v>
                </c:pt>
                <c:pt idx="504">
                  <c:v>166.87</c:v>
                </c:pt>
                <c:pt idx="505">
                  <c:v>159.57</c:v>
                </c:pt>
                <c:pt idx="506">
                  <c:v>159.06</c:v>
                </c:pt>
                <c:pt idx="507">
                  <c:v>157.74</c:v>
                </c:pt>
                <c:pt idx="508">
                  <c:v>175.13</c:v>
                </c:pt>
                <c:pt idx="509">
                  <c:v>133.61000000000001</c:v>
                </c:pt>
                <c:pt idx="510">
                  <c:v>138.96</c:v>
                </c:pt>
                <c:pt idx="511">
                  <c:v>169.79</c:v>
                </c:pt>
                <c:pt idx="512">
                  <c:v>160.77000000000001</c:v>
                </c:pt>
                <c:pt idx="513">
                  <c:v>157.53</c:v>
                </c:pt>
                <c:pt idx="514">
                  <c:v>159.13</c:v>
                </c:pt>
                <c:pt idx="515">
                  <c:v>178.56</c:v>
                </c:pt>
                <c:pt idx="516">
                  <c:v>161.09</c:v>
                </c:pt>
                <c:pt idx="517">
                  <c:v>152.83000000000001</c:v>
                </c:pt>
                <c:pt idx="518">
                  <c:v>205.62</c:v>
                </c:pt>
                <c:pt idx="519">
                  <c:v>199.68</c:v>
                </c:pt>
                <c:pt idx="520">
                  <c:v>161.30000000000001</c:v>
                </c:pt>
                <c:pt idx="521">
                  <c:v>172.57</c:v>
                </c:pt>
                <c:pt idx="522">
                  <c:v>180.02</c:v>
                </c:pt>
                <c:pt idx="523">
                  <c:v>147.24</c:v>
                </c:pt>
                <c:pt idx="524">
                  <c:v>140.44999999999999</c:v>
                </c:pt>
                <c:pt idx="525">
                  <c:v>169.1</c:v>
                </c:pt>
                <c:pt idx="526">
                  <c:v>161.52000000000001</c:v>
                </c:pt>
                <c:pt idx="527">
                  <c:v>170.05</c:v>
                </c:pt>
                <c:pt idx="528">
                  <c:v>171.13</c:v>
                </c:pt>
                <c:pt idx="529">
                  <c:v>178.78</c:v>
                </c:pt>
                <c:pt idx="530">
                  <c:v>147.59</c:v>
                </c:pt>
                <c:pt idx="531">
                  <c:v>135.87</c:v>
                </c:pt>
                <c:pt idx="532">
                  <c:v>177.96</c:v>
                </c:pt>
                <c:pt idx="533">
                  <c:v>163.63999999999999</c:v>
                </c:pt>
                <c:pt idx="534">
                  <c:v>166.49</c:v>
                </c:pt>
                <c:pt idx="535">
                  <c:v>170.05</c:v>
                </c:pt>
                <c:pt idx="536">
                  <c:v>179.01</c:v>
                </c:pt>
                <c:pt idx="537">
                  <c:v>142.38</c:v>
                </c:pt>
                <c:pt idx="538">
                  <c:v>149.46</c:v>
                </c:pt>
                <c:pt idx="539">
                  <c:v>175.36</c:v>
                </c:pt>
                <c:pt idx="540">
                  <c:v>174.06</c:v>
                </c:pt>
                <c:pt idx="541">
                  <c:v>164.05</c:v>
                </c:pt>
                <c:pt idx="542">
                  <c:v>172.51</c:v>
                </c:pt>
                <c:pt idx="543">
                  <c:v>190.73</c:v>
                </c:pt>
                <c:pt idx="544">
                  <c:v>131.74</c:v>
                </c:pt>
                <c:pt idx="545">
                  <c:v>140.28</c:v>
                </c:pt>
                <c:pt idx="546">
                  <c:v>181.24</c:v>
                </c:pt>
                <c:pt idx="547">
                  <c:v>194.09</c:v>
                </c:pt>
                <c:pt idx="548">
                  <c:v>197.45</c:v>
                </c:pt>
                <c:pt idx="549">
                  <c:v>238.17</c:v>
                </c:pt>
                <c:pt idx="550">
                  <c:v>262.60000000000002</c:v>
                </c:pt>
                <c:pt idx="551">
                  <c:v>178.3</c:v>
                </c:pt>
                <c:pt idx="552">
                  <c:v>186.68</c:v>
                </c:pt>
                <c:pt idx="553">
                  <c:v>223.08</c:v>
                </c:pt>
                <c:pt idx="554">
                  <c:v>213.06</c:v>
                </c:pt>
                <c:pt idx="555">
                  <c:v>208.32</c:v>
                </c:pt>
                <c:pt idx="556">
                  <c:v>207.84</c:v>
                </c:pt>
                <c:pt idx="557">
                  <c:v>225.07</c:v>
                </c:pt>
                <c:pt idx="558">
                  <c:v>181.79</c:v>
                </c:pt>
                <c:pt idx="559">
                  <c:v>176.63</c:v>
                </c:pt>
                <c:pt idx="560">
                  <c:v>223.31</c:v>
                </c:pt>
                <c:pt idx="561">
                  <c:v>224.06</c:v>
                </c:pt>
                <c:pt idx="562">
                  <c:v>216.44</c:v>
                </c:pt>
                <c:pt idx="563">
                  <c:v>208.87</c:v>
                </c:pt>
                <c:pt idx="564">
                  <c:v>235.4</c:v>
                </c:pt>
                <c:pt idx="565">
                  <c:v>176.71</c:v>
                </c:pt>
                <c:pt idx="566">
                  <c:v>166.39</c:v>
                </c:pt>
                <c:pt idx="567">
                  <c:v>215.1</c:v>
                </c:pt>
                <c:pt idx="568">
                  <c:v>199.09</c:v>
                </c:pt>
                <c:pt idx="569">
                  <c:v>208.7</c:v>
                </c:pt>
                <c:pt idx="570">
                  <c:v>211.05</c:v>
                </c:pt>
                <c:pt idx="571">
                  <c:v>238.41</c:v>
                </c:pt>
                <c:pt idx="572">
                  <c:v>181.36</c:v>
                </c:pt>
                <c:pt idx="573">
                  <c:v>177.9</c:v>
                </c:pt>
                <c:pt idx="574">
                  <c:v>226.72</c:v>
                </c:pt>
                <c:pt idx="575">
                  <c:v>226.48</c:v>
                </c:pt>
                <c:pt idx="576">
                  <c:v>244.28</c:v>
                </c:pt>
                <c:pt idx="577">
                  <c:v>231.52</c:v>
                </c:pt>
                <c:pt idx="578">
                  <c:v>234.36</c:v>
                </c:pt>
                <c:pt idx="579">
                  <c:v>174.01</c:v>
                </c:pt>
                <c:pt idx="580">
                  <c:v>169.26</c:v>
                </c:pt>
                <c:pt idx="581">
                  <c:v>204.16</c:v>
                </c:pt>
                <c:pt idx="582">
                  <c:v>200.51</c:v>
                </c:pt>
                <c:pt idx="583">
                  <c:v>210.18</c:v>
                </c:pt>
                <c:pt idx="584">
                  <c:v>197.85</c:v>
                </c:pt>
                <c:pt idx="585">
                  <c:v>213.98</c:v>
                </c:pt>
                <c:pt idx="586">
                  <c:v>164.55</c:v>
                </c:pt>
                <c:pt idx="587">
                  <c:v>162.24</c:v>
                </c:pt>
                <c:pt idx="588">
                  <c:v>211.51</c:v>
                </c:pt>
                <c:pt idx="589">
                  <c:v>191.72</c:v>
                </c:pt>
                <c:pt idx="590">
                  <c:v>197.2</c:v>
                </c:pt>
                <c:pt idx="591">
                  <c:v>193.95</c:v>
                </c:pt>
                <c:pt idx="592">
                  <c:v>215.34</c:v>
                </c:pt>
                <c:pt idx="593">
                  <c:v>169.23</c:v>
                </c:pt>
                <c:pt idx="594">
                  <c:v>173.38</c:v>
                </c:pt>
                <c:pt idx="595">
                  <c:v>203.6</c:v>
                </c:pt>
                <c:pt idx="596">
                  <c:v>195.18</c:v>
                </c:pt>
                <c:pt idx="597">
                  <c:v>191</c:v>
                </c:pt>
                <c:pt idx="598">
                  <c:v>194.15</c:v>
                </c:pt>
                <c:pt idx="599">
                  <c:v>214.74</c:v>
                </c:pt>
                <c:pt idx="600">
                  <c:v>171.73</c:v>
                </c:pt>
                <c:pt idx="601">
                  <c:v>161.81</c:v>
                </c:pt>
                <c:pt idx="602">
                  <c:v>211.75</c:v>
                </c:pt>
                <c:pt idx="603">
                  <c:v>204.78</c:v>
                </c:pt>
                <c:pt idx="604">
                  <c:v>199.21</c:v>
                </c:pt>
                <c:pt idx="605">
                  <c:v>207.85</c:v>
                </c:pt>
                <c:pt idx="606">
                  <c:v>239.14</c:v>
                </c:pt>
                <c:pt idx="607">
                  <c:v>183.9</c:v>
                </c:pt>
                <c:pt idx="608">
                  <c:v>196.48</c:v>
                </c:pt>
                <c:pt idx="609">
                  <c:v>270.04000000000002</c:v>
                </c:pt>
                <c:pt idx="610">
                  <c:v>218.68</c:v>
                </c:pt>
                <c:pt idx="611">
                  <c:v>214.11</c:v>
                </c:pt>
                <c:pt idx="612">
                  <c:v>216.27</c:v>
                </c:pt>
                <c:pt idx="613">
                  <c:v>224.38</c:v>
                </c:pt>
                <c:pt idx="614">
                  <c:v>198.03</c:v>
                </c:pt>
                <c:pt idx="615">
                  <c:v>183.13</c:v>
                </c:pt>
                <c:pt idx="616">
                  <c:v>225.89</c:v>
                </c:pt>
                <c:pt idx="617">
                  <c:v>219.14</c:v>
                </c:pt>
                <c:pt idx="618">
                  <c:v>217.56</c:v>
                </c:pt>
                <c:pt idx="619">
                  <c:v>215.91</c:v>
                </c:pt>
                <c:pt idx="620">
                  <c:v>226.54</c:v>
                </c:pt>
                <c:pt idx="621">
                  <c:v>185.33</c:v>
                </c:pt>
                <c:pt idx="622">
                  <c:v>194.41</c:v>
                </c:pt>
                <c:pt idx="623">
                  <c:v>233.85</c:v>
                </c:pt>
                <c:pt idx="624">
                  <c:v>224.72</c:v>
                </c:pt>
                <c:pt idx="625">
                  <c:v>211.18</c:v>
                </c:pt>
                <c:pt idx="626">
                  <c:v>208.1</c:v>
                </c:pt>
                <c:pt idx="627">
                  <c:v>230.81</c:v>
                </c:pt>
                <c:pt idx="628">
                  <c:v>182.66</c:v>
                </c:pt>
                <c:pt idx="629">
                  <c:v>189.34</c:v>
                </c:pt>
                <c:pt idx="630">
                  <c:v>214.3</c:v>
                </c:pt>
                <c:pt idx="631">
                  <c:v>224.31</c:v>
                </c:pt>
                <c:pt idx="632">
                  <c:v>213.45</c:v>
                </c:pt>
                <c:pt idx="633">
                  <c:v>211.72</c:v>
                </c:pt>
                <c:pt idx="634">
                  <c:v>225.11</c:v>
                </c:pt>
                <c:pt idx="635">
                  <c:v>171.65</c:v>
                </c:pt>
                <c:pt idx="636">
                  <c:v>215.73</c:v>
                </c:pt>
                <c:pt idx="637">
                  <c:v>259.51</c:v>
                </c:pt>
                <c:pt idx="638">
                  <c:v>271.77</c:v>
                </c:pt>
                <c:pt idx="639">
                  <c:v>271.73</c:v>
                </c:pt>
                <c:pt idx="640">
                  <c:v>243.36</c:v>
                </c:pt>
                <c:pt idx="641">
                  <c:v>277.82</c:v>
                </c:pt>
                <c:pt idx="642">
                  <c:v>207.05</c:v>
                </c:pt>
                <c:pt idx="643">
                  <c:v>197.88</c:v>
                </c:pt>
                <c:pt idx="644">
                  <c:v>256.32</c:v>
                </c:pt>
                <c:pt idx="645">
                  <c:v>243.83</c:v>
                </c:pt>
                <c:pt idx="646">
                  <c:v>225.95</c:v>
                </c:pt>
                <c:pt idx="647">
                  <c:v>245.44</c:v>
                </c:pt>
                <c:pt idx="648">
                  <c:v>263.8</c:v>
                </c:pt>
                <c:pt idx="649">
                  <c:v>214.1</c:v>
                </c:pt>
                <c:pt idx="650">
                  <c:v>222.6</c:v>
                </c:pt>
                <c:pt idx="651">
                  <c:v>266.44</c:v>
                </c:pt>
                <c:pt idx="652">
                  <c:v>243.86</c:v>
                </c:pt>
                <c:pt idx="653">
                  <c:v>237.68</c:v>
                </c:pt>
                <c:pt idx="654">
                  <c:v>264.82</c:v>
                </c:pt>
                <c:pt idx="655">
                  <c:v>265.94</c:v>
                </c:pt>
                <c:pt idx="656">
                  <c:v>209.07</c:v>
                </c:pt>
                <c:pt idx="657">
                  <c:v>208.78</c:v>
                </c:pt>
                <c:pt idx="658">
                  <c:v>259.58999999999997</c:v>
                </c:pt>
                <c:pt idx="659">
                  <c:v>244.77</c:v>
                </c:pt>
                <c:pt idx="660">
                  <c:v>241.61</c:v>
                </c:pt>
                <c:pt idx="661">
                  <c:v>241.81</c:v>
                </c:pt>
                <c:pt idx="662">
                  <c:v>265.26</c:v>
                </c:pt>
                <c:pt idx="663">
                  <c:v>204.96</c:v>
                </c:pt>
                <c:pt idx="664">
                  <c:v>203.71</c:v>
                </c:pt>
                <c:pt idx="665">
                  <c:v>258.92</c:v>
                </c:pt>
                <c:pt idx="666">
                  <c:v>243.96</c:v>
                </c:pt>
                <c:pt idx="667">
                  <c:v>295.47000000000003</c:v>
                </c:pt>
                <c:pt idx="668">
                  <c:v>260.23</c:v>
                </c:pt>
                <c:pt idx="669">
                  <c:v>356.73</c:v>
                </c:pt>
                <c:pt idx="670">
                  <c:v>284.48</c:v>
                </c:pt>
                <c:pt idx="671">
                  <c:v>219.61</c:v>
                </c:pt>
                <c:pt idx="672">
                  <c:v>289.83999999999997</c:v>
                </c:pt>
                <c:pt idx="673">
                  <c:v>275.66000000000003</c:v>
                </c:pt>
                <c:pt idx="674">
                  <c:v>267</c:v>
                </c:pt>
                <c:pt idx="675">
                  <c:v>272.26</c:v>
                </c:pt>
                <c:pt idx="676">
                  <c:v>291.77999999999997</c:v>
                </c:pt>
                <c:pt idx="677">
                  <c:v>251.61</c:v>
                </c:pt>
                <c:pt idx="678">
                  <c:v>244.78</c:v>
                </c:pt>
                <c:pt idx="679">
                  <c:v>303.33999999999997</c:v>
                </c:pt>
                <c:pt idx="680">
                  <c:v>284.8</c:v>
                </c:pt>
                <c:pt idx="681">
                  <c:v>269.32</c:v>
                </c:pt>
                <c:pt idx="682">
                  <c:v>274.38</c:v>
                </c:pt>
                <c:pt idx="683">
                  <c:v>305.16000000000003</c:v>
                </c:pt>
                <c:pt idx="684">
                  <c:v>226.73</c:v>
                </c:pt>
                <c:pt idx="685">
                  <c:v>242.91</c:v>
                </c:pt>
                <c:pt idx="686">
                  <c:v>290.7</c:v>
                </c:pt>
                <c:pt idx="687">
                  <c:v>275.63</c:v>
                </c:pt>
                <c:pt idx="688">
                  <c:v>284.70999999999998</c:v>
                </c:pt>
                <c:pt idx="689">
                  <c:v>282.48</c:v>
                </c:pt>
                <c:pt idx="690">
                  <c:v>298.05</c:v>
                </c:pt>
                <c:pt idx="691">
                  <c:v>246.65</c:v>
                </c:pt>
                <c:pt idx="692">
                  <c:v>227.91</c:v>
                </c:pt>
                <c:pt idx="693">
                  <c:v>297.86</c:v>
                </c:pt>
                <c:pt idx="694">
                  <c:v>283.73</c:v>
                </c:pt>
                <c:pt idx="695">
                  <c:v>276.18</c:v>
                </c:pt>
                <c:pt idx="696">
                  <c:v>281.49</c:v>
                </c:pt>
                <c:pt idx="697">
                  <c:v>334.2</c:v>
                </c:pt>
                <c:pt idx="698">
                  <c:v>281.38</c:v>
                </c:pt>
                <c:pt idx="699">
                  <c:v>259.57</c:v>
                </c:pt>
                <c:pt idx="700">
                  <c:v>317.93</c:v>
                </c:pt>
                <c:pt idx="701">
                  <c:v>275.7</c:v>
                </c:pt>
                <c:pt idx="702">
                  <c:v>261.64</c:v>
                </c:pt>
                <c:pt idx="703">
                  <c:v>256</c:v>
                </c:pt>
                <c:pt idx="704">
                  <c:v>276.19</c:v>
                </c:pt>
                <c:pt idx="705">
                  <c:v>232.06</c:v>
                </c:pt>
                <c:pt idx="706">
                  <c:v>216.93</c:v>
                </c:pt>
                <c:pt idx="707">
                  <c:v>294.73</c:v>
                </c:pt>
                <c:pt idx="708">
                  <c:v>250.6</c:v>
                </c:pt>
                <c:pt idx="709">
                  <c:v>280.89</c:v>
                </c:pt>
                <c:pt idx="710">
                  <c:v>268.98</c:v>
                </c:pt>
                <c:pt idx="711">
                  <c:v>287.89999999999998</c:v>
                </c:pt>
                <c:pt idx="712">
                  <c:v>222.83</c:v>
                </c:pt>
                <c:pt idx="713">
                  <c:v>230.4</c:v>
                </c:pt>
                <c:pt idx="714">
                  <c:v>280.35000000000002</c:v>
                </c:pt>
                <c:pt idx="715">
                  <c:v>276.14</c:v>
                </c:pt>
                <c:pt idx="716">
                  <c:v>268.20999999999998</c:v>
                </c:pt>
                <c:pt idx="717">
                  <c:v>268.5</c:v>
                </c:pt>
                <c:pt idx="718">
                  <c:v>285.76</c:v>
                </c:pt>
                <c:pt idx="719">
                  <c:v>226.74</c:v>
                </c:pt>
                <c:pt idx="720">
                  <c:v>229.66</c:v>
                </c:pt>
                <c:pt idx="721">
                  <c:v>266.94</c:v>
                </c:pt>
                <c:pt idx="722">
                  <c:v>256.48</c:v>
                </c:pt>
                <c:pt idx="723">
                  <c:v>273.25</c:v>
                </c:pt>
                <c:pt idx="724">
                  <c:v>268.66000000000003</c:v>
                </c:pt>
                <c:pt idx="725">
                  <c:v>287.2</c:v>
                </c:pt>
                <c:pt idx="726">
                  <c:v>227.34</c:v>
                </c:pt>
                <c:pt idx="727">
                  <c:v>229.98</c:v>
                </c:pt>
                <c:pt idx="728">
                  <c:v>317.77999999999997</c:v>
                </c:pt>
                <c:pt idx="729">
                  <c:v>300.20999999999998</c:v>
                </c:pt>
                <c:pt idx="730">
                  <c:v>394.98</c:v>
                </c:pt>
                <c:pt idx="731">
                  <c:v>381.14</c:v>
                </c:pt>
                <c:pt idx="732">
                  <c:v>372.95</c:v>
                </c:pt>
                <c:pt idx="733">
                  <c:v>272.79000000000002</c:v>
                </c:pt>
                <c:pt idx="734">
                  <c:v>300.77999999999997</c:v>
                </c:pt>
                <c:pt idx="735">
                  <c:v>363.37</c:v>
                </c:pt>
                <c:pt idx="736">
                  <c:v>344.07</c:v>
                </c:pt>
                <c:pt idx="737">
                  <c:v>351.52</c:v>
                </c:pt>
                <c:pt idx="738">
                  <c:v>358.51</c:v>
                </c:pt>
                <c:pt idx="739">
                  <c:v>379.16</c:v>
                </c:pt>
                <c:pt idx="740">
                  <c:v>271.38</c:v>
                </c:pt>
                <c:pt idx="741">
                  <c:v>277.13</c:v>
                </c:pt>
                <c:pt idx="742">
                  <c:v>352.12</c:v>
                </c:pt>
                <c:pt idx="743">
                  <c:v>341.72</c:v>
                </c:pt>
                <c:pt idx="744">
                  <c:v>346.75</c:v>
                </c:pt>
                <c:pt idx="745">
                  <c:v>334.02</c:v>
                </c:pt>
                <c:pt idx="746">
                  <c:v>370.68</c:v>
                </c:pt>
                <c:pt idx="747">
                  <c:v>282.5</c:v>
                </c:pt>
                <c:pt idx="748">
                  <c:v>283.97000000000003</c:v>
                </c:pt>
                <c:pt idx="749">
                  <c:v>344.11</c:v>
                </c:pt>
                <c:pt idx="750">
                  <c:v>331.99</c:v>
                </c:pt>
                <c:pt idx="751">
                  <c:v>327.61</c:v>
                </c:pt>
                <c:pt idx="752">
                  <c:v>331.46</c:v>
                </c:pt>
                <c:pt idx="753">
                  <c:v>379.56</c:v>
                </c:pt>
                <c:pt idx="754">
                  <c:v>280.51</c:v>
                </c:pt>
                <c:pt idx="755">
                  <c:v>317.2</c:v>
                </c:pt>
                <c:pt idx="756">
                  <c:v>363.58</c:v>
                </c:pt>
                <c:pt idx="757">
                  <c:v>343.34</c:v>
                </c:pt>
                <c:pt idx="758">
                  <c:v>332.66</c:v>
                </c:pt>
                <c:pt idx="759">
                  <c:v>400.92</c:v>
                </c:pt>
                <c:pt idx="760">
                  <c:v>417.3</c:v>
                </c:pt>
                <c:pt idx="761">
                  <c:v>463.43</c:v>
                </c:pt>
                <c:pt idx="762">
                  <c:v>503.14</c:v>
                </c:pt>
                <c:pt idx="763">
                  <c:v>494.31</c:v>
                </c:pt>
                <c:pt idx="764">
                  <c:v>488.34</c:v>
                </c:pt>
                <c:pt idx="765">
                  <c:v>462.11</c:v>
                </c:pt>
                <c:pt idx="766">
                  <c:v>471.57</c:v>
                </c:pt>
                <c:pt idx="767">
                  <c:v>534.91</c:v>
                </c:pt>
                <c:pt idx="768">
                  <c:v>392.38</c:v>
                </c:pt>
                <c:pt idx="769">
                  <c:v>426.92</c:v>
                </c:pt>
                <c:pt idx="770">
                  <c:v>505.69</c:v>
                </c:pt>
                <c:pt idx="771">
                  <c:v>464.1</c:v>
                </c:pt>
                <c:pt idx="772">
                  <c:v>481.02</c:v>
                </c:pt>
                <c:pt idx="773">
                  <c:v>485.84</c:v>
                </c:pt>
                <c:pt idx="774">
                  <c:v>518.64</c:v>
                </c:pt>
                <c:pt idx="775">
                  <c:v>379.02</c:v>
                </c:pt>
                <c:pt idx="776">
                  <c:v>390.96</c:v>
                </c:pt>
                <c:pt idx="777">
                  <c:v>492.16</c:v>
                </c:pt>
                <c:pt idx="778">
                  <c:v>471.01</c:v>
                </c:pt>
                <c:pt idx="779">
                  <c:v>480.86</c:v>
                </c:pt>
                <c:pt idx="780">
                  <c:v>474.58</c:v>
                </c:pt>
                <c:pt idx="781">
                  <c:v>490.92</c:v>
                </c:pt>
                <c:pt idx="782">
                  <c:v>406.64</c:v>
                </c:pt>
                <c:pt idx="783">
                  <c:v>409.9</c:v>
                </c:pt>
                <c:pt idx="784">
                  <c:v>503.6</c:v>
                </c:pt>
                <c:pt idx="785">
                  <c:v>487.37</c:v>
                </c:pt>
                <c:pt idx="786">
                  <c:v>483.88</c:v>
                </c:pt>
                <c:pt idx="787">
                  <c:v>478.57</c:v>
                </c:pt>
                <c:pt idx="788">
                  <c:v>508.84</c:v>
                </c:pt>
                <c:pt idx="789">
                  <c:v>434.39</c:v>
                </c:pt>
                <c:pt idx="790">
                  <c:v>468.44</c:v>
                </c:pt>
                <c:pt idx="791">
                  <c:v>669.44</c:v>
                </c:pt>
                <c:pt idx="792">
                  <c:v>638.96</c:v>
                </c:pt>
                <c:pt idx="793">
                  <c:v>530.02</c:v>
                </c:pt>
                <c:pt idx="794">
                  <c:v>533.25</c:v>
                </c:pt>
                <c:pt idx="795">
                  <c:v>612.63</c:v>
                </c:pt>
                <c:pt idx="796">
                  <c:v>467.81</c:v>
                </c:pt>
                <c:pt idx="797">
                  <c:v>479.73</c:v>
                </c:pt>
                <c:pt idx="798">
                  <c:v>579.15</c:v>
                </c:pt>
                <c:pt idx="799">
                  <c:v>551.62</c:v>
                </c:pt>
                <c:pt idx="800">
                  <c:v>566.64</c:v>
                </c:pt>
                <c:pt idx="801">
                  <c:v>542.6</c:v>
                </c:pt>
                <c:pt idx="802">
                  <c:v>596.80999999999995</c:v>
                </c:pt>
                <c:pt idx="803">
                  <c:v>460.82</c:v>
                </c:pt>
                <c:pt idx="804">
                  <c:v>461.28</c:v>
                </c:pt>
                <c:pt idx="805">
                  <c:v>630.92999999999995</c:v>
                </c:pt>
                <c:pt idx="806">
                  <c:v>610.28</c:v>
                </c:pt>
                <c:pt idx="807">
                  <c:v>597.53</c:v>
                </c:pt>
                <c:pt idx="808">
                  <c:v>629.08000000000004</c:v>
                </c:pt>
                <c:pt idx="809">
                  <c:v>638.47</c:v>
                </c:pt>
                <c:pt idx="810">
                  <c:v>511.91</c:v>
                </c:pt>
                <c:pt idx="811">
                  <c:v>507.31</c:v>
                </c:pt>
                <c:pt idx="812">
                  <c:v>662.87</c:v>
                </c:pt>
                <c:pt idx="813">
                  <c:v>609.82000000000005</c:v>
                </c:pt>
                <c:pt idx="814">
                  <c:v>625.01</c:v>
                </c:pt>
                <c:pt idx="815">
                  <c:v>579.22</c:v>
                </c:pt>
                <c:pt idx="816">
                  <c:v>599.63</c:v>
                </c:pt>
                <c:pt idx="817">
                  <c:v>483.17</c:v>
                </c:pt>
                <c:pt idx="818">
                  <c:v>469.82</c:v>
                </c:pt>
                <c:pt idx="819">
                  <c:v>596.29999999999995</c:v>
                </c:pt>
                <c:pt idx="820">
                  <c:v>623.96</c:v>
                </c:pt>
                <c:pt idx="821">
                  <c:v>660.6</c:v>
                </c:pt>
                <c:pt idx="822">
                  <c:v>747.22</c:v>
                </c:pt>
                <c:pt idx="823">
                  <c:v>747.32</c:v>
                </c:pt>
                <c:pt idx="824">
                  <c:v>508.53</c:v>
                </c:pt>
                <c:pt idx="825">
                  <c:v>543.16</c:v>
                </c:pt>
                <c:pt idx="826">
                  <c:v>667.03</c:v>
                </c:pt>
                <c:pt idx="827">
                  <c:v>598.29999999999995</c:v>
                </c:pt>
                <c:pt idx="828">
                  <c:v>600.16999999999996</c:v>
                </c:pt>
                <c:pt idx="829">
                  <c:v>602.69000000000005</c:v>
                </c:pt>
                <c:pt idx="830">
                  <c:v>631.94000000000005</c:v>
                </c:pt>
                <c:pt idx="831">
                  <c:v>499.91</c:v>
                </c:pt>
                <c:pt idx="832">
                  <c:v>498.35</c:v>
                </c:pt>
                <c:pt idx="833">
                  <c:v>624.22</c:v>
                </c:pt>
                <c:pt idx="834">
                  <c:v>607.20000000000005</c:v>
                </c:pt>
                <c:pt idx="835">
                  <c:v>612.1</c:v>
                </c:pt>
                <c:pt idx="836">
                  <c:v>699.72</c:v>
                </c:pt>
                <c:pt idx="837">
                  <c:v>702.08</c:v>
                </c:pt>
                <c:pt idx="838">
                  <c:v>588.07000000000005</c:v>
                </c:pt>
                <c:pt idx="839">
                  <c:v>564.03</c:v>
                </c:pt>
                <c:pt idx="840">
                  <c:v>701.06</c:v>
                </c:pt>
                <c:pt idx="841">
                  <c:v>682.15</c:v>
                </c:pt>
                <c:pt idx="842">
                  <c:v>646.1</c:v>
                </c:pt>
                <c:pt idx="843">
                  <c:v>676.29</c:v>
                </c:pt>
                <c:pt idx="844">
                  <c:v>725.44</c:v>
                </c:pt>
                <c:pt idx="845">
                  <c:v>578.20000000000005</c:v>
                </c:pt>
                <c:pt idx="846">
                  <c:v>574.12</c:v>
                </c:pt>
                <c:pt idx="847">
                  <c:v>683</c:v>
                </c:pt>
                <c:pt idx="848">
                  <c:v>596.20000000000005</c:v>
                </c:pt>
                <c:pt idx="849">
                  <c:v>598.15</c:v>
                </c:pt>
                <c:pt idx="850">
                  <c:v>685.94</c:v>
                </c:pt>
                <c:pt idx="851">
                  <c:v>743.28</c:v>
                </c:pt>
                <c:pt idx="852">
                  <c:v>649.55999999999995</c:v>
                </c:pt>
                <c:pt idx="853">
                  <c:v>692.4</c:v>
                </c:pt>
                <c:pt idx="854">
                  <c:v>742.77</c:v>
                </c:pt>
                <c:pt idx="855">
                  <c:v>668.17</c:v>
                </c:pt>
                <c:pt idx="856">
                  <c:v>662.83</c:v>
                </c:pt>
                <c:pt idx="857">
                  <c:v>689.42</c:v>
                </c:pt>
                <c:pt idx="858">
                  <c:v>722.93</c:v>
                </c:pt>
                <c:pt idx="859">
                  <c:v>590.74</c:v>
                </c:pt>
                <c:pt idx="860">
                  <c:v>581.97</c:v>
                </c:pt>
                <c:pt idx="861">
                  <c:v>682.88</c:v>
                </c:pt>
                <c:pt idx="862">
                  <c:v>711.37</c:v>
                </c:pt>
                <c:pt idx="863">
                  <c:v>716.43</c:v>
                </c:pt>
                <c:pt idx="864">
                  <c:v>667.31</c:v>
                </c:pt>
                <c:pt idx="865">
                  <c:v>726.28</c:v>
                </c:pt>
                <c:pt idx="866">
                  <c:v>583.66999999999996</c:v>
                </c:pt>
                <c:pt idx="867">
                  <c:v>584.66</c:v>
                </c:pt>
                <c:pt idx="868">
                  <c:v>727.23</c:v>
                </c:pt>
                <c:pt idx="869">
                  <c:v>720.8</c:v>
                </c:pt>
                <c:pt idx="870">
                  <c:v>676.2</c:v>
                </c:pt>
                <c:pt idx="871">
                  <c:v>663.53</c:v>
                </c:pt>
                <c:pt idx="872">
                  <c:v>706.06</c:v>
                </c:pt>
                <c:pt idx="873">
                  <c:v>562.92999999999995</c:v>
                </c:pt>
                <c:pt idx="874">
                  <c:v>577.16</c:v>
                </c:pt>
                <c:pt idx="875">
                  <c:v>750.4</c:v>
                </c:pt>
                <c:pt idx="876">
                  <c:v>669.25</c:v>
                </c:pt>
                <c:pt idx="877">
                  <c:v>684.37</c:v>
                </c:pt>
                <c:pt idx="878">
                  <c:v>679.47</c:v>
                </c:pt>
                <c:pt idx="879">
                  <c:v>758.43</c:v>
                </c:pt>
                <c:pt idx="880">
                  <c:v>629.37</c:v>
                </c:pt>
                <c:pt idx="881">
                  <c:v>652.05999999999995</c:v>
                </c:pt>
                <c:pt idx="882">
                  <c:v>809.39</c:v>
                </c:pt>
                <c:pt idx="883">
                  <c:v>883.4</c:v>
                </c:pt>
                <c:pt idx="884">
                  <c:v>874.09</c:v>
                </c:pt>
                <c:pt idx="885">
                  <c:v>786.1</c:v>
                </c:pt>
                <c:pt idx="886">
                  <c:v>817.47</c:v>
                </c:pt>
                <c:pt idx="887">
                  <c:v>625.08000000000004</c:v>
                </c:pt>
                <c:pt idx="888">
                  <c:v>646.30999999999995</c:v>
                </c:pt>
                <c:pt idx="889">
                  <c:v>806.85</c:v>
                </c:pt>
                <c:pt idx="890">
                  <c:v>763.17</c:v>
                </c:pt>
                <c:pt idx="891">
                  <c:v>756.17</c:v>
                </c:pt>
                <c:pt idx="892">
                  <c:v>768.67</c:v>
                </c:pt>
                <c:pt idx="893">
                  <c:v>830.55</c:v>
                </c:pt>
                <c:pt idx="894">
                  <c:v>664</c:v>
                </c:pt>
                <c:pt idx="895">
                  <c:v>647.61</c:v>
                </c:pt>
                <c:pt idx="896">
                  <c:v>778.35</c:v>
                </c:pt>
                <c:pt idx="897">
                  <c:v>748.12</c:v>
                </c:pt>
                <c:pt idx="898">
                  <c:v>771.8</c:v>
                </c:pt>
                <c:pt idx="899">
                  <c:v>726.58</c:v>
                </c:pt>
                <c:pt idx="900">
                  <c:v>812.66</c:v>
                </c:pt>
                <c:pt idx="901">
                  <c:v>624.32000000000005</c:v>
                </c:pt>
                <c:pt idx="902">
                  <c:v>633.76</c:v>
                </c:pt>
                <c:pt idx="903">
                  <c:v>810.65</c:v>
                </c:pt>
                <c:pt idx="904">
                  <c:v>749.11</c:v>
                </c:pt>
                <c:pt idx="905">
                  <c:v>745.88</c:v>
                </c:pt>
                <c:pt idx="906">
                  <c:v>714.45</c:v>
                </c:pt>
                <c:pt idx="907">
                  <c:v>821.1</c:v>
                </c:pt>
                <c:pt idx="908">
                  <c:v>647.54</c:v>
                </c:pt>
                <c:pt idx="909">
                  <c:v>681.45</c:v>
                </c:pt>
                <c:pt idx="910">
                  <c:v>775.2</c:v>
                </c:pt>
                <c:pt idx="911">
                  <c:v>749.74</c:v>
                </c:pt>
                <c:pt idx="912">
                  <c:v>862.97</c:v>
                </c:pt>
                <c:pt idx="913">
                  <c:v>897.1</c:v>
                </c:pt>
                <c:pt idx="914">
                  <c:v>1019.55</c:v>
                </c:pt>
                <c:pt idx="915">
                  <c:v>812.48</c:v>
                </c:pt>
                <c:pt idx="916">
                  <c:v>714.62</c:v>
                </c:pt>
                <c:pt idx="917">
                  <c:v>868.83</c:v>
                </c:pt>
                <c:pt idx="918">
                  <c:v>812.05</c:v>
                </c:pt>
                <c:pt idx="919">
                  <c:v>827.86</c:v>
                </c:pt>
                <c:pt idx="920">
                  <c:v>849.58</c:v>
                </c:pt>
                <c:pt idx="921">
                  <c:v>863.57</c:v>
                </c:pt>
                <c:pt idx="922">
                  <c:v>702.89</c:v>
                </c:pt>
                <c:pt idx="923">
                  <c:v>682.32</c:v>
                </c:pt>
                <c:pt idx="924">
                  <c:v>893.73</c:v>
                </c:pt>
                <c:pt idx="925">
                  <c:v>785.46</c:v>
                </c:pt>
                <c:pt idx="926">
                  <c:v>809.27</c:v>
                </c:pt>
                <c:pt idx="927">
                  <c:v>832.39</c:v>
                </c:pt>
                <c:pt idx="928">
                  <c:v>927.57</c:v>
                </c:pt>
                <c:pt idx="929">
                  <c:v>697.99</c:v>
                </c:pt>
                <c:pt idx="930">
                  <c:v>685.9</c:v>
                </c:pt>
                <c:pt idx="931">
                  <c:v>910.67</c:v>
                </c:pt>
                <c:pt idx="932">
                  <c:v>787.32</c:v>
                </c:pt>
                <c:pt idx="933">
                  <c:v>768.78</c:v>
                </c:pt>
                <c:pt idx="934">
                  <c:v>833.94</c:v>
                </c:pt>
                <c:pt idx="935">
                  <c:v>876.52</c:v>
                </c:pt>
                <c:pt idx="936">
                  <c:v>674.39</c:v>
                </c:pt>
                <c:pt idx="937">
                  <c:v>717.1</c:v>
                </c:pt>
                <c:pt idx="938">
                  <c:v>870.24</c:v>
                </c:pt>
                <c:pt idx="939">
                  <c:v>809.14</c:v>
                </c:pt>
                <c:pt idx="940">
                  <c:v>910.18</c:v>
                </c:pt>
                <c:pt idx="941">
                  <c:v>971.31</c:v>
                </c:pt>
                <c:pt idx="942">
                  <c:v>1102.8699999999999</c:v>
                </c:pt>
                <c:pt idx="943">
                  <c:v>849.62</c:v>
                </c:pt>
                <c:pt idx="944">
                  <c:v>789.71</c:v>
                </c:pt>
                <c:pt idx="945">
                  <c:v>887.84</c:v>
                </c:pt>
                <c:pt idx="946">
                  <c:v>832.31</c:v>
                </c:pt>
                <c:pt idx="947">
                  <c:v>854.12</c:v>
                </c:pt>
                <c:pt idx="948">
                  <c:v>871.03</c:v>
                </c:pt>
                <c:pt idx="949">
                  <c:v>948.37</c:v>
                </c:pt>
                <c:pt idx="950">
                  <c:v>735.08</c:v>
                </c:pt>
                <c:pt idx="951">
                  <c:v>750.6</c:v>
                </c:pt>
                <c:pt idx="952">
                  <c:v>883.09</c:v>
                </c:pt>
                <c:pt idx="953">
                  <c:v>910</c:v>
                </c:pt>
                <c:pt idx="954">
                  <c:v>870.08</c:v>
                </c:pt>
                <c:pt idx="955">
                  <c:v>901.46</c:v>
                </c:pt>
                <c:pt idx="956">
                  <c:v>950.97</c:v>
                </c:pt>
                <c:pt idx="957">
                  <c:v>753.34</c:v>
                </c:pt>
                <c:pt idx="958">
                  <c:v>756.3</c:v>
                </c:pt>
                <c:pt idx="959">
                  <c:v>927.55</c:v>
                </c:pt>
                <c:pt idx="960">
                  <c:v>889.04</c:v>
                </c:pt>
                <c:pt idx="961">
                  <c:v>907.01</c:v>
                </c:pt>
                <c:pt idx="962">
                  <c:v>877.37</c:v>
                </c:pt>
                <c:pt idx="963">
                  <c:v>960.56</c:v>
                </c:pt>
                <c:pt idx="964">
                  <c:v>739.04</c:v>
                </c:pt>
                <c:pt idx="965">
                  <c:v>779.08</c:v>
                </c:pt>
                <c:pt idx="966">
                  <c:v>898.14</c:v>
                </c:pt>
                <c:pt idx="967">
                  <c:v>919.35</c:v>
                </c:pt>
                <c:pt idx="968">
                  <c:v>871.18</c:v>
                </c:pt>
                <c:pt idx="969">
                  <c:v>834.79</c:v>
                </c:pt>
                <c:pt idx="970">
                  <c:v>945.36</c:v>
                </c:pt>
                <c:pt idx="971">
                  <c:v>832.11</c:v>
                </c:pt>
                <c:pt idx="972">
                  <c:v>877.9</c:v>
                </c:pt>
                <c:pt idx="973">
                  <c:v>1062.3</c:v>
                </c:pt>
                <c:pt idx="974">
                  <c:v>1017.14</c:v>
                </c:pt>
                <c:pt idx="975">
                  <c:v>845.65</c:v>
                </c:pt>
                <c:pt idx="976">
                  <c:v>884.3</c:v>
                </c:pt>
                <c:pt idx="977">
                  <c:v>903</c:v>
                </c:pt>
                <c:pt idx="978">
                  <c:v>719.4</c:v>
                </c:pt>
                <c:pt idx="979">
                  <c:v>782.45</c:v>
                </c:pt>
                <c:pt idx="980">
                  <c:v>962.42</c:v>
                </c:pt>
                <c:pt idx="981">
                  <c:v>907.91</c:v>
                </c:pt>
                <c:pt idx="982">
                  <c:v>870.46</c:v>
                </c:pt>
                <c:pt idx="983">
                  <c:v>895.18</c:v>
                </c:pt>
                <c:pt idx="984">
                  <c:v>968.09</c:v>
                </c:pt>
                <c:pt idx="985">
                  <c:v>730.84</c:v>
                </c:pt>
                <c:pt idx="986">
                  <c:v>802.43</c:v>
                </c:pt>
                <c:pt idx="987">
                  <c:v>964.89</c:v>
                </c:pt>
                <c:pt idx="988">
                  <c:v>890.52</c:v>
                </c:pt>
                <c:pt idx="989">
                  <c:v>897.19</c:v>
                </c:pt>
                <c:pt idx="990">
                  <c:v>902.07</c:v>
                </c:pt>
                <c:pt idx="991">
                  <c:v>913.27</c:v>
                </c:pt>
                <c:pt idx="992">
                  <c:v>755.35</c:v>
                </c:pt>
                <c:pt idx="993">
                  <c:v>743.66</c:v>
                </c:pt>
                <c:pt idx="994">
                  <c:v>914.35</c:v>
                </c:pt>
                <c:pt idx="995">
                  <c:v>888.91</c:v>
                </c:pt>
                <c:pt idx="996">
                  <c:v>944.81</c:v>
                </c:pt>
                <c:pt idx="997">
                  <c:v>913.7</c:v>
                </c:pt>
                <c:pt idx="998">
                  <c:v>952.82</c:v>
                </c:pt>
                <c:pt idx="999">
                  <c:v>777.4</c:v>
                </c:pt>
                <c:pt idx="1000">
                  <c:v>799.63</c:v>
                </c:pt>
                <c:pt idx="1001">
                  <c:v>1111.08</c:v>
                </c:pt>
                <c:pt idx="1002">
                  <c:v>1032.78</c:v>
                </c:pt>
                <c:pt idx="1003">
                  <c:v>912.69</c:v>
                </c:pt>
                <c:pt idx="1004">
                  <c:v>950.25</c:v>
                </c:pt>
                <c:pt idx="1005">
                  <c:v>883.66</c:v>
                </c:pt>
                <c:pt idx="1006">
                  <c:v>709.69</c:v>
                </c:pt>
                <c:pt idx="1007">
                  <c:v>703.37</c:v>
                </c:pt>
                <c:pt idx="1008">
                  <c:v>875.31</c:v>
                </c:pt>
                <c:pt idx="1009">
                  <c:v>796.36</c:v>
                </c:pt>
                <c:pt idx="1010">
                  <c:v>841.34</c:v>
                </c:pt>
                <c:pt idx="1011">
                  <c:v>814.15</c:v>
                </c:pt>
                <c:pt idx="1012">
                  <c:v>924.49</c:v>
                </c:pt>
                <c:pt idx="1013">
                  <c:v>671.22</c:v>
                </c:pt>
                <c:pt idx="1014">
                  <c:v>730.1</c:v>
                </c:pt>
                <c:pt idx="1015">
                  <c:v>854.63</c:v>
                </c:pt>
                <c:pt idx="1016">
                  <c:v>793.54</c:v>
                </c:pt>
                <c:pt idx="1017">
                  <c:v>797.61</c:v>
                </c:pt>
                <c:pt idx="1018">
                  <c:v>801.58</c:v>
                </c:pt>
                <c:pt idx="1019">
                  <c:v>884.4</c:v>
                </c:pt>
                <c:pt idx="1020">
                  <c:v>700.65</c:v>
                </c:pt>
                <c:pt idx="1021">
                  <c:v>674.02</c:v>
                </c:pt>
                <c:pt idx="1022">
                  <c:v>849.23</c:v>
                </c:pt>
                <c:pt idx="1023">
                  <c:v>861.37</c:v>
                </c:pt>
                <c:pt idx="1024">
                  <c:v>851.3</c:v>
                </c:pt>
                <c:pt idx="1025">
                  <c:v>819.95</c:v>
                </c:pt>
                <c:pt idx="1026">
                  <c:v>875.03</c:v>
                </c:pt>
                <c:pt idx="1027">
                  <c:v>690.87</c:v>
                </c:pt>
                <c:pt idx="1028">
                  <c:v>702.85</c:v>
                </c:pt>
                <c:pt idx="1029">
                  <c:v>824.99</c:v>
                </c:pt>
                <c:pt idx="1030">
                  <c:v>803.11</c:v>
                </c:pt>
                <c:pt idx="1031">
                  <c:v>768.84</c:v>
                </c:pt>
                <c:pt idx="1032">
                  <c:v>941.91</c:v>
                </c:pt>
                <c:pt idx="1033">
                  <c:v>1023.29</c:v>
                </c:pt>
                <c:pt idx="1034">
                  <c:v>825.67</c:v>
                </c:pt>
                <c:pt idx="1035">
                  <c:v>886.66</c:v>
                </c:pt>
                <c:pt idx="1036">
                  <c:v>870.7</c:v>
                </c:pt>
                <c:pt idx="1037">
                  <c:v>821.58</c:v>
                </c:pt>
                <c:pt idx="1038">
                  <c:v>865.12</c:v>
                </c:pt>
                <c:pt idx="1039">
                  <c:v>886.33</c:v>
                </c:pt>
                <c:pt idx="1040">
                  <c:v>971.49</c:v>
                </c:pt>
                <c:pt idx="1041">
                  <c:v>718.6</c:v>
                </c:pt>
                <c:pt idx="1042">
                  <c:v>758.24</c:v>
                </c:pt>
                <c:pt idx="1043">
                  <c:v>901.31</c:v>
                </c:pt>
                <c:pt idx="1044">
                  <c:v>854.88</c:v>
                </c:pt>
                <c:pt idx="1045">
                  <c:v>882.11</c:v>
                </c:pt>
                <c:pt idx="1046">
                  <c:v>876.15</c:v>
                </c:pt>
                <c:pt idx="1047">
                  <c:v>887.44</c:v>
                </c:pt>
                <c:pt idx="1048">
                  <c:v>768.5</c:v>
                </c:pt>
                <c:pt idx="1049">
                  <c:v>766.01</c:v>
                </c:pt>
                <c:pt idx="1050">
                  <c:v>886.17</c:v>
                </c:pt>
                <c:pt idx="1051">
                  <c:v>869.54</c:v>
                </c:pt>
                <c:pt idx="1052">
                  <c:v>872.07</c:v>
                </c:pt>
                <c:pt idx="1053">
                  <c:v>866.05</c:v>
                </c:pt>
                <c:pt idx="1054">
                  <c:v>913.89</c:v>
                </c:pt>
                <c:pt idx="1055">
                  <c:v>713.12</c:v>
                </c:pt>
                <c:pt idx="1056">
                  <c:v>729.77</c:v>
                </c:pt>
                <c:pt idx="1057">
                  <c:v>932.53</c:v>
                </c:pt>
                <c:pt idx="1058">
                  <c:v>873.35</c:v>
                </c:pt>
                <c:pt idx="1059">
                  <c:v>849.78</c:v>
                </c:pt>
                <c:pt idx="1060">
                  <c:v>879.23</c:v>
                </c:pt>
                <c:pt idx="1061">
                  <c:v>854.64</c:v>
                </c:pt>
                <c:pt idx="1062">
                  <c:v>874.06</c:v>
                </c:pt>
                <c:pt idx="1063">
                  <c:v>788.42</c:v>
                </c:pt>
                <c:pt idx="1064">
                  <c:v>1097.04</c:v>
                </c:pt>
                <c:pt idx="1065">
                  <c:v>1020.27</c:v>
                </c:pt>
                <c:pt idx="1066">
                  <c:v>882.38</c:v>
                </c:pt>
                <c:pt idx="1067">
                  <c:v>950</c:v>
                </c:pt>
                <c:pt idx="1068">
                  <c:v>978.59</c:v>
                </c:pt>
                <c:pt idx="1069">
                  <c:v>789.87</c:v>
                </c:pt>
                <c:pt idx="1070">
                  <c:v>779.04</c:v>
                </c:pt>
                <c:pt idx="1071">
                  <c:v>977.07</c:v>
                </c:pt>
                <c:pt idx="1072">
                  <c:v>920.15</c:v>
                </c:pt>
                <c:pt idx="1073">
                  <c:v>882.7</c:v>
                </c:pt>
                <c:pt idx="1074">
                  <c:v>945.47</c:v>
                </c:pt>
                <c:pt idx="1075">
                  <c:v>977.88</c:v>
                </c:pt>
                <c:pt idx="1076">
                  <c:v>737.46</c:v>
                </c:pt>
                <c:pt idx="1077">
                  <c:v>768.54</c:v>
                </c:pt>
                <c:pt idx="1078">
                  <c:v>1005.27</c:v>
                </c:pt>
                <c:pt idx="1079">
                  <c:v>941.45</c:v>
                </c:pt>
                <c:pt idx="1080">
                  <c:v>908.43</c:v>
                </c:pt>
                <c:pt idx="1081">
                  <c:v>908.41</c:v>
                </c:pt>
                <c:pt idx="1082">
                  <c:v>982.62</c:v>
                </c:pt>
                <c:pt idx="1083">
                  <c:v>837.52</c:v>
                </c:pt>
                <c:pt idx="1084">
                  <c:v>790.85</c:v>
                </c:pt>
                <c:pt idx="1085">
                  <c:v>975.78</c:v>
                </c:pt>
                <c:pt idx="1086">
                  <c:v>946.41</c:v>
                </c:pt>
                <c:pt idx="1087">
                  <c:v>924.61</c:v>
                </c:pt>
                <c:pt idx="1088">
                  <c:v>910.9</c:v>
                </c:pt>
                <c:pt idx="1089">
                  <c:v>986.07</c:v>
                </c:pt>
                <c:pt idx="1090">
                  <c:v>778.36</c:v>
                </c:pt>
                <c:pt idx="1091">
                  <c:v>779.3</c:v>
                </c:pt>
                <c:pt idx="1092">
                  <c:v>983.97</c:v>
                </c:pt>
                <c:pt idx="1093">
                  <c:v>1057.3800000000001</c:v>
                </c:pt>
                <c:pt idx="1094">
                  <c:v>1078.94</c:v>
                </c:pt>
                <c:pt idx="1095">
                  <c:v>1170.8599999999999</c:v>
                </c:pt>
                <c:pt idx="1096">
                  <c:v>1270.3699999999999</c:v>
                </c:pt>
                <c:pt idx="1097">
                  <c:v>806.34</c:v>
                </c:pt>
                <c:pt idx="1098">
                  <c:v>895.58</c:v>
                </c:pt>
                <c:pt idx="1099">
                  <c:v>1082.25</c:v>
                </c:pt>
                <c:pt idx="1100">
                  <c:v>1051.17</c:v>
                </c:pt>
                <c:pt idx="1101">
                  <c:v>931.93</c:v>
                </c:pt>
                <c:pt idx="1102">
                  <c:v>1084.56</c:v>
                </c:pt>
                <c:pt idx="1103">
                  <c:v>1097.99</c:v>
                </c:pt>
                <c:pt idx="1104">
                  <c:v>901.45</c:v>
                </c:pt>
                <c:pt idx="1105">
                  <c:v>835.68</c:v>
                </c:pt>
                <c:pt idx="1106">
                  <c:v>1090.4100000000001</c:v>
                </c:pt>
                <c:pt idx="1107">
                  <c:v>988.36</c:v>
                </c:pt>
                <c:pt idx="1108">
                  <c:v>1001.51</c:v>
                </c:pt>
                <c:pt idx="1109">
                  <c:v>1079.22</c:v>
                </c:pt>
                <c:pt idx="1110">
                  <c:v>1096.42</c:v>
                </c:pt>
                <c:pt idx="1111">
                  <c:v>874.18</c:v>
                </c:pt>
                <c:pt idx="1112">
                  <c:v>894.16</c:v>
                </c:pt>
                <c:pt idx="1113">
                  <c:v>1086.82</c:v>
                </c:pt>
                <c:pt idx="1114">
                  <c:v>1025.22</c:v>
                </c:pt>
                <c:pt idx="1115">
                  <c:v>1031.79</c:v>
                </c:pt>
                <c:pt idx="1116">
                  <c:v>1094.2</c:v>
                </c:pt>
                <c:pt idx="1117">
                  <c:v>1100.5</c:v>
                </c:pt>
                <c:pt idx="1118">
                  <c:v>873.68</c:v>
                </c:pt>
                <c:pt idx="1119">
                  <c:v>899.69</c:v>
                </c:pt>
                <c:pt idx="1120">
                  <c:v>1105.49</c:v>
                </c:pt>
                <c:pt idx="1121">
                  <c:v>1056.96</c:v>
                </c:pt>
                <c:pt idx="1122">
                  <c:v>1040.17</c:v>
                </c:pt>
                <c:pt idx="1123">
                  <c:v>985.62</c:v>
                </c:pt>
                <c:pt idx="1124">
                  <c:v>1325.12</c:v>
                </c:pt>
                <c:pt idx="1125">
                  <c:v>957.28</c:v>
                </c:pt>
                <c:pt idx="1126">
                  <c:v>1108.8</c:v>
                </c:pt>
                <c:pt idx="1127">
                  <c:v>1326.01</c:v>
                </c:pt>
                <c:pt idx="1128">
                  <c:v>1120.17</c:v>
                </c:pt>
                <c:pt idx="1129">
                  <c:v>1133.4000000000001</c:v>
                </c:pt>
                <c:pt idx="1130">
                  <c:v>1133.1500000000001</c:v>
                </c:pt>
                <c:pt idx="1131">
                  <c:v>1226.33</c:v>
                </c:pt>
                <c:pt idx="1132">
                  <c:v>1008.32</c:v>
                </c:pt>
                <c:pt idx="1133">
                  <c:v>969.25</c:v>
                </c:pt>
                <c:pt idx="1134">
                  <c:v>1170.23</c:v>
                </c:pt>
                <c:pt idx="1135">
                  <c:v>1154.79</c:v>
                </c:pt>
                <c:pt idx="1136">
                  <c:v>1162.3800000000001</c:v>
                </c:pt>
                <c:pt idx="1137">
                  <c:v>1081</c:v>
                </c:pt>
                <c:pt idx="1138">
                  <c:v>1232.23</c:v>
                </c:pt>
                <c:pt idx="1139">
                  <c:v>977.59</c:v>
                </c:pt>
                <c:pt idx="1140">
                  <c:v>943.96</c:v>
                </c:pt>
                <c:pt idx="1141">
                  <c:v>1224.77</c:v>
                </c:pt>
                <c:pt idx="1142">
                  <c:v>1117.28</c:v>
                </c:pt>
                <c:pt idx="1143">
                  <c:v>1126.56</c:v>
                </c:pt>
                <c:pt idx="1144">
                  <c:v>1116.51</c:v>
                </c:pt>
                <c:pt idx="1145">
                  <c:v>1212.6400000000001</c:v>
                </c:pt>
                <c:pt idx="1146">
                  <c:v>917.07</c:v>
                </c:pt>
                <c:pt idx="1147">
                  <c:v>905.5</c:v>
                </c:pt>
                <c:pt idx="1148">
                  <c:v>1232.1400000000001</c:v>
                </c:pt>
                <c:pt idx="1149">
                  <c:v>1093.82</c:v>
                </c:pt>
                <c:pt idx="1150">
                  <c:v>1088.95</c:v>
                </c:pt>
                <c:pt idx="1151">
                  <c:v>1049.83</c:v>
                </c:pt>
                <c:pt idx="1152">
                  <c:v>1190.6099999999999</c:v>
                </c:pt>
                <c:pt idx="1153">
                  <c:v>909.43</c:v>
                </c:pt>
                <c:pt idx="1154">
                  <c:v>1160.6600000000001</c:v>
                </c:pt>
                <c:pt idx="1155">
                  <c:v>1394.32</c:v>
                </c:pt>
                <c:pt idx="1156">
                  <c:v>1469.11</c:v>
                </c:pt>
                <c:pt idx="1157">
                  <c:v>1601.45</c:v>
                </c:pt>
                <c:pt idx="1158">
                  <c:v>1342.84</c:v>
                </c:pt>
                <c:pt idx="1159">
                  <c:v>1396.06</c:v>
                </c:pt>
                <c:pt idx="1160">
                  <c:v>1010.95</c:v>
                </c:pt>
                <c:pt idx="1161">
                  <c:v>1198.4100000000001</c:v>
                </c:pt>
                <c:pt idx="1162">
                  <c:v>1315.26</c:v>
                </c:pt>
                <c:pt idx="1163">
                  <c:v>1240.03</c:v>
                </c:pt>
                <c:pt idx="1164">
                  <c:v>1344.44</c:v>
                </c:pt>
                <c:pt idx="1165">
                  <c:v>1399.89</c:v>
                </c:pt>
                <c:pt idx="1166">
                  <c:v>1462.94</c:v>
                </c:pt>
                <c:pt idx="1167">
                  <c:v>1130.82</c:v>
                </c:pt>
                <c:pt idx="1168">
                  <c:v>1132.03</c:v>
                </c:pt>
                <c:pt idx="1169">
                  <c:v>1403.04</c:v>
                </c:pt>
                <c:pt idx="1170">
                  <c:v>1467.53</c:v>
                </c:pt>
                <c:pt idx="1171">
                  <c:v>1446.97</c:v>
                </c:pt>
                <c:pt idx="1172">
                  <c:v>1439.35</c:v>
                </c:pt>
                <c:pt idx="1173">
                  <c:v>1546.96</c:v>
                </c:pt>
                <c:pt idx="1174">
                  <c:v>1187.18</c:v>
                </c:pt>
                <c:pt idx="1175">
                  <c:v>1207.55</c:v>
                </c:pt>
                <c:pt idx="1176">
                  <c:v>1433.73</c:v>
                </c:pt>
                <c:pt idx="1177">
                  <c:v>1430.63</c:v>
                </c:pt>
                <c:pt idx="1178">
                  <c:v>1392.31</c:v>
                </c:pt>
                <c:pt idx="1179">
                  <c:v>1387.36</c:v>
                </c:pt>
                <c:pt idx="1180">
                  <c:v>1557.39</c:v>
                </c:pt>
                <c:pt idx="1181">
                  <c:v>1163.23</c:v>
                </c:pt>
                <c:pt idx="1182">
                  <c:v>1144.69</c:v>
                </c:pt>
                <c:pt idx="1183">
                  <c:v>1308.18</c:v>
                </c:pt>
                <c:pt idx="1184">
                  <c:v>1265.69</c:v>
                </c:pt>
                <c:pt idx="1185">
                  <c:v>1542.42</c:v>
                </c:pt>
                <c:pt idx="1186">
                  <c:v>1455.87</c:v>
                </c:pt>
                <c:pt idx="1187">
                  <c:v>1795.5</c:v>
                </c:pt>
                <c:pt idx="1188">
                  <c:v>1449.61</c:v>
                </c:pt>
                <c:pt idx="1189">
                  <c:v>1194.26</c:v>
                </c:pt>
                <c:pt idx="1190">
                  <c:v>1532.07</c:v>
                </c:pt>
                <c:pt idx="1191">
                  <c:v>1396.51</c:v>
                </c:pt>
                <c:pt idx="1192">
                  <c:v>1428.49</c:v>
                </c:pt>
                <c:pt idx="1193">
                  <c:v>1468.69</c:v>
                </c:pt>
                <c:pt idx="1194">
                  <c:v>1501.59</c:v>
                </c:pt>
                <c:pt idx="1195">
                  <c:v>1255.75</c:v>
                </c:pt>
                <c:pt idx="1196">
                  <c:v>1235.67</c:v>
                </c:pt>
                <c:pt idx="1197">
                  <c:v>1551.58</c:v>
                </c:pt>
                <c:pt idx="1198">
                  <c:v>1464.51</c:v>
                </c:pt>
                <c:pt idx="1199">
                  <c:v>1514.27</c:v>
                </c:pt>
                <c:pt idx="1200">
                  <c:v>1460.2</c:v>
                </c:pt>
                <c:pt idx="1201">
                  <c:v>1707.61</c:v>
                </c:pt>
                <c:pt idx="1202">
                  <c:v>1366.05</c:v>
                </c:pt>
                <c:pt idx="1203">
                  <c:v>1386.26</c:v>
                </c:pt>
                <c:pt idx="1204">
                  <c:v>1682.56</c:v>
                </c:pt>
                <c:pt idx="1205">
                  <c:v>1602.16</c:v>
                </c:pt>
                <c:pt idx="1206">
                  <c:v>1566.51</c:v>
                </c:pt>
                <c:pt idx="1207">
                  <c:v>1568.38</c:v>
                </c:pt>
                <c:pt idx="1208">
                  <c:v>1660.89</c:v>
                </c:pt>
                <c:pt idx="1209">
                  <c:v>1444.17</c:v>
                </c:pt>
                <c:pt idx="1210">
                  <c:v>1300.46</c:v>
                </c:pt>
                <c:pt idx="1211">
                  <c:v>1646.95</c:v>
                </c:pt>
                <c:pt idx="1212">
                  <c:v>1423.38</c:v>
                </c:pt>
                <c:pt idx="1213">
                  <c:v>1493.79</c:v>
                </c:pt>
                <c:pt idx="1214">
                  <c:v>1441.86</c:v>
                </c:pt>
                <c:pt idx="1215">
                  <c:v>1869.4</c:v>
                </c:pt>
                <c:pt idx="1216">
                  <c:v>1388.2</c:v>
                </c:pt>
                <c:pt idx="1217">
                  <c:v>1479.51</c:v>
                </c:pt>
                <c:pt idx="1218">
                  <c:v>1766.61</c:v>
                </c:pt>
                <c:pt idx="1219">
                  <c:v>1595.26</c:v>
                </c:pt>
                <c:pt idx="1220">
                  <c:v>1445.41</c:v>
                </c:pt>
                <c:pt idx="1221">
                  <c:v>1512.74</c:v>
                </c:pt>
                <c:pt idx="1222">
                  <c:v>1647.21</c:v>
                </c:pt>
                <c:pt idx="1223">
                  <c:v>1292.5899999999999</c:v>
                </c:pt>
                <c:pt idx="1224">
                  <c:v>1265.6500000000001</c:v>
                </c:pt>
                <c:pt idx="1225">
                  <c:v>1567.91</c:v>
                </c:pt>
                <c:pt idx="1226">
                  <c:v>1500.78</c:v>
                </c:pt>
                <c:pt idx="1227">
                  <c:v>1492.2</c:v>
                </c:pt>
                <c:pt idx="1228">
                  <c:v>1542.15</c:v>
                </c:pt>
                <c:pt idx="1229">
                  <c:v>1718.11</c:v>
                </c:pt>
                <c:pt idx="1230">
                  <c:v>1248.92</c:v>
                </c:pt>
                <c:pt idx="1231">
                  <c:v>1212.3900000000001</c:v>
                </c:pt>
                <c:pt idx="1232">
                  <c:v>1569.78</c:v>
                </c:pt>
                <c:pt idx="1233">
                  <c:v>1614.8</c:v>
                </c:pt>
                <c:pt idx="1234">
                  <c:v>1462.67</c:v>
                </c:pt>
                <c:pt idx="1235">
                  <c:v>1572.51</c:v>
                </c:pt>
                <c:pt idx="1236">
                  <c:v>1694.15</c:v>
                </c:pt>
                <c:pt idx="1237">
                  <c:v>1249.0899999999999</c:v>
                </c:pt>
                <c:pt idx="1238">
                  <c:v>1299.57</c:v>
                </c:pt>
                <c:pt idx="1239">
                  <c:v>1646.97</c:v>
                </c:pt>
                <c:pt idx="1240">
                  <c:v>1481.76</c:v>
                </c:pt>
                <c:pt idx="1241">
                  <c:v>1489.65</c:v>
                </c:pt>
                <c:pt idx="1242">
                  <c:v>1472.65</c:v>
                </c:pt>
                <c:pt idx="1243">
                  <c:v>1573.08</c:v>
                </c:pt>
                <c:pt idx="1244">
                  <c:v>1244.79</c:v>
                </c:pt>
                <c:pt idx="1245">
                  <c:v>1218.95</c:v>
                </c:pt>
                <c:pt idx="1246">
                  <c:v>1811.57</c:v>
                </c:pt>
                <c:pt idx="1247">
                  <c:v>1683.81</c:v>
                </c:pt>
                <c:pt idx="1248">
                  <c:v>1721.6</c:v>
                </c:pt>
                <c:pt idx="1249">
                  <c:v>1629.81</c:v>
                </c:pt>
                <c:pt idx="1250">
                  <c:v>1620.3</c:v>
                </c:pt>
                <c:pt idx="1251">
                  <c:v>1300.8</c:v>
                </c:pt>
                <c:pt idx="1252">
                  <c:v>1174.7</c:v>
                </c:pt>
                <c:pt idx="1253">
                  <c:v>1577.63</c:v>
                </c:pt>
                <c:pt idx="1254">
                  <c:v>1541.36</c:v>
                </c:pt>
                <c:pt idx="1255">
                  <c:v>1432.66</c:v>
                </c:pt>
                <c:pt idx="1256">
                  <c:v>1561.21</c:v>
                </c:pt>
                <c:pt idx="1257">
                  <c:v>1624.23</c:v>
                </c:pt>
                <c:pt idx="1258">
                  <c:v>1232.18</c:v>
                </c:pt>
                <c:pt idx="1259">
                  <c:v>1261.1300000000001</c:v>
                </c:pt>
                <c:pt idx="1260">
                  <c:v>1585.84</c:v>
                </c:pt>
                <c:pt idx="1261">
                  <c:v>1490</c:v>
                </c:pt>
                <c:pt idx="1262">
                  <c:v>1510.64</c:v>
                </c:pt>
                <c:pt idx="1263">
                  <c:v>1445.55</c:v>
                </c:pt>
                <c:pt idx="1264">
                  <c:v>1613.1</c:v>
                </c:pt>
                <c:pt idx="1265">
                  <c:v>1200.57</c:v>
                </c:pt>
                <c:pt idx="1266">
                  <c:v>1258.6600000000001</c:v>
                </c:pt>
                <c:pt idx="1267">
                  <c:v>1520.63</c:v>
                </c:pt>
                <c:pt idx="1268">
                  <c:v>1453.81</c:v>
                </c:pt>
                <c:pt idx="1269">
                  <c:v>1541.74</c:v>
                </c:pt>
                <c:pt idx="1270">
                  <c:v>1535.28</c:v>
                </c:pt>
                <c:pt idx="1271">
                  <c:v>1632.71</c:v>
                </c:pt>
                <c:pt idx="1272">
                  <c:v>1214.9100000000001</c:v>
                </c:pt>
                <c:pt idx="1273">
                  <c:v>1249.51</c:v>
                </c:pt>
                <c:pt idx="1274">
                  <c:v>1615.05</c:v>
                </c:pt>
                <c:pt idx="1275">
                  <c:v>1492.93</c:v>
                </c:pt>
                <c:pt idx="1276">
                  <c:v>1590.05</c:v>
                </c:pt>
                <c:pt idx="1277">
                  <c:v>1729.78</c:v>
                </c:pt>
                <c:pt idx="1278">
                  <c:v>1856.22</c:v>
                </c:pt>
                <c:pt idx="1279">
                  <c:v>1557.91</c:v>
                </c:pt>
                <c:pt idx="1280">
                  <c:v>1582.51</c:v>
                </c:pt>
                <c:pt idx="1281">
                  <c:v>1684.54</c:v>
                </c:pt>
                <c:pt idx="1282">
                  <c:v>1645.58</c:v>
                </c:pt>
                <c:pt idx="1283">
                  <c:v>1657.59</c:v>
                </c:pt>
                <c:pt idx="1284">
                  <c:v>1573.35</c:v>
                </c:pt>
                <c:pt idx="1285">
                  <c:v>1675.9</c:v>
                </c:pt>
                <c:pt idx="1286">
                  <c:v>1280.8800000000001</c:v>
                </c:pt>
                <c:pt idx="1287">
                  <c:v>1394.2</c:v>
                </c:pt>
                <c:pt idx="1288">
                  <c:v>1638.57</c:v>
                </c:pt>
                <c:pt idx="1289">
                  <c:v>1507.27</c:v>
                </c:pt>
                <c:pt idx="1290">
                  <c:v>1630.13</c:v>
                </c:pt>
                <c:pt idx="1291">
                  <c:v>1731.86</c:v>
                </c:pt>
                <c:pt idx="1292">
                  <c:v>1739.96</c:v>
                </c:pt>
                <c:pt idx="1293">
                  <c:v>1410.18</c:v>
                </c:pt>
                <c:pt idx="1294">
                  <c:v>1373.6</c:v>
                </c:pt>
                <c:pt idx="1295">
                  <c:v>1687.13</c:v>
                </c:pt>
                <c:pt idx="1296">
                  <c:v>1655.77</c:v>
                </c:pt>
                <c:pt idx="1297">
                  <c:v>1597.31</c:v>
                </c:pt>
                <c:pt idx="1298">
                  <c:v>1624.27</c:v>
                </c:pt>
                <c:pt idx="1299">
                  <c:v>1755.8</c:v>
                </c:pt>
                <c:pt idx="1300">
                  <c:v>1337.35</c:v>
                </c:pt>
                <c:pt idx="1301">
                  <c:v>1417.6</c:v>
                </c:pt>
                <c:pt idx="1302">
                  <c:v>1683.45</c:v>
                </c:pt>
                <c:pt idx="1303">
                  <c:v>1574.81</c:v>
                </c:pt>
                <c:pt idx="1304">
                  <c:v>1637.28</c:v>
                </c:pt>
                <c:pt idx="1305">
                  <c:v>1567.91</c:v>
                </c:pt>
                <c:pt idx="1306">
                  <c:v>2002.86</c:v>
                </c:pt>
                <c:pt idx="1307">
                  <c:v>1574.58</c:v>
                </c:pt>
                <c:pt idx="1308">
                  <c:v>1423.6</c:v>
                </c:pt>
                <c:pt idx="1309">
                  <c:v>1716.63</c:v>
                </c:pt>
                <c:pt idx="1310">
                  <c:v>1401.56</c:v>
                </c:pt>
                <c:pt idx="1311">
                  <c:v>1437.02</c:v>
                </c:pt>
                <c:pt idx="1312">
                  <c:v>1461.11</c:v>
                </c:pt>
                <c:pt idx="1313">
                  <c:v>1538.29</c:v>
                </c:pt>
                <c:pt idx="1314">
                  <c:v>1192.6600000000001</c:v>
                </c:pt>
                <c:pt idx="1315">
                  <c:v>1137.02</c:v>
                </c:pt>
                <c:pt idx="1316">
                  <c:v>1427.93</c:v>
                </c:pt>
                <c:pt idx="1317">
                  <c:v>1389.77</c:v>
                </c:pt>
                <c:pt idx="1318">
                  <c:v>1376.97</c:v>
                </c:pt>
                <c:pt idx="1319">
                  <c:v>1394.75</c:v>
                </c:pt>
                <c:pt idx="1320">
                  <c:v>1517.21</c:v>
                </c:pt>
                <c:pt idx="1321">
                  <c:v>1214.51</c:v>
                </c:pt>
                <c:pt idx="1322">
                  <c:v>1189.25</c:v>
                </c:pt>
                <c:pt idx="1323">
                  <c:v>1493.21</c:v>
                </c:pt>
                <c:pt idx="1324">
                  <c:v>1405.33</c:v>
                </c:pt>
                <c:pt idx="1325">
                  <c:v>1319.49</c:v>
                </c:pt>
                <c:pt idx="1326">
                  <c:v>1363.09</c:v>
                </c:pt>
                <c:pt idx="1327">
                  <c:v>1508.76</c:v>
                </c:pt>
                <c:pt idx="1328">
                  <c:v>1141.32</c:v>
                </c:pt>
                <c:pt idx="1329">
                  <c:v>1217.47</c:v>
                </c:pt>
                <c:pt idx="1330">
                  <c:v>1537.16</c:v>
                </c:pt>
                <c:pt idx="1331">
                  <c:v>1453.9</c:v>
                </c:pt>
                <c:pt idx="1332">
                  <c:v>1393.63</c:v>
                </c:pt>
                <c:pt idx="1333">
                  <c:v>1465.34</c:v>
                </c:pt>
                <c:pt idx="1334">
                  <c:v>1521.08</c:v>
                </c:pt>
                <c:pt idx="1335">
                  <c:v>1178.04</c:v>
                </c:pt>
                <c:pt idx="1336">
                  <c:v>1166.4100000000001</c:v>
                </c:pt>
                <c:pt idx="1337">
                  <c:v>1679.02</c:v>
                </c:pt>
                <c:pt idx="1338">
                  <c:v>1594.22</c:v>
                </c:pt>
                <c:pt idx="1339">
                  <c:v>1318.36</c:v>
                </c:pt>
                <c:pt idx="1340">
                  <c:v>1317.97</c:v>
                </c:pt>
                <c:pt idx="1341">
                  <c:v>1231.92</c:v>
                </c:pt>
                <c:pt idx="1342">
                  <c:v>984.43</c:v>
                </c:pt>
                <c:pt idx="1343">
                  <c:v>1010.22</c:v>
                </c:pt>
                <c:pt idx="1344">
                  <c:v>1230.0899999999999</c:v>
                </c:pt>
                <c:pt idx="1345">
                  <c:v>1089.76</c:v>
                </c:pt>
                <c:pt idx="1346">
                  <c:v>1053.18</c:v>
                </c:pt>
                <c:pt idx="1347">
                  <c:v>1172.54</c:v>
                </c:pt>
                <c:pt idx="1348">
                  <c:v>1185.04</c:v>
                </c:pt>
                <c:pt idx="1349">
                  <c:v>961.79</c:v>
                </c:pt>
                <c:pt idx="1350">
                  <c:v>929.44</c:v>
                </c:pt>
                <c:pt idx="1351">
                  <c:v>1135.94</c:v>
                </c:pt>
                <c:pt idx="1352">
                  <c:v>1159.0899999999999</c:v>
                </c:pt>
                <c:pt idx="1353">
                  <c:v>1166.54</c:v>
                </c:pt>
                <c:pt idx="1354">
                  <c:v>1120.8399999999999</c:v>
                </c:pt>
                <c:pt idx="1355">
                  <c:v>1143.1500000000001</c:v>
                </c:pt>
                <c:pt idx="1356">
                  <c:v>950.79</c:v>
                </c:pt>
                <c:pt idx="1357">
                  <c:v>982.89</c:v>
                </c:pt>
                <c:pt idx="1358">
                  <c:v>1146.99</c:v>
                </c:pt>
                <c:pt idx="1359">
                  <c:v>1146.8399999999999</c:v>
                </c:pt>
                <c:pt idx="1360">
                  <c:v>1140.04</c:v>
                </c:pt>
                <c:pt idx="1361">
                  <c:v>1160.3900000000001</c:v>
                </c:pt>
                <c:pt idx="1362">
                  <c:v>1235.9000000000001</c:v>
                </c:pt>
                <c:pt idx="1363">
                  <c:v>936.19</c:v>
                </c:pt>
                <c:pt idx="1364">
                  <c:v>1010.42</c:v>
                </c:pt>
                <c:pt idx="1365">
                  <c:v>1192.17</c:v>
                </c:pt>
                <c:pt idx="1366">
                  <c:v>1139.6300000000001</c:v>
                </c:pt>
                <c:pt idx="1367">
                  <c:v>1274.93</c:v>
                </c:pt>
                <c:pt idx="1368">
                  <c:v>1294.21</c:v>
                </c:pt>
                <c:pt idx="1369">
                  <c:v>1644.87</c:v>
                </c:pt>
                <c:pt idx="1370">
                  <c:v>1319.09</c:v>
                </c:pt>
                <c:pt idx="1371">
                  <c:v>1223.8</c:v>
                </c:pt>
                <c:pt idx="1372">
                  <c:v>1369.75</c:v>
                </c:pt>
                <c:pt idx="1373">
                  <c:v>1292.02</c:v>
                </c:pt>
                <c:pt idx="1374">
                  <c:v>1417.67</c:v>
                </c:pt>
                <c:pt idx="1375">
                  <c:v>1349.22</c:v>
                </c:pt>
                <c:pt idx="1376">
                  <c:v>1439.11</c:v>
                </c:pt>
                <c:pt idx="1377">
                  <c:v>1196.44</c:v>
                </c:pt>
                <c:pt idx="1378">
                  <c:v>1129.4100000000001</c:v>
                </c:pt>
                <c:pt idx="1379">
                  <c:v>1500.01</c:v>
                </c:pt>
                <c:pt idx="1380">
                  <c:v>1385.36</c:v>
                </c:pt>
                <c:pt idx="1381">
                  <c:v>1337.87</c:v>
                </c:pt>
                <c:pt idx="1382">
                  <c:v>1445.61</c:v>
                </c:pt>
                <c:pt idx="1383">
                  <c:v>1441.69</c:v>
                </c:pt>
                <c:pt idx="1384">
                  <c:v>1184.31</c:v>
                </c:pt>
                <c:pt idx="1385">
                  <c:v>1166.27</c:v>
                </c:pt>
                <c:pt idx="1386">
                  <c:v>1478.65</c:v>
                </c:pt>
                <c:pt idx="1387">
                  <c:v>1421.35</c:v>
                </c:pt>
                <c:pt idx="1388">
                  <c:v>1359.05</c:v>
                </c:pt>
                <c:pt idx="1389">
                  <c:v>1327.05</c:v>
                </c:pt>
                <c:pt idx="1390">
                  <c:v>1485.1</c:v>
                </c:pt>
                <c:pt idx="1391">
                  <c:v>1126.48</c:v>
                </c:pt>
                <c:pt idx="1392">
                  <c:v>1236.0899999999999</c:v>
                </c:pt>
                <c:pt idx="1393">
                  <c:v>1431.19</c:v>
                </c:pt>
                <c:pt idx="1394">
                  <c:v>1342.86</c:v>
                </c:pt>
                <c:pt idx="1395">
                  <c:v>1365.26</c:v>
                </c:pt>
                <c:pt idx="1396">
                  <c:v>1302.8699999999999</c:v>
                </c:pt>
                <c:pt idx="1397">
                  <c:v>1426.79</c:v>
                </c:pt>
                <c:pt idx="1398">
                  <c:v>1383.42</c:v>
                </c:pt>
                <c:pt idx="1399">
                  <c:v>1296.42</c:v>
                </c:pt>
                <c:pt idx="1400">
                  <c:v>1798.07</c:v>
                </c:pt>
                <c:pt idx="1401">
                  <c:v>1793.67</c:v>
                </c:pt>
                <c:pt idx="1402">
                  <c:v>1589.6</c:v>
                </c:pt>
                <c:pt idx="1403">
                  <c:v>1568.11</c:v>
                </c:pt>
                <c:pt idx="1404">
                  <c:v>1703.67</c:v>
                </c:pt>
                <c:pt idx="1405">
                  <c:v>1269.9000000000001</c:v>
                </c:pt>
                <c:pt idx="1406">
                  <c:v>1239.28</c:v>
                </c:pt>
                <c:pt idx="1407">
                  <c:v>1680.89</c:v>
                </c:pt>
                <c:pt idx="1408">
                  <c:v>1520.14</c:v>
                </c:pt>
                <c:pt idx="1409">
                  <c:v>1523.45</c:v>
                </c:pt>
                <c:pt idx="1410">
                  <c:v>1596.16</c:v>
                </c:pt>
                <c:pt idx="1411">
                  <c:v>1683.41</c:v>
                </c:pt>
                <c:pt idx="1412">
                  <c:v>1325.74</c:v>
                </c:pt>
                <c:pt idx="1413">
                  <c:v>1404.45</c:v>
                </c:pt>
                <c:pt idx="1414">
                  <c:v>1582.12</c:v>
                </c:pt>
                <c:pt idx="1415">
                  <c:v>1577.73</c:v>
                </c:pt>
                <c:pt idx="1416">
                  <c:v>1537.63</c:v>
                </c:pt>
                <c:pt idx="1417">
                  <c:v>1547.37</c:v>
                </c:pt>
                <c:pt idx="1418">
                  <c:v>1728.19</c:v>
                </c:pt>
                <c:pt idx="1419">
                  <c:v>1328.14</c:v>
                </c:pt>
                <c:pt idx="1420">
                  <c:v>1329.54</c:v>
                </c:pt>
                <c:pt idx="1421">
                  <c:v>1661.14</c:v>
                </c:pt>
                <c:pt idx="1422">
                  <c:v>1518.19</c:v>
                </c:pt>
                <c:pt idx="1423">
                  <c:v>1496.35</c:v>
                </c:pt>
                <c:pt idx="1424">
                  <c:v>1486.89</c:v>
                </c:pt>
                <c:pt idx="1425">
                  <c:v>1567.25</c:v>
                </c:pt>
                <c:pt idx="1426">
                  <c:v>1399.44</c:v>
                </c:pt>
                <c:pt idx="1427">
                  <c:v>1253.95</c:v>
                </c:pt>
                <c:pt idx="1428">
                  <c:v>1841.8</c:v>
                </c:pt>
                <c:pt idx="1429">
                  <c:v>1750.59</c:v>
                </c:pt>
                <c:pt idx="1430">
                  <c:v>1927.17</c:v>
                </c:pt>
                <c:pt idx="1431">
                  <c:v>1956.29</c:v>
                </c:pt>
                <c:pt idx="1432">
                  <c:v>1836.19</c:v>
                </c:pt>
                <c:pt idx="1433">
                  <c:v>1382.37</c:v>
                </c:pt>
                <c:pt idx="1434">
                  <c:v>1403.09</c:v>
                </c:pt>
                <c:pt idx="1435">
                  <c:v>1757.58</c:v>
                </c:pt>
                <c:pt idx="1436">
                  <c:v>1648.1</c:v>
                </c:pt>
                <c:pt idx="1437">
                  <c:v>1740.55</c:v>
                </c:pt>
                <c:pt idx="1438">
                  <c:v>1684.94</c:v>
                </c:pt>
                <c:pt idx="1439">
                  <c:v>1829.93</c:v>
                </c:pt>
                <c:pt idx="1440">
                  <c:v>1444.43</c:v>
                </c:pt>
                <c:pt idx="1441">
                  <c:v>1469.87</c:v>
                </c:pt>
                <c:pt idx="1442">
                  <c:v>1752.53</c:v>
                </c:pt>
                <c:pt idx="1443">
                  <c:v>1595.88</c:v>
                </c:pt>
                <c:pt idx="1444">
                  <c:v>1680.39</c:v>
                </c:pt>
                <c:pt idx="1445">
                  <c:v>1628.04</c:v>
                </c:pt>
                <c:pt idx="1446">
                  <c:v>1766.99</c:v>
                </c:pt>
                <c:pt idx="1447">
                  <c:v>1440.62</c:v>
                </c:pt>
                <c:pt idx="1448">
                  <c:v>1473.1</c:v>
                </c:pt>
                <c:pt idx="1449">
                  <c:v>1744.57</c:v>
                </c:pt>
                <c:pt idx="1450">
                  <c:v>1675.87</c:v>
                </c:pt>
                <c:pt idx="1451">
                  <c:v>1745.28</c:v>
                </c:pt>
                <c:pt idx="1452">
                  <c:v>1672.48</c:v>
                </c:pt>
                <c:pt idx="1453">
                  <c:v>1922.92</c:v>
                </c:pt>
                <c:pt idx="1454">
                  <c:v>1439.58</c:v>
                </c:pt>
                <c:pt idx="1455">
                  <c:v>1323.7</c:v>
                </c:pt>
                <c:pt idx="1456">
                  <c:v>1781.04</c:v>
                </c:pt>
                <c:pt idx="1457">
                  <c:v>1679.47</c:v>
                </c:pt>
                <c:pt idx="1458">
                  <c:v>1724.73</c:v>
                </c:pt>
                <c:pt idx="1459">
                  <c:v>1948.12</c:v>
                </c:pt>
                <c:pt idx="1460">
                  <c:v>2054.39</c:v>
                </c:pt>
                <c:pt idx="1461">
                  <c:v>1729.03</c:v>
                </c:pt>
                <c:pt idx="1462">
                  <c:v>1793.78</c:v>
                </c:pt>
                <c:pt idx="1463">
                  <c:v>1893.97</c:v>
                </c:pt>
                <c:pt idx="1464">
                  <c:v>1816.51</c:v>
                </c:pt>
                <c:pt idx="1465">
                  <c:v>1881.35</c:v>
                </c:pt>
                <c:pt idx="1466">
                  <c:v>1941.32</c:v>
                </c:pt>
                <c:pt idx="1467">
                  <c:v>2018.5</c:v>
                </c:pt>
                <c:pt idx="1468">
                  <c:v>1505.08</c:v>
                </c:pt>
                <c:pt idx="1469">
                  <c:v>1596.06</c:v>
                </c:pt>
                <c:pt idx="1470">
                  <c:v>2007.51</c:v>
                </c:pt>
                <c:pt idx="1471">
                  <c:v>1814.89</c:v>
                </c:pt>
                <c:pt idx="1472">
                  <c:v>1841.28</c:v>
                </c:pt>
                <c:pt idx="1473">
                  <c:v>1849.52</c:v>
                </c:pt>
                <c:pt idx="1474">
                  <c:v>1953.07</c:v>
                </c:pt>
                <c:pt idx="1475">
                  <c:v>1607.36</c:v>
                </c:pt>
                <c:pt idx="1476">
                  <c:v>1564.7</c:v>
                </c:pt>
                <c:pt idx="1477">
                  <c:v>1964.41</c:v>
                </c:pt>
                <c:pt idx="1478">
                  <c:v>1799.49</c:v>
                </c:pt>
                <c:pt idx="1479">
                  <c:v>1824.45</c:v>
                </c:pt>
                <c:pt idx="1480">
                  <c:v>1888.77</c:v>
                </c:pt>
                <c:pt idx="1481">
                  <c:v>1975.93</c:v>
                </c:pt>
                <c:pt idx="1482">
                  <c:v>1667.18</c:v>
                </c:pt>
                <c:pt idx="1483">
                  <c:v>1549.24</c:v>
                </c:pt>
                <c:pt idx="1484">
                  <c:v>1953.61</c:v>
                </c:pt>
                <c:pt idx="1485">
                  <c:v>1900.43</c:v>
                </c:pt>
                <c:pt idx="1486">
                  <c:v>1770.05</c:v>
                </c:pt>
                <c:pt idx="1487">
                  <c:v>1751.05</c:v>
                </c:pt>
                <c:pt idx="1488">
                  <c:v>1911.99</c:v>
                </c:pt>
                <c:pt idx="1489">
                  <c:v>1641.43</c:v>
                </c:pt>
                <c:pt idx="1490">
                  <c:v>1771.92</c:v>
                </c:pt>
                <c:pt idx="1491">
                  <c:v>2395.48</c:v>
                </c:pt>
                <c:pt idx="1492">
                  <c:v>2352.2600000000002</c:v>
                </c:pt>
                <c:pt idx="1493">
                  <c:v>2406.0100000000002</c:v>
                </c:pt>
                <c:pt idx="1494">
                  <c:v>2176.9299999999998</c:v>
                </c:pt>
                <c:pt idx="1495">
                  <c:v>2372.34</c:v>
                </c:pt>
                <c:pt idx="1496">
                  <c:v>1897.25</c:v>
                </c:pt>
                <c:pt idx="1497">
                  <c:v>1843.99</c:v>
                </c:pt>
                <c:pt idx="1498">
                  <c:v>2248.62</c:v>
                </c:pt>
                <c:pt idx="1499">
                  <c:v>2117.65</c:v>
                </c:pt>
                <c:pt idx="1500">
                  <c:v>2129.25</c:v>
                </c:pt>
                <c:pt idx="1501">
                  <c:v>2046.26</c:v>
                </c:pt>
                <c:pt idx="1502">
                  <c:v>2196.0500000000002</c:v>
                </c:pt>
                <c:pt idx="1503">
                  <c:v>1768.36</c:v>
                </c:pt>
                <c:pt idx="1504">
                  <c:v>1757.94</c:v>
                </c:pt>
                <c:pt idx="1505">
                  <c:v>2156.41</c:v>
                </c:pt>
                <c:pt idx="1506">
                  <c:v>2124.14</c:v>
                </c:pt>
                <c:pt idx="1507">
                  <c:v>2140.3000000000002</c:v>
                </c:pt>
                <c:pt idx="1508">
                  <c:v>2086.19</c:v>
                </c:pt>
                <c:pt idx="1509">
                  <c:v>2339.35</c:v>
                </c:pt>
                <c:pt idx="1510">
                  <c:v>1697.3</c:v>
                </c:pt>
                <c:pt idx="1511">
                  <c:v>1756.48</c:v>
                </c:pt>
                <c:pt idx="1512">
                  <c:v>2139.96</c:v>
                </c:pt>
                <c:pt idx="1513">
                  <c:v>1964.16</c:v>
                </c:pt>
                <c:pt idx="1514">
                  <c:v>2075.5100000000002</c:v>
                </c:pt>
                <c:pt idx="1515">
                  <c:v>2073.0700000000002</c:v>
                </c:pt>
                <c:pt idx="1516">
                  <c:v>2341.59</c:v>
                </c:pt>
                <c:pt idx="1517">
                  <c:v>1807.94</c:v>
                </c:pt>
                <c:pt idx="1518">
                  <c:v>1704.64</c:v>
                </c:pt>
                <c:pt idx="1519">
                  <c:v>2300.4299999999998</c:v>
                </c:pt>
                <c:pt idx="1520">
                  <c:v>2480.42</c:v>
                </c:pt>
                <c:pt idx="1521">
                  <c:v>2434.5500000000002</c:v>
                </c:pt>
                <c:pt idx="1522">
                  <c:v>2637.35</c:v>
                </c:pt>
                <c:pt idx="1523">
                  <c:v>2791.39</c:v>
                </c:pt>
                <c:pt idx="1524">
                  <c:v>1936.89</c:v>
                </c:pt>
                <c:pt idx="1525">
                  <c:v>2038.1</c:v>
                </c:pt>
                <c:pt idx="1526">
                  <c:v>2555.0300000000002</c:v>
                </c:pt>
                <c:pt idx="1527">
                  <c:v>2415.9299999999998</c:v>
                </c:pt>
                <c:pt idx="1528">
                  <c:v>2275.17</c:v>
                </c:pt>
                <c:pt idx="1529">
                  <c:v>2231.48</c:v>
                </c:pt>
                <c:pt idx="1530">
                  <c:v>2503.5100000000002</c:v>
                </c:pt>
                <c:pt idx="1531">
                  <c:v>1840.18</c:v>
                </c:pt>
                <c:pt idx="1532">
                  <c:v>1985.06</c:v>
                </c:pt>
                <c:pt idx="1533">
                  <c:v>2414.2600000000002</c:v>
                </c:pt>
                <c:pt idx="1534">
                  <c:v>2276.75</c:v>
                </c:pt>
                <c:pt idx="1535">
                  <c:v>2198.5700000000002</c:v>
                </c:pt>
                <c:pt idx="1536">
                  <c:v>2579.0700000000002</c:v>
                </c:pt>
                <c:pt idx="1537">
                  <c:v>2702.54</c:v>
                </c:pt>
                <c:pt idx="1538">
                  <c:v>2069.8000000000002</c:v>
                </c:pt>
                <c:pt idx="1539">
                  <c:v>1940.08</c:v>
                </c:pt>
                <c:pt idx="1540">
                  <c:v>2664.84</c:v>
                </c:pt>
                <c:pt idx="1541">
                  <c:v>2674.98</c:v>
                </c:pt>
                <c:pt idx="1542">
                  <c:v>2666.52</c:v>
                </c:pt>
                <c:pt idx="1543">
                  <c:v>2505.11</c:v>
                </c:pt>
                <c:pt idx="1544">
                  <c:v>2697.24</c:v>
                </c:pt>
                <c:pt idx="1545">
                  <c:v>2194.66</c:v>
                </c:pt>
                <c:pt idx="1546">
                  <c:v>2082.87</c:v>
                </c:pt>
                <c:pt idx="1547">
                  <c:v>2445.39</c:v>
                </c:pt>
                <c:pt idx="1548">
                  <c:v>2362.1</c:v>
                </c:pt>
                <c:pt idx="1549">
                  <c:v>2394.02</c:v>
                </c:pt>
                <c:pt idx="1550">
                  <c:v>2302.09</c:v>
                </c:pt>
                <c:pt idx="1551">
                  <c:v>2851.59</c:v>
                </c:pt>
                <c:pt idx="1552">
                  <c:v>2187.14</c:v>
                </c:pt>
                <c:pt idx="1553">
                  <c:v>2422.41</c:v>
                </c:pt>
                <c:pt idx="1554">
                  <c:v>3062.4</c:v>
                </c:pt>
                <c:pt idx="1555">
                  <c:v>2580.8000000000002</c:v>
                </c:pt>
                <c:pt idx="1556">
                  <c:v>2622.63</c:v>
                </c:pt>
                <c:pt idx="1557">
                  <c:v>2491.16</c:v>
                </c:pt>
                <c:pt idx="1558">
                  <c:v>2871.19</c:v>
                </c:pt>
                <c:pt idx="1559">
                  <c:v>2149</c:v>
                </c:pt>
                <c:pt idx="1560">
                  <c:v>2168.13</c:v>
                </c:pt>
                <c:pt idx="1561">
                  <c:v>2623.08</c:v>
                </c:pt>
                <c:pt idx="1562">
                  <c:v>2367.02</c:v>
                </c:pt>
                <c:pt idx="1563">
                  <c:v>2620.37</c:v>
                </c:pt>
                <c:pt idx="1564">
                  <c:v>2609.09</c:v>
                </c:pt>
                <c:pt idx="1565">
                  <c:v>2735.34</c:v>
                </c:pt>
                <c:pt idx="1566">
                  <c:v>2174.9</c:v>
                </c:pt>
                <c:pt idx="1567">
                  <c:v>2430.21</c:v>
                </c:pt>
                <c:pt idx="1568">
                  <c:v>2816.7</c:v>
                </c:pt>
                <c:pt idx="1569">
                  <c:v>2763.37</c:v>
                </c:pt>
                <c:pt idx="1570">
                  <c:v>2874.84</c:v>
                </c:pt>
                <c:pt idx="1571">
                  <c:v>2702.27</c:v>
                </c:pt>
                <c:pt idx="1572">
                  <c:v>3057.3</c:v>
                </c:pt>
                <c:pt idx="1573">
                  <c:v>2272.4699999999998</c:v>
                </c:pt>
                <c:pt idx="1574">
                  <c:v>2426.0300000000002</c:v>
                </c:pt>
                <c:pt idx="1575">
                  <c:v>2945.33</c:v>
                </c:pt>
                <c:pt idx="1576">
                  <c:v>2671.88</c:v>
                </c:pt>
                <c:pt idx="1577">
                  <c:v>2906.05</c:v>
                </c:pt>
                <c:pt idx="1578">
                  <c:v>2496.41</c:v>
                </c:pt>
                <c:pt idx="1579">
                  <c:v>2694.83</c:v>
                </c:pt>
                <c:pt idx="1580">
                  <c:v>2185.13</c:v>
                </c:pt>
                <c:pt idx="1581">
                  <c:v>2596.39</c:v>
                </c:pt>
                <c:pt idx="1582">
                  <c:v>2992.88</c:v>
                </c:pt>
                <c:pt idx="1583">
                  <c:v>2901.13</c:v>
                </c:pt>
                <c:pt idx="1584">
                  <c:v>2933.03</c:v>
                </c:pt>
                <c:pt idx="1585">
                  <c:v>2570.42</c:v>
                </c:pt>
                <c:pt idx="1586">
                  <c:v>2732.84</c:v>
                </c:pt>
                <c:pt idx="1587">
                  <c:v>2112.63</c:v>
                </c:pt>
                <c:pt idx="1588">
                  <c:v>2077.84</c:v>
                </c:pt>
                <c:pt idx="1589">
                  <c:v>2650.48</c:v>
                </c:pt>
                <c:pt idx="1590">
                  <c:v>2437.0700000000002</c:v>
                </c:pt>
                <c:pt idx="1591">
                  <c:v>2297.38</c:v>
                </c:pt>
                <c:pt idx="1592">
                  <c:v>2551.04</c:v>
                </c:pt>
                <c:pt idx="1593">
                  <c:v>2787.79</c:v>
                </c:pt>
                <c:pt idx="1594">
                  <c:v>1961.85</c:v>
                </c:pt>
                <c:pt idx="1595">
                  <c:v>2064.08</c:v>
                </c:pt>
                <c:pt idx="1596">
                  <c:v>2690.74</c:v>
                </c:pt>
                <c:pt idx="1597">
                  <c:v>2673.49</c:v>
                </c:pt>
                <c:pt idx="1598">
                  <c:v>2519.64</c:v>
                </c:pt>
                <c:pt idx="1599">
                  <c:v>2463.0700000000002</c:v>
                </c:pt>
                <c:pt idx="1600">
                  <c:v>2705.69</c:v>
                </c:pt>
                <c:pt idx="1601">
                  <c:v>2244.2199999999998</c:v>
                </c:pt>
                <c:pt idx="1602">
                  <c:v>2091.56</c:v>
                </c:pt>
                <c:pt idx="1603">
                  <c:v>2583.6</c:v>
                </c:pt>
                <c:pt idx="1604">
                  <c:v>2481.6</c:v>
                </c:pt>
                <c:pt idx="1605">
                  <c:v>2446.0500000000002</c:v>
                </c:pt>
                <c:pt idx="1606">
                  <c:v>2527.33</c:v>
                </c:pt>
                <c:pt idx="1607">
                  <c:v>2842.24</c:v>
                </c:pt>
                <c:pt idx="1608">
                  <c:v>2164.7600000000002</c:v>
                </c:pt>
                <c:pt idx="1609">
                  <c:v>2121.29</c:v>
                </c:pt>
                <c:pt idx="1610">
                  <c:v>2621.92</c:v>
                </c:pt>
                <c:pt idx="1611">
                  <c:v>2399.98</c:v>
                </c:pt>
                <c:pt idx="1612">
                  <c:v>2972.49</c:v>
                </c:pt>
                <c:pt idx="1613">
                  <c:v>2889.01</c:v>
                </c:pt>
                <c:pt idx="1614">
                  <c:v>3218.99</c:v>
                </c:pt>
                <c:pt idx="1615">
                  <c:v>2833.18</c:v>
                </c:pt>
                <c:pt idx="1616">
                  <c:v>2237.46</c:v>
                </c:pt>
                <c:pt idx="1617">
                  <c:v>2676.33</c:v>
                </c:pt>
                <c:pt idx="1618">
                  <c:v>2571.52</c:v>
                </c:pt>
                <c:pt idx="1619">
                  <c:v>2694.58</c:v>
                </c:pt>
                <c:pt idx="1620">
                  <c:v>2613.69</c:v>
                </c:pt>
                <c:pt idx="1621">
                  <c:v>2700.83</c:v>
                </c:pt>
                <c:pt idx="1622">
                  <c:v>2285.9499999999998</c:v>
                </c:pt>
                <c:pt idx="1623">
                  <c:v>2161.9</c:v>
                </c:pt>
                <c:pt idx="1624">
                  <c:v>2881.47</c:v>
                </c:pt>
                <c:pt idx="1625">
                  <c:v>2689.24</c:v>
                </c:pt>
                <c:pt idx="1626">
                  <c:v>2569.88</c:v>
                </c:pt>
                <c:pt idx="1627">
                  <c:v>2704.94</c:v>
                </c:pt>
                <c:pt idx="1628">
                  <c:v>2818.53</c:v>
                </c:pt>
                <c:pt idx="1629">
                  <c:v>2280.75</c:v>
                </c:pt>
                <c:pt idx="1630">
                  <c:v>2251.9899999999998</c:v>
                </c:pt>
                <c:pt idx="1631">
                  <c:v>2668.94</c:v>
                </c:pt>
                <c:pt idx="1632">
                  <c:v>2554.5500000000002</c:v>
                </c:pt>
                <c:pt idx="1633">
                  <c:v>2685.33</c:v>
                </c:pt>
                <c:pt idx="1634">
                  <c:v>2578.6799999999998</c:v>
                </c:pt>
                <c:pt idx="1635">
                  <c:v>2781.68</c:v>
                </c:pt>
                <c:pt idx="1636">
                  <c:v>2139.4699999999998</c:v>
                </c:pt>
                <c:pt idx="1637">
                  <c:v>2247.2199999999998</c:v>
                </c:pt>
                <c:pt idx="1638">
                  <c:v>2896.26</c:v>
                </c:pt>
                <c:pt idx="1639">
                  <c:v>2521.42</c:v>
                </c:pt>
                <c:pt idx="1640">
                  <c:v>2606.73</c:v>
                </c:pt>
                <c:pt idx="1641">
                  <c:v>2715.2</c:v>
                </c:pt>
                <c:pt idx="1642">
                  <c:v>2807</c:v>
                </c:pt>
                <c:pt idx="1643">
                  <c:v>2586.88</c:v>
                </c:pt>
                <c:pt idx="1644">
                  <c:v>2450.7600000000002</c:v>
                </c:pt>
                <c:pt idx="1645">
                  <c:v>3514.92</c:v>
                </c:pt>
                <c:pt idx="1646">
                  <c:v>3288.5</c:v>
                </c:pt>
                <c:pt idx="1647">
                  <c:v>2960.75</c:v>
                </c:pt>
                <c:pt idx="1648">
                  <c:v>2978.15</c:v>
                </c:pt>
                <c:pt idx="1649">
                  <c:v>3329.18</c:v>
                </c:pt>
                <c:pt idx="1650">
                  <c:v>2494.36</c:v>
                </c:pt>
                <c:pt idx="1651">
                  <c:v>2472.46</c:v>
                </c:pt>
                <c:pt idx="1652">
                  <c:v>3036.27</c:v>
                </c:pt>
                <c:pt idx="1653">
                  <c:v>2845.25</c:v>
                </c:pt>
                <c:pt idx="1654">
                  <c:v>2904.92</c:v>
                </c:pt>
                <c:pt idx="1655">
                  <c:v>2850.23</c:v>
                </c:pt>
                <c:pt idx="1656">
                  <c:v>3120.3</c:v>
                </c:pt>
                <c:pt idx="1657">
                  <c:v>2558.0300000000002</c:v>
                </c:pt>
                <c:pt idx="1658">
                  <c:v>2357.52</c:v>
                </c:pt>
                <c:pt idx="1659">
                  <c:v>3117.84</c:v>
                </c:pt>
                <c:pt idx="1660">
                  <c:v>2989.34</c:v>
                </c:pt>
                <c:pt idx="1661">
                  <c:v>2865.53</c:v>
                </c:pt>
                <c:pt idx="1662">
                  <c:v>2692.66</c:v>
                </c:pt>
                <c:pt idx="1663">
                  <c:v>3053.33</c:v>
                </c:pt>
                <c:pt idx="1664">
                  <c:v>2556.25</c:v>
                </c:pt>
                <c:pt idx="1665">
                  <c:v>2442.38</c:v>
                </c:pt>
                <c:pt idx="1666">
                  <c:v>2933.29</c:v>
                </c:pt>
                <c:pt idx="1667">
                  <c:v>2832.17</c:v>
                </c:pt>
                <c:pt idx="1668">
                  <c:v>2948.24</c:v>
                </c:pt>
                <c:pt idx="1669">
                  <c:v>2922.88</c:v>
                </c:pt>
                <c:pt idx="1670">
                  <c:v>3085.16</c:v>
                </c:pt>
                <c:pt idx="1671">
                  <c:v>2774.62</c:v>
                </c:pt>
                <c:pt idx="1672">
                  <c:v>2772.14</c:v>
                </c:pt>
                <c:pt idx="1673">
                  <c:v>3573.68</c:v>
                </c:pt>
                <c:pt idx="1674">
                  <c:v>3665.03</c:v>
                </c:pt>
                <c:pt idx="1675">
                  <c:v>3010.28</c:v>
                </c:pt>
                <c:pt idx="1676">
                  <c:v>3150.67</c:v>
                </c:pt>
                <c:pt idx="1677">
                  <c:v>3421.58</c:v>
                </c:pt>
                <c:pt idx="1678">
                  <c:v>2674.76</c:v>
                </c:pt>
                <c:pt idx="1679">
                  <c:v>2544.37</c:v>
                </c:pt>
                <c:pt idx="1680">
                  <c:v>3228.48</c:v>
                </c:pt>
                <c:pt idx="1681">
                  <c:v>3037.47</c:v>
                </c:pt>
                <c:pt idx="1682">
                  <c:v>2957.27</c:v>
                </c:pt>
                <c:pt idx="1683">
                  <c:v>3069.26</c:v>
                </c:pt>
                <c:pt idx="1684">
                  <c:v>3175.33</c:v>
                </c:pt>
                <c:pt idx="1685">
                  <c:v>2692.03</c:v>
                </c:pt>
                <c:pt idx="1686">
                  <c:v>2541.36</c:v>
                </c:pt>
                <c:pt idx="1687">
                  <c:v>3210.01</c:v>
                </c:pt>
                <c:pt idx="1688">
                  <c:v>3065.51</c:v>
                </c:pt>
                <c:pt idx="1689">
                  <c:v>3016.07</c:v>
                </c:pt>
                <c:pt idx="1690">
                  <c:v>3093.18</c:v>
                </c:pt>
                <c:pt idx="1691">
                  <c:v>3239.54</c:v>
                </c:pt>
                <c:pt idx="1692">
                  <c:v>2663.18</c:v>
                </c:pt>
                <c:pt idx="1693">
                  <c:v>2460.9899999999998</c:v>
                </c:pt>
                <c:pt idx="1694">
                  <c:v>3203.19</c:v>
                </c:pt>
                <c:pt idx="1695">
                  <c:v>3216.49</c:v>
                </c:pt>
                <c:pt idx="1696">
                  <c:v>2948.46</c:v>
                </c:pt>
                <c:pt idx="1697">
                  <c:v>2977.87</c:v>
                </c:pt>
                <c:pt idx="1698">
                  <c:v>3329.72</c:v>
                </c:pt>
                <c:pt idx="1699">
                  <c:v>2600.1</c:v>
                </c:pt>
                <c:pt idx="1700">
                  <c:v>2615.6999999999998</c:v>
                </c:pt>
                <c:pt idx="1701">
                  <c:v>3236.27</c:v>
                </c:pt>
                <c:pt idx="1702">
                  <c:v>3562.19</c:v>
                </c:pt>
                <c:pt idx="1703">
                  <c:v>3612</c:v>
                </c:pt>
                <c:pt idx="1704">
                  <c:v>3525.4</c:v>
                </c:pt>
                <c:pt idx="1705">
                  <c:v>3735.98</c:v>
                </c:pt>
                <c:pt idx="1706">
                  <c:v>2635.19</c:v>
                </c:pt>
                <c:pt idx="1707">
                  <c:v>2746.69</c:v>
                </c:pt>
                <c:pt idx="1708">
                  <c:v>3167.7</c:v>
                </c:pt>
                <c:pt idx="1709">
                  <c:v>2939.8</c:v>
                </c:pt>
                <c:pt idx="1710">
                  <c:v>3128.91</c:v>
                </c:pt>
                <c:pt idx="1711">
                  <c:v>3017.4</c:v>
                </c:pt>
                <c:pt idx="1712">
                  <c:v>3073.21</c:v>
                </c:pt>
                <c:pt idx="1713">
                  <c:v>2651.07</c:v>
                </c:pt>
                <c:pt idx="1714">
                  <c:v>2525.4499999999998</c:v>
                </c:pt>
                <c:pt idx="1715">
                  <c:v>3171.53</c:v>
                </c:pt>
                <c:pt idx="1716">
                  <c:v>3058.49</c:v>
                </c:pt>
                <c:pt idx="1717">
                  <c:v>3045.64</c:v>
                </c:pt>
                <c:pt idx="1718">
                  <c:v>3092.79</c:v>
                </c:pt>
                <c:pt idx="1719">
                  <c:v>3231.04</c:v>
                </c:pt>
                <c:pt idx="1720">
                  <c:v>2620.6999999999998</c:v>
                </c:pt>
                <c:pt idx="1721">
                  <c:v>2550.5</c:v>
                </c:pt>
                <c:pt idx="1722">
                  <c:v>3246.87</c:v>
                </c:pt>
                <c:pt idx="1723">
                  <c:v>3084.24</c:v>
                </c:pt>
                <c:pt idx="1724">
                  <c:v>2943.35</c:v>
                </c:pt>
                <c:pt idx="1725">
                  <c:v>3126.99</c:v>
                </c:pt>
                <c:pt idx="1726">
                  <c:v>3221.91</c:v>
                </c:pt>
                <c:pt idx="1727">
                  <c:v>2647.5</c:v>
                </c:pt>
                <c:pt idx="1728">
                  <c:v>2607.4499999999998</c:v>
                </c:pt>
                <c:pt idx="1729">
                  <c:v>3346.75</c:v>
                </c:pt>
                <c:pt idx="1730">
                  <c:v>3008.03</c:v>
                </c:pt>
                <c:pt idx="1731">
                  <c:v>2996.6</c:v>
                </c:pt>
                <c:pt idx="1732">
                  <c:v>3480.55</c:v>
                </c:pt>
                <c:pt idx="1733">
                  <c:v>3729.51</c:v>
                </c:pt>
                <c:pt idx="1734">
                  <c:v>2825.95</c:v>
                </c:pt>
                <c:pt idx="1735">
                  <c:v>2591.5700000000002</c:v>
                </c:pt>
                <c:pt idx="1736">
                  <c:v>2863.32</c:v>
                </c:pt>
                <c:pt idx="1737">
                  <c:v>2721.55</c:v>
                </c:pt>
                <c:pt idx="1738">
                  <c:v>2891.77</c:v>
                </c:pt>
                <c:pt idx="1739">
                  <c:v>2955.9</c:v>
                </c:pt>
                <c:pt idx="1740">
                  <c:v>3027.73</c:v>
                </c:pt>
                <c:pt idx="1741">
                  <c:v>2375.63</c:v>
                </c:pt>
                <c:pt idx="1742">
                  <c:v>2395.7800000000002</c:v>
                </c:pt>
                <c:pt idx="1743">
                  <c:v>3050.2</c:v>
                </c:pt>
                <c:pt idx="1744">
                  <c:v>2733.39</c:v>
                </c:pt>
                <c:pt idx="1745">
                  <c:v>2831.72</c:v>
                </c:pt>
                <c:pt idx="1746">
                  <c:v>2893.87</c:v>
                </c:pt>
                <c:pt idx="1747">
                  <c:v>3078.81</c:v>
                </c:pt>
                <c:pt idx="1748">
                  <c:v>2405.86</c:v>
                </c:pt>
                <c:pt idx="1749">
                  <c:v>2474.31</c:v>
                </c:pt>
                <c:pt idx="1750">
                  <c:v>2724.18</c:v>
                </c:pt>
                <c:pt idx="1751">
                  <c:v>2868.79</c:v>
                </c:pt>
                <c:pt idx="1752">
                  <c:v>2756.44</c:v>
                </c:pt>
                <c:pt idx="1753">
                  <c:v>2657.2</c:v>
                </c:pt>
                <c:pt idx="1754">
                  <c:v>3079.66</c:v>
                </c:pt>
                <c:pt idx="1755">
                  <c:v>2505.7399999999998</c:v>
                </c:pt>
                <c:pt idx="1756">
                  <c:v>2378.2800000000002</c:v>
                </c:pt>
                <c:pt idx="1757">
                  <c:v>3032.57</c:v>
                </c:pt>
                <c:pt idx="1758">
                  <c:v>2947.61</c:v>
                </c:pt>
                <c:pt idx="1759">
                  <c:v>2922.52</c:v>
                </c:pt>
                <c:pt idx="1760">
                  <c:v>2949.94</c:v>
                </c:pt>
                <c:pt idx="1761">
                  <c:v>3099.14</c:v>
                </c:pt>
                <c:pt idx="1762">
                  <c:v>2396.23</c:v>
                </c:pt>
                <c:pt idx="1763">
                  <c:v>2592.96</c:v>
                </c:pt>
                <c:pt idx="1764">
                  <c:v>3371.15</c:v>
                </c:pt>
                <c:pt idx="1765">
                  <c:v>3594</c:v>
                </c:pt>
                <c:pt idx="1766">
                  <c:v>3927.43</c:v>
                </c:pt>
                <c:pt idx="1767">
                  <c:v>3189.41</c:v>
                </c:pt>
                <c:pt idx="1768">
                  <c:v>3474.69</c:v>
                </c:pt>
                <c:pt idx="1769">
                  <c:v>2778.43</c:v>
                </c:pt>
                <c:pt idx="1770">
                  <c:v>2729.58</c:v>
                </c:pt>
                <c:pt idx="1771">
                  <c:v>3529.7</c:v>
                </c:pt>
                <c:pt idx="1772">
                  <c:v>3146.44</c:v>
                </c:pt>
                <c:pt idx="1773">
                  <c:v>3225.05</c:v>
                </c:pt>
                <c:pt idx="1774">
                  <c:v>3134.92</c:v>
                </c:pt>
                <c:pt idx="1775">
                  <c:v>3335.87</c:v>
                </c:pt>
                <c:pt idx="1776">
                  <c:v>2666.54</c:v>
                </c:pt>
                <c:pt idx="1777">
                  <c:v>2721.82</c:v>
                </c:pt>
                <c:pt idx="1778">
                  <c:v>3325.36</c:v>
                </c:pt>
                <c:pt idx="1779">
                  <c:v>3139.73</c:v>
                </c:pt>
                <c:pt idx="1780">
                  <c:v>3071.06</c:v>
                </c:pt>
                <c:pt idx="1781">
                  <c:v>3198.34</c:v>
                </c:pt>
                <c:pt idx="1782">
                  <c:v>3318.1</c:v>
                </c:pt>
                <c:pt idx="1783">
                  <c:v>2798.49</c:v>
                </c:pt>
                <c:pt idx="1784">
                  <c:v>2733.31</c:v>
                </c:pt>
                <c:pt idx="1785">
                  <c:v>3226.45</c:v>
                </c:pt>
                <c:pt idx="1786">
                  <c:v>3176.59</c:v>
                </c:pt>
                <c:pt idx="1787">
                  <c:v>3133.98</c:v>
                </c:pt>
                <c:pt idx="1788">
                  <c:v>3237.03</c:v>
                </c:pt>
                <c:pt idx="1789">
                  <c:v>3591.78</c:v>
                </c:pt>
                <c:pt idx="1790">
                  <c:v>2545.0100000000002</c:v>
                </c:pt>
                <c:pt idx="1791">
                  <c:v>2736.45</c:v>
                </c:pt>
                <c:pt idx="1792">
                  <c:v>3351.25</c:v>
                </c:pt>
                <c:pt idx="1793">
                  <c:v>3761.55</c:v>
                </c:pt>
                <c:pt idx="1794">
                  <c:v>3710.87</c:v>
                </c:pt>
                <c:pt idx="1795">
                  <c:v>3982.43</c:v>
                </c:pt>
                <c:pt idx="1796">
                  <c:v>4361.29</c:v>
                </c:pt>
                <c:pt idx="1797">
                  <c:v>2926.86</c:v>
                </c:pt>
                <c:pt idx="1798">
                  <c:v>3125.83</c:v>
                </c:pt>
                <c:pt idx="1799">
                  <c:v>3722.31</c:v>
                </c:pt>
                <c:pt idx="1800">
                  <c:v>3744.98</c:v>
                </c:pt>
                <c:pt idx="1801">
                  <c:v>3536.46</c:v>
                </c:pt>
                <c:pt idx="1802">
                  <c:v>3467.61</c:v>
                </c:pt>
                <c:pt idx="1803">
                  <c:v>3665.45</c:v>
                </c:pt>
                <c:pt idx="1804">
                  <c:v>2819.82</c:v>
                </c:pt>
                <c:pt idx="1805">
                  <c:v>2843.09</c:v>
                </c:pt>
                <c:pt idx="1806">
                  <c:v>3748.44</c:v>
                </c:pt>
                <c:pt idx="1807">
                  <c:v>3596.97</c:v>
                </c:pt>
                <c:pt idx="1808">
                  <c:v>3374.84</c:v>
                </c:pt>
                <c:pt idx="1809">
                  <c:v>3638.03</c:v>
                </c:pt>
                <c:pt idx="1810">
                  <c:v>3774.99</c:v>
                </c:pt>
                <c:pt idx="1811">
                  <c:v>3027.07</c:v>
                </c:pt>
                <c:pt idx="1812">
                  <c:v>3182.83</c:v>
                </c:pt>
                <c:pt idx="1813">
                  <c:v>3815.37</c:v>
                </c:pt>
                <c:pt idx="1814">
                  <c:v>3514.36</c:v>
                </c:pt>
                <c:pt idx="1815">
                  <c:v>3448.18</c:v>
                </c:pt>
                <c:pt idx="1816">
                  <c:v>3314.19</c:v>
                </c:pt>
                <c:pt idx="1817">
                  <c:v>3749.9</c:v>
                </c:pt>
                <c:pt idx="1818">
                  <c:v>2989.03</c:v>
                </c:pt>
                <c:pt idx="1819">
                  <c:v>2906.54</c:v>
                </c:pt>
                <c:pt idx="1820">
                  <c:v>3706.1</c:v>
                </c:pt>
                <c:pt idx="1821">
                  <c:v>3551.07</c:v>
                </c:pt>
                <c:pt idx="1822">
                  <c:v>3519</c:v>
                </c:pt>
                <c:pt idx="1823">
                  <c:v>3473.82</c:v>
                </c:pt>
                <c:pt idx="1824">
                  <c:v>4420.8999999999996</c:v>
                </c:pt>
                <c:pt idx="1825">
                  <c:v>3517.21</c:v>
                </c:pt>
                <c:pt idx="1826">
                  <c:v>3646.74</c:v>
                </c:pt>
                <c:pt idx="1827">
                  <c:v>4873.97</c:v>
                </c:pt>
                <c:pt idx="1828">
                  <c:v>3868.52</c:v>
                </c:pt>
                <c:pt idx="1829">
                  <c:v>3882.19</c:v>
                </c:pt>
                <c:pt idx="1830">
                  <c:v>3962.44</c:v>
                </c:pt>
                <c:pt idx="1831">
                  <c:v>4217.55</c:v>
                </c:pt>
                <c:pt idx="1832">
                  <c:v>3408.95</c:v>
                </c:pt>
                <c:pt idx="1833">
                  <c:v>3331.42</c:v>
                </c:pt>
                <c:pt idx="1834">
                  <c:v>4002.71</c:v>
                </c:pt>
                <c:pt idx="1835">
                  <c:v>3922.08</c:v>
                </c:pt>
                <c:pt idx="1836">
                  <c:v>3746.87</c:v>
                </c:pt>
                <c:pt idx="1837">
                  <c:v>3892.64</c:v>
                </c:pt>
                <c:pt idx="1838">
                  <c:v>4186.53</c:v>
                </c:pt>
                <c:pt idx="1839">
                  <c:v>3273.78</c:v>
                </c:pt>
                <c:pt idx="1840">
                  <c:v>3283.04</c:v>
                </c:pt>
                <c:pt idx="1841">
                  <c:v>3854.95</c:v>
                </c:pt>
                <c:pt idx="1842">
                  <c:v>3816.13</c:v>
                </c:pt>
                <c:pt idx="1843">
                  <c:v>3890.81</c:v>
                </c:pt>
                <c:pt idx="1844">
                  <c:v>3898.61</c:v>
                </c:pt>
                <c:pt idx="1845">
                  <c:v>4070.78</c:v>
                </c:pt>
                <c:pt idx="1846">
                  <c:v>3445.33</c:v>
                </c:pt>
                <c:pt idx="1847">
                  <c:v>3197.18</c:v>
                </c:pt>
                <c:pt idx="1848">
                  <c:v>4186.84</c:v>
                </c:pt>
                <c:pt idx="1849">
                  <c:v>3929.73</c:v>
                </c:pt>
                <c:pt idx="1850">
                  <c:v>3804.78</c:v>
                </c:pt>
                <c:pt idx="1851">
                  <c:v>4086.65</c:v>
                </c:pt>
                <c:pt idx="1852">
                  <c:v>4051.46</c:v>
                </c:pt>
                <c:pt idx="1853">
                  <c:v>3404.99</c:v>
                </c:pt>
                <c:pt idx="1854">
                  <c:v>3414.47</c:v>
                </c:pt>
                <c:pt idx="1855">
                  <c:v>4595.33</c:v>
                </c:pt>
                <c:pt idx="1856">
                  <c:v>4648.3999999999996</c:v>
                </c:pt>
                <c:pt idx="1857">
                  <c:v>4701.32</c:v>
                </c:pt>
                <c:pt idx="1858">
                  <c:v>4777.87</c:v>
                </c:pt>
                <c:pt idx="1859">
                  <c:v>4480.6899999999996</c:v>
                </c:pt>
                <c:pt idx="1860">
                  <c:v>3484.55</c:v>
                </c:pt>
                <c:pt idx="1861">
                  <c:v>3601.34</c:v>
                </c:pt>
                <c:pt idx="1862">
                  <c:v>4423</c:v>
                </c:pt>
                <c:pt idx="1863">
                  <c:v>3902.93</c:v>
                </c:pt>
                <c:pt idx="1864">
                  <c:v>4280.18</c:v>
                </c:pt>
                <c:pt idx="1865">
                  <c:v>3913.57</c:v>
                </c:pt>
                <c:pt idx="1866">
                  <c:v>4576.1099999999997</c:v>
                </c:pt>
                <c:pt idx="1867">
                  <c:v>3640.38</c:v>
                </c:pt>
                <c:pt idx="1868">
                  <c:v>3366.34</c:v>
                </c:pt>
                <c:pt idx="1869">
                  <c:v>4274.1899999999996</c:v>
                </c:pt>
                <c:pt idx="1870">
                  <c:v>3982.37</c:v>
                </c:pt>
                <c:pt idx="1871">
                  <c:v>4092.44</c:v>
                </c:pt>
                <c:pt idx="1872">
                  <c:v>4080.94</c:v>
                </c:pt>
                <c:pt idx="1873">
                  <c:v>4544.8599999999997</c:v>
                </c:pt>
                <c:pt idx="1874">
                  <c:v>3663.06</c:v>
                </c:pt>
                <c:pt idx="1875">
                  <c:v>3673.61</c:v>
                </c:pt>
                <c:pt idx="1876">
                  <c:v>4255.4799999999996</c:v>
                </c:pt>
                <c:pt idx="1877">
                  <c:v>4093.15</c:v>
                </c:pt>
                <c:pt idx="1878">
                  <c:v>3910.98</c:v>
                </c:pt>
                <c:pt idx="1879">
                  <c:v>4019.42</c:v>
                </c:pt>
                <c:pt idx="1880">
                  <c:v>4567.75</c:v>
                </c:pt>
                <c:pt idx="1881">
                  <c:v>3700.79</c:v>
                </c:pt>
                <c:pt idx="1882">
                  <c:v>3348.62</c:v>
                </c:pt>
                <c:pt idx="1883">
                  <c:v>4251.74</c:v>
                </c:pt>
                <c:pt idx="1884">
                  <c:v>4115.74</c:v>
                </c:pt>
                <c:pt idx="1885">
                  <c:v>4776.66</c:v>
                </c:pt>
                <c:pt idx="1886">
                  <c:v>4621.8</c:v>
                </c:pt>
                <c:pt idx="1887">
                  <c:v>5804.82</c:v>
                </c:pt>
                <c:pt idx="1888">
                  <c:v>4439.8999999999996</c:v>
                </c:pt>
                <c:pt idx="1889">
                  <c:v>3924.45</c:v>
                </c:pt>
                <c:pt idx="1890">
                  <c:v>4926.03</c:v>
                </c:pt>
                <c:pt idx="1891">
                  <c:v>4620.24</c:v>
                </c:pt>
                <c:pt idx="1892">
                  <c:v>4558.88</c:v>
                </c:pt>
                <c:pt idx="1893">
                  <c:v>4604.17</c:v>
                </c:pt>
                <c:pt idx="1894">
                  <c:v>4976.66</c:v>
                </c:pt>
                <c:pt idx="1895">
                  <c:v>3875.18</c:v>
                </c:pt>
                <c:pt idx="1896">
                  <c:v>3890.59</c:v>
                </c:pt>
                <c:pt idx="1897">
                  <c:v>5071.8599999999997</c:v>
                </c:pt>
                <c:pt idx="1898">
                  <c:v>4697.09</c:v>
                </c:pt>
                <c:pt idx="1899">
                  <c:v>4578.41</c:v>
                </c:pt>
                <c:pt idx="1900">
                  <c:v>4715.9399999999996</c:v>
                </c:pt>
                <c:pt idx="1901">
                  <c:v>5436.91</c:v>
                </c:pt>
                <c:pt idx="1902">
                  <c:v>4497.93</c:v>
                </c:pt>
                <c:pt idx="1903">
                  <c:v>4375.4399999999996</c:v>
                </c:pt>
                <c:pt idx="1904">
                  <c:v>5319</c:v>
                </c:pt>
                <c:pt idx="1905">
                  <c:v>5149.54</c:v>
                </c:pt>
                <c:pt idx="1906">
                  <c:v>4841.83</c:v>
                </c:pt>
                <c:pt idx="1907">
                  <c:v>4909.53</c:v>
                </c:pt>
                <c:pt idx="1908">
                  <c:v>5305.79</c:v>
                </c:pt>
                <c:pt idx="1909">
                  <c:v>4340.8900000000003</c:v>
                </c:pt>
                <c:pt idx="1910">
                  <c:v>4583.2</c:v>
                </c:pt>
                <c:pt idx="1911">
                  <c:v>5675.49</c:v>
                </c:pt>
                <c:pt idx="1912">
                  <c:v>4707.78</c:v>
                </c:pt>
                <c:pt idx="1913">
                  <c:v>4688.76</c:v>
                </c:pt>
                <c:pt idx="1914">
                  <c:v>4369.76</c:v>
                </c:pt>
                <c:pt idx="1915">
                  <c:v>4913.7</c:v>
                </c:pt>
                <c:pt idx="1916">
                  <c:v>4389.87</c:v>
                </c:pt>
                <c:pt idx="1917">
                  <c:v>4416.4799999999996</c:v>
                </c:pt>
                <c:pt idx="1918">
                  <c:v>5692.05</c:v>
                </c:pt>
                <c:pt idx="1919">
                  <c:v>5370.02</c:v>
                </c:pt>
                <c:pt idx="1920">
                  <c:v>4455.41</c:v>
                </c:pt>
                <c:pt idx="1921">
                  <c:v>4842.9399999999996</c:v>
                </c:pt>
                <c:pt idx="1922">
                  <c:v>4963.16</c:v>
                </c:pt>
                <c:pt idx="1923">
                  <c:v>4060.16</c:v>
                </c:pt>
                <c:pt idx="1924">
                  <c:v>4320.8900000000003</c:v>
                </c:pt>
                <c:pt idx="1925">
                  <c:v>4842.8599999999997</c:v>
                </c:pt>
                <c:pt idx="1926">
                  <c:v>4377.1099999999997</c:v>
                </c:pt>
                <c:pt idx="1927">
                  <c:v>4696.03</c:v>
                </c:pt>
                <c:pt idx="1928">
                  <c:v>4893.1099999999997</c:v>
                </c:pt>
                <c:pt idx="1929">
                  <c:v>5393.88</c:v>
                </c:pt>
                <c:pt idx="1930">
                  <c:v>3851.45</c:v>
                </c:pt>
                <c:pt idx="1931">
                  <c:v>4096.75</c:v>
                </c:pt>
                <c:pt idx="1932">
                  <c:v>5398.12</c:v>
                </c:pt>
                <c:pt idx="1933">
                  <c:v>5193.7700000000004</c:v>
                </c:pt>
                <c:pt idx="1934">
                  <c:v>5623.67</c:v>
                </c:pt>
                <c:pt idx="1935">
                  <c:v>4975.3999999999996</c:v>
                </c:pt>
                <c:pt idx="1936">
                  <c:v>5666.82</c:v>
                </c:pt>
                <c:pt idx="1937">
                  <c:v>4501.8900000000003</c:v>
                </c:pt>
                <c:pt idx="1938">
                  <c:v>4598.5</c:v>
                </c:pt>
                <c:pt idx="1939">
                  <c:v>5486.17</c:v>
                </c:pt>
                <c:pt idx="1940">
                  <c:v>5258.48</c:v>
                </c:pt>
                <c:pt idx="1941">
                  <c:v>5149.1099999999997</c:v>
                </c:pt>
                <c:pt idx="1942">
                  <c:v>5252.4</c:v>
                </c:pt>
                <c:pt idx="1943">
                  <c:v>5066.83</c:v>
                </c:pt>
                <c:pt idx="1944">
                  <c:v>4114.49</c:v>
                </c:pt>
                <c:pt idx="1945">
                  <c:v>3973.65</c:v>
                </c:pt>
                <c:pt idx="1946">
                  <c:v>5781.15</c:v>
                </c:pt>
                <c:pt idx="1947">
                  <c:v>5442.38</c:v>
                </c:pt>
                <c:pt idx="1948">
                  <c:v>5892.09</c:v>
                </c:pt>
                <c:pt idx="1949">
                  <c:v>5690.76</c:v>
                </c:pt>
                <c:pt idx="1950">
                  <c:v>5089</c:v>
                </c:pt>
                <c:pt idx="1951">
                  <c:v>4400.34</c:v>
                </c:pt>
                <c:pt idx="1952">
                  <c:v>4078.04</c:v>
                </c:pt>
                <c:pt idx="1953">
                  <c:v>5106.7299999999996</c:v>
                </c:pt>
                <c:pt idx="1954">
                  <c:v>4867.5600000000004</c:v>
                </c:pt>
                <c:pt idx="1955">
                  <c:v>5160.49</c:v>
                </c:pt>
                <c:pt idx="1956">
                  <c:v>4638.59</c:v>
                </c:pt>
                <c:pt idx="1957">
                  <c:v>5819.15</c:v>
                </c:pt>
                <c:pt idx="1958">
                  <c:v>4369.7299999999996</c:v>
                </c:pt>
                <c:pt idx="1959">
                  <c:v>4245.8999999999996</c:v>
                </c:pt>
                <c:pt idx="1960">
                  <c:v>5195.7700000000004</c:v>
                </c:pt>
                <c:pt idx="1961">
                  <c:v>4998.59</c:v>
                </c:pt>
                <c:pt idx="1962">
                  <c:v>5033.6099999999997</c:v>
                </c:pt>
                <c:pt idx="1963">
                  <c:v>5052.0600000000004</c:v>
                </c:pt>
                <c:pt idx="1964">
                  <c:v>5435.23</c:v>
                </c:pt>
                <c:pt idx="1965">
                  <c:v>4226.03</c:v>
                </c:pt>
                <c:pt idx="1966">
                  <c:v>4183.37</c:v>
                </c:pt>
                <c:pt idx="1967">
                  <c:v>5181.4399999999996</c:v>
                </c:pt>
                <c:pt idx="1968">
                  <c:v>4927.1499999999996</c:v>
                </c:pt>
                <c:pt idx="1969">
                  <c:v>5124.7</c:v>
                </c:pt>
                <c:pt idx="1970">
                  <c:v>5044.38</c:v>
                </c:pt>
                <c:pt idx="1971">
                  <c:v>4915.43</c:v>
                </c:pt>
                <c:pt idx="1972">
                  <c:v>4310.2299999999996</c:v>
                </c:pt>
                <c:pt idx="1973">
                  <c:v>4241.66</c:v>
                </c:pt>
                <c:pt idx="1974">
                  <c:v>5201.1499999999996</c:v>
                </c:pt>
                <c:pt idx="1975">
                  <c:v>4898.3599999999997</c:v>
                </c:pt>
                <c:pt idx="1976">
                  <c:v>5123.2700000000004</c:v>
                </c:pt>
                <c:pt idx="1977">
                  <c:v>5861.56</c:v>
                </c:pt>
                <c:pt idx="1978">
                  <c:v>6023.36</c:v>
                </c:pt>
                <c:pt idx="1979">
                  <c:v>4965.71</c:v>
                </c:pt>
                <c:pt idx="1980">
                  <c:v>4727.5</c:v>
                </c:pt>
                <c:pt idx="1981">
                  <c:v>5051.1899999999996</c:v>
                </c:pt>
                <c:pt idx="1982">
                  <c:v>4913.91</c:v>
                </c:pt>
                <c:pt idx="1983">
                  <c:v>5137.63</c:v>
                </c:pt>
                <c:pt idx="1984">
                  <c:v>5151.26</c:v>
                </c:pt>
                <c:pt idx="1985">
                  <c:v>5485.8</c:v>
                </c:pt>
                <c:pt idx="1986">
                  <c:v>4365.79</c:v>
                </c:pt>
                <c:pt idx="1987">
                  <c:v>4334.41</c:v>
                </c:pt>
                <c:pt idx="1988">
                  <c:v>5162.09</c:v>
                </c:pt>
                <c:pt idx="1989">
                  <c:v>5072.96</c:v>
                </c:pt>
                <c:pt idx="1990">
                  <c:v>5128.32</c:v>
                </c:pt>
                <c:pt idx="1991">
                  <c:v>5121.3900000000003</c:v>
                </c:pt>
                <c:pt idx="1992">
                  <c:v>5587.33</c:v>
                </c:pt>
                <c:pt idx="1993">
                  <c:v>4363.2700000000004</c:v>
                </c:pt>
                <c:pt idx="1994">
                  <c:v>4309.66</c:v>
                </c:pt>
                <c:pt idx="1995">
                  <c:v>5419.25</c:v>
                </c:pt>
                <c:pt idx="1996">
                  <c:v>5004.08</c:v>
                </c:pt>
                <c:pt idx="1997">
                  <c:v>4875.57</c:v>
                </c:pt>
                <c:pt idx="1998">
                  <c:v>4983.57</c:v>
                </c:pt>
                <c:pt idx="1999">
                  <c:v>5296.79</c:v>
                </c:pt>
                <c:pt idx="2000">
                  <c:v>4155.41</c:v>
                </c:pt>
                <c:pt idx="2001">
                  <c:v>4235.1400000000003</c:v>
                </c:pt>
                <c:pt idx="2002">
                  <c:v>5139.41</c:v>
                </c:pt>
                <c:pt idx="2003">
                  <c:v>4961.8</c:v>
                </c:pt>
                <c:pt idx="2004">
                  <c:v>4723.5600000000004</c:v>
                </c:pt>
                <c:pt idx="2005">
                  <c:v>5040.1099999999997</c:v>
                </c:pt>
                <c:pt idx="2006">
                  <c:v>5408.89</c:v>
                </c:pt>
                <c:pt idx="2007">
                  <c:v>4134.09</c:v>
                </c:pt>
                <c:pt idx="2008">
                  <c:v>5009.29</c:v>
                </c:pt>
                <c:pt idx="2009">
                  <c:v>6209.23</c:v>
                </c:pt>
                <c:pt idx="2010">
                  <c:v>5946.48</c:v>
                </c:pt>
                <c:pt idx="2011">
                  <c:v>6104.83</c:v>
                </c:pt>
                <c:pt idx="2012">
                  <c:v>5307.5</c:v>
                </c:pt>
                <c:pt idx="2013">
                  <c:v>5714.29</c:v>
                </c:pt>
                <c:pt idx="2014">
                  <c:v>4753.12</c:v>
                </c:pt>
                <c:pt idx="2015">
                  <c:v>4586.34</c:v>
                </c:pt>
                <c:pt idx="2016">
                  <c:v>5661.39</c:v>
                </c:pt>
                <c:pt idx="2017">
                  <c:v>5106.26</c:v>
                </c:pt>
                <c:pt idx="2018">
                  <c:v>5536.42</c:v>
                </c:pt>
                <c:pt idx="2019">
                  <c:v>5230.88</c:v>
                </c:pt>
                <c:pt idx="2020">
                  <c:v>5877.25</c:v>
                </c:pt>
                <c:pt idx="2021">
                  <c:v>4663.1400000000003</c:v>
                </c:pt>
                <c:pt idx="2022">
                  <c:v>4839.7</c:v>
                </c:pt>
                <c:pt idx="2023">
                  <c:v>5491.18</c:v>
                </c:pt>
                <c:pt idx="2024">
                  <c:v>4940.72</c:v>
                </c:pt>
                <c:pt idx="2025">
                  <c:v>5462.82</c:v>
                </c:pt>
                <c:pt idx="2026">
                  <c:v>5726.31</c:v>
                </c:pt>
                <c:pt idx="2027">
                  <c:v>6069.42</c:v>
                </c:pt>
                <c:pt idx="2028">
                  <c:v>4652.1000000000004</c:v>
                </c:pt>
                <c:pt idx="2029">
                  <c:v>4537.8</c:v>
                </c:pt>
                <c:pt idx="2030">
                  <c:v>5836.05</c:v>
                </c:pt>
                <c:pt idx="2031">
                  <c:v>5274.18</c:v>
                </c:pt>
                <c:pt idx="2032">
                  <c:v>5510.5</c:v>
                </c:pt>
                <c:pt idx="2033">
                  <c:v>5515.24</c:v>
                </c:pt>
                <c:pt idx="2034">
                  <c:v>6040.28</c:v>
                </c:pt>
                <c:pt idx="2035">
                  <c:v>5067.71</c:v>
                </c:pt>
                <c:pt idx="2036">
                  <c:v>5384.17</c:v>
                </c:pt>
                <c:pt idx="2037">
                  <c:v>6464.78</c:v>
                </c:pt>
                <c:pt idx="2038">
                  <c:v>6708.99</c:v>
                </c:pt>
                <c:pt idx="2039">
                  <c:v>6357.81</c:v>
                </c:pt>
                <c:pt idx="2040">
                  <c:v>5716.71</c:v>
                </c:pt>
                <c:pt idx="2041">
                  <c:v>6233.77</c:v>
                </c:pt>
                <c:pt idx="2042">
                  <c:v>4870.83</c:v>
                </c:pt>
                <c:pt idx="2043">
                  <c:v>4989.3100000000004</c:v>
                </c:pt>
                <c:pt idx="2044">
                  <c:v>5986.26</c:v>
                </c:pt>
                <c:pt idx="2045">
                  <c:v>6034.74</c:v>
                </c:pt>
                <c:pt idx="2046">
                  <c:v>5838.42</c:v>
                </c:pt>
                <c:pt idx="2047">
                  <c:v>5836.76</c:v>
                </c:pt>
                <c:pt idx="2048">
                  <c:v>6248.03</c:v>
                </c:pt>
                <c:pt idx="2049">
                  <c:v>4989.8100000000004</c:v>
                </c:pt>
                <c:pt idx="2050">
                  <c:v>5107.1499999999996</c:v>
                </c:pt>
                <c:pt idx="2051">
                  <c:v>5978.43</c:v>
                </c:pt>
                <c:pt idx="2052">
                  <c:v>5723.12</c:v>
                </c:pt>
                <c:pt idx="2053">
                  <c:v>5785.19</c:v>
                </c:pt>
                <c:pt idx="2054">
                  <c:v>5602.66</c:v>
                </c:pt>
                <c:pt idx="2055">
                  <c:v>6161.96</c:v>
                </c:pt>
                <c:pt idx="2056">
                  <c:v>4879.22</c:v>
                </c:pt>
                <c:pt idx="2057">
                  <c:v>5115.78</c:v>
                </c:pt>
                <c:pt idx="2058">
                  <c:v>6176.29</c:v>
                </c:pt>
                <c:pt idx="2059">
                  <c:v>5872.29</c:v>
                </c:pt>
                <c:pt idx="2060">
                  <c:v>5987.42</c:v>
                </c:pt>
                <c:pt idx="2061">
                  <c:v>5814.33</c:v>
                </c:pt>
                <c:pt idx="2062">
                  <c:v>6373.85</c:v>
                </c:pt>
                <c:pt idx="2063">
                  <c:v>4944.55</c:v>
                </c:pt>
                <c:pt idx="2064">
                  <c:v>5009.1099999999997</c:v>
                </c:pt>
                <c:pt idx="2065">
                  <c:v>6028.24</c:v>
                </c:pt>
                <c:pt idx="2066">
                  <c:v>5411.22</c:v>
                </c:pt>
                <c:pt idx="2067">
                  <c:v>6687.1</c:v>
                </c:pt>
                <c:pt idx="2068">
                  <c:v>7000.72</c:v>
                </c:pt>
                <c:pt idx="2069">
                  <c:v>8110.84</c:v>
                </c:pt>
                <c:pt idx="2070">
                  <c:v>6435.47</c:v>
                </c:pt>
                <c:pt idx="2071">
                  <c:v>5647.77</c:v>
                </c:pt>
                <c:pt idx="2072">
                  <c:v>6701.93</c:v>
                </c:pt>
                <c:pt idx="2073">
                  <c:v>6404.35</c:v>
                </c:pt>
                <c:pt idx="2074">
                  <c:v>6248.7</c:v>
                </c:pt>
                <c:pt idx="2075">
                  <c:v>6306.3</c:v>
                </c:pt>
                <c:pt idx="2076">
                  <c:v>6993.61</c:v>
                </c:pt>
                <c:pt idx="2077">
                  <c:v>5641.61</c:v>
                </c:pt>
                <c:pt idx="2078">
                  <c:v>5385.03</c:v>
                </c:pt>
                <c:pt idx="2079">
                  <c:v>6599.01</c:v>
                </c:pt>
                <c:pt idx="2080">
                  <c:v>6366.77</c:v>
                </c:pt>
                <c:pt idx="2081">
                  <c:v>6481.5</c:v>
                </c:pt>
                <c:pt idx="2082">
                  <c:v>6090.89</c:v>
                </c:pt>
                <c:pt idx="2083">
                  <c:v>6437.43</c:v>
                </c:pt>
                <c:pt idx="2084">
                  <c:v>5306.51</c:v>
                </c:pt>
                <c:pt idx="2085">
                  <c:v>5178.51</c:v>
                </c:pt>
                <c:pt idx="2086">
                  <c:v>6587.95</c:v>
                </c:pt>
                <c:pt idx="2087">
                  <c:v>6338.44</c:v>
                </c:pt>
                <c:pt idx="2088">
                  <c:v>6280.1</c:v>
                </c:pt>
                <c:pt idx="2089">
                  <c:v>6644.09</c:v>
                </c:pt>
                <c:pt idx="2090">
                  <c:v>6938.41</c:v>
                </c:pt>
                <c:pt idx="2091">
                  <c:v>5469.06</c:v>
                </c:pt>
                <c:pt idx="2092">
                  <c:v>5530.51</c:v>
                </c:pt>
                <c:pt idx="2093">
                  <c:v>6467.48</c:v>
                </c:pt>
                <c:pt idx="2094">
                  <c:v>6565.14</c:v>
                </c:pt>
                <c:pt idx="2095">
                  <c:v>6352.2</c:v>
                </c:pt>
                <c:pt idx="2096">
                  <c:v>6494.73</c:v>
                </c:pt>
                <c:pt idx="2097">
                  <c:v>7671.97</c:v>
                </c:pt>
                <c:pt idx="2098">
                  <c:v>5882.13</c:v>
                </c:pt>
                <c:pt idx="2099">
                  <c:v>6585.83</c:v>
                </c:pt>
                <c:pt idx="2100">
                  <c:v>7992.22</c:v>
                </c:pt>
                <c:pt idx="2101">
                  <c:v>6371.18</c:v>
                </c:pt>
                <c:pt idx="2102">
                  <c:v>6377.54</c:v>
                </c:pt>
                <c:pt idx="2103">
                  <c:v>6769.48</c:v>
                </c:pt>
                <c:pt idx="2104">
                  <c:v>6838.6</c:v>
                </c:pt>
                <c:pt idx="2105">
                  <c:v>5888.83</c:v>
                </c:pt>
                <c:pt idx="2106">
                  <c:v>5389.2</c:v>
                </c:pt>
                <c:pt idx="2107">
                  <c:v>7001.22</c:v>
                </c:pt>
                <c:pt idx="2108">
                  <c:v>6483.83</c:v>
                </c:pt>
                <c:pt idx="2109">
                  <c:v>6666.88</c:v>
                </c:pt>
                <c:pt idx="2110">
                  <c:v>6441.5</c:v>
                </c:pt>
                <c:pt idx="2111">
                  <c:v>7040.28</c:v>
                </c:pt>
                <c:pt idx="2112">
                  <c:v>5574.17</c:v>
                </c:pt>
                <c:pt idx="2113">
                  <c:v>5369.25</c:v>
                </c:pt>
                <c:pt idx="2114">
                  <c:v>7021.34</c:v>
                </c:pt>
                <c:pt idx="2115">
                  <c:v>6447.57</c:v>
                </c:pt>
                <c:pt idx="2116">
                  <c:v>6503.48</c:v>
                </c:pt>
                <c:pt idx="2117">
                  <c:v>6353.05</c:v>
                </c:pt>
                <c:pt idx="2118">
                  <c:v>6568.88</c:v>
                </c:pt>
                <c:pt idx="2119">
                  <c:v>5528.6</c:v>
                </c:pt>
                <c:pt idx="2120">
                  <c:v>6040.09</c:v>
                </c:pt>
                <c:pt idx="2121">
                  <c:v>7029.94</c:v>
                </c:pt>
                <c:pt idx="2122">
                  <c:v>6544.6</c:v>
                </c:pt>
                <c:pt idx="2123">
                  <c:v>6496.74</c:v>
                </c:pt>
                <c:pt idx="2124">
                  <c:v>6552.8</c:v>
                </c:pt>
                <c:pt idx="2125">
                  <c:v>7179.74</c:v>
                </c:pt>
                <c:pt idx="2126">
                  <c:v>5334.16</c:v>
                </c:pt>
                <c:pt idx="2127">
                  <c:v>5785.04</c:v>
                </c:pt>
                <c:pt idx="2128">
                  <c:v>8068.8</c:v>
                </c:pt>
                <c:pt idx="2129">
                  <c:v>7692.9</c:v>
                </c:pt>
                <c:pt idx="2130">
                  <c:v>7689.84</c:v>
                </c:pt>
                <c:pt idx="2131">
                  <c:v>7594.47</c:v>
                </c:pt>
                <c:pt idx="2132">
                  <c:v>7261.23</c:v>
                </c:pt>
                <c:pt idx="2133">
                  <c:v>5727.18</c:v>
                </c:pt>
                <c:pt idx="2134">
                  <c:v>5539.9</c:v>
                </c:pt>
                <c:pt idx="2135">
                  <c:v>6816.43</c:v>
                </c:pt>
                <c:pt idx="2136">
                  <c:v>6620.17</c:v>
                </c:pt>
                <c:pt idx="2137">
                  <c:v>6906.71</c:v>
                </c:pt>
                <c:pt idx="2138">
                  <c:v>6354.66</c:v>
                </c:pt>
                <c:pt idx="2139">
                  <c:v>6837.43</c:v>
                </c:pt>
                <c:pt idx="2140">
                  <c:v>5642.62</c:v>
                </c:pt>
                <c:pt idx="2141">
                  <c:v>5620.08</c:v>
                </c:pt>
                <c:pt idx="2142">
                  <c:v>6964.32</c:v>
                </c:pt>
                <c:pt idx="2143">
                  <c:v>6648.3</c:v>
                </c:pt>
                <c:pt idx="2144">
                  <c:v>6555.81</c:v>
                </c:pt>
                <c:pt idx="2145">
                  <c:v>6894.99</c:v>
                </c:pt>
                <c:pt idx="2146">
                  <c:v>6811.02</c:v>
                </c:pt>
                <c:pt idx="2147">
                  <c:v>5445.96</c:v>
                </c:pt>
                <c:pt idx="2148">
                  <c:v>5589.56</c:v>
                </c:pt>
                <c:pt idx="2149">
                  <c:v>6604.65</c:v>
                </c:pt>
                <c:pt idx="2150">
                  <c:v>6565.18</c:v>
                </c:pt>
                <c:pt idx="2151">
                  <c:v>6928.97</c:v>
                </c:pt>
                <c:pt idx="2152">
                  <c:v>6604.14</c:v>
                </c:pt>
                <c:pt idx="2153">
                  <c:v>7173.68</c:v>
                </c:pt>
                <c:pt idx="2154">
                  <c:v>5360.49</c:v>
                </c:pt>
                <c:pt idx="2155">
                  <c:v>5487.96</c:v>
                </c:pt>
                <c:pt idx="2156">
                  <c:v>6855.71</c:v>
                </c:pt>
                <c:pt idx="2157">
                  <c:v>6537.09</c:v>
                </c:pt>
                <c:pt idx="2158">
                  <c:v>7881.83</c:v>
                </c:pt>
                <c:pt idx="2159">
                  <c:v>7716.99</c:v>
                </c:pt>
                <c:pt idx="2160">
                  <c:v>8175.53</c:v>
                </c:pt>
                <c:pt idx="2161">
                  <c:v>6697.2</c:v>
                </c:pt>
                <c:pt idx="2162">
                  <c:v>5874.94</c:v>
                </c:pt>
                <c:pt idx="2163">
                  <c:v>7364.2</c:v>
                </c:pt>
                <c:pt idx="2164">
                  <c:v>7114.32</c:v>
                </c:pt>
                <c:pt idx="2165">
                  <c:v>6585.41</c:v>
                </c:pt>
                <c:pt idx="2166">
                  <c:v>6627.03</c:v>
                </c:pt>
                <c:pt idx="2167">
                  <c:v>7079.38</c:v>
                </c:pt>
                <c:pt idx="2168">
                  <c:v>5725.73</c:v>
                </c:pt>
                <c:pt idx="2169">
                  <c:v>5868.45</c:v>
                </c:pt>
                <c:pt idx="2170">
                  <c:v>7333.06</c:v>
                </c:pt>
                <c:pt idx="2171">
                  <c:v>6776.78</c:v>
                </c:pt>
                <c:pt idx="2172">
                  <c:v>6727.08</c:v>
                </c:pt>
                <c:pt idx="2173">
                  <c:v>6823.18</c:v>
                </c:pt>
                <c:pt idx="2174">
                  <c:v>7165.46</c:v>
                </c:pt>
                <c:pt idx="2175">
                  <c:v>6199.2</c:v>
                </c:pt>
                <c:pt idx="2176">
                  <c:v>5445.83</c:v>
                </c:pt>
                <c:pt idx="2177">
                  <c:v>7169.52</c:v>
                </c:pt>
                <c:pt idx="2178">
                  <c:v>7204.6</c:v>
                </c:pt>
                <c:pt idx="2179">
                  <c:v>6793.64</c:v>
                </c:pt>
                <c:pt idx="2180">
                  <c:v>6753.53</c:v>
                </c:pt>
                <c:pt idx="2181">
                  <c:v>7262.8</c:v>
                </c:pt>
                <c:pt idx="2182">
                  <c:v>5736.66</c:v>
                </c:pt>
                <c:pt idx="2183">
                  <c:v>6053.16</c:v>
                </c:pt>
                <c:pt idx="2184">
                  <c:v>6681.16</c:v>
                </c:pt>
                <c:pt idx="2185">
                  <c:v>7104.72</c:v>
                </c:pt>
                <c:pt idx="2186">
                  <c:v>6502.1</c:v>
                </c:pt>
                <c:pt idx="2187">
                  <c:v>6737.92</c:v>
                </c:pt>
                <c:pt idx="2188">
                  <c:v>7248.17</c:v>
                </c:pt>
                <c:pt idx="2189">
                  <c:v>6777.35</c:v>
                </c:pt>
                <c:pt idx="2190">
                  <c:v>6264.94</c:v>
                </c:pt>
                <c:pt idx="2191">
                  <c:v>8903.92</c:v>
                </c:pt>
                <c:pt idx="2192">
                  <c:v>8877.67</c:v>
                </c:pt>
                <c:pt idx="2193">
                  <c:v>6980.12</c:v>
                </c:pt>
                <c:pt idx="2194">
                  <c:v>7319.16</c:v>
                </c:pt>
                <c:pt idx="2195">
                  <c:v>7715.43</c:v>
                </c:pt>
                <c:pt idx="2196">
                  <c:v>6279.07</c:v>
                </c:pt>
                <c:pt idx="2197">
                  <c:v>6190.26</c:v>
                </c:pt>
                <c:pt idx="2198">
                  <c:v>7501.57</c:v>
                </c:pt>
                <c:pt idx="2199">
                  <c:v>7384.26</c:v>
                </c:pt>
                <c:pt idx="2200">
                  <c:v>7671.69</c:v>
                </c:pt>
                <c:pt idx="2201">
                  <c:v>7236.06</c:v>
                </c:pt>
                <c:pt idx="2202">
                  <c:v>8017.11</c:v>
                </c:pt>
                <c:pt idx="2203">
                  <c:v>5903.72</c:v>
                </c:pt>
                <c:pt idx="2204">
                  <c:v>5977.26</c:v>
                </c:pt>
                <c:pt idx="2205">
                  <c:v>7744.77</c:v>
                </c:pt>
                <c:pt idx="2206">
                  <c:v>7601.77</c:v>
                </c:pt>
                <c:pt idx="2207">
                  <c:v>7355.38</c:v>
                </c:pt>
                <c:pt idx="2208">
                  <c:v>7209.39</c:v>
                </c:pt>
                <c:pt idx="2209">
                  <c:v>7859.81</c:v>
                </c:pt>
                <c:pt idx="2210">
                  <c:v>5913.08</c:v>
                </c:pt>
                <c:pt idx="2211">
                  <c:v>6318.07</c:v>
                </c:pt>
                <c:pt idx="2212">
                  <c:v>7834.27</c:v>
                </c:pt>
                <c:pt idx="2213">
                  <c:v>7179.04</c:v>
                </c:pt>
                <c:pt idx="2214">
                  <c:v>7175.12</c:v>
                </c:pt>
                <c:pt idx="2215">
                  <c:v>7335.79</c:v>
                </c:pt>
                <c:pt idx="2216">
                  <c:v>7764.61</c:v>
                </c:pt>
                <c:pt idx="2217">
                  <c:v>6171.64</c:v>
                </c:pt>
                <c:pt idx="2218">
                  <c:v>6644.52</c:v>
                </c:pt>
                <c:pt idx="2219">
                  <c:v>7587.7</c:v>
                </c:pt>
                <c:pt idx="2220">
                  <c:v>8279.43</c:v>
                </c:pt>
                <c:pt idx="2221">
                  <c:v>8206.82</c:v>
                </c:pt>
                <c:pt idx="2222">
                  <c:v>9182.02</c:v>
                </c:pt>
                <c:pt idx="2223">
                  <c:v>9651.19</c:v>
                </c:pt>
                <c:pt idx="2224">
                  <c:v>6486.35</c:v>
                </c:pt>
                <c:pt idx="2225">
                  <c:v>6948.08</c:v>
                </c:pt>
                <c:pt idx="2226">
                  <c:v>8533.11</c:v>
                </c:pt>
                <c:pt idx="2227">
                  <c:v>7669.32</c:v>
                </c:pt>
                <c:pt idx="2228">
                  <c:v>7372.67</c:v>
                </c:pt>
                <c:pt idx="2229">
                  <c:v>8046.06</c:v>
                </c:pt>
                <c:pt idx="2230">
                  <c:v>8274.39</c:v>
                </c:pt>
                <c:pt idx="2231">
                  <c:v>6823.74</c:v>
                </c:pt>
                <c:pt idx="2232">
                  <c:v>6176.9</c:v>
                </c:pt>
                <c:pt idx="2233">
                  <c:v>8409.64</c:v>
                </c:pt>
                <c:pt idx="2234">
                  <c:v>7526.22</c:v>
                </c:pt>
                <c:pt idx="2235">
                  <c:v>7981.22</c:v>
                </c:pt>
                <c:pt idx="2236">
                  <c:v>7813.34</c:v>
                </c:pt>
                <c:pt idx="2237">
                  <c:v>8211.2900000000009</c:v>
                </c:pt>
                <c:pt idx="2238">
                  <c:v>6543.13</c:v>
                </c:pt>
                <c:pt idx="2239">
                  <c:v>6799.3</c:v>
                </c:pt>
                <c:pt idx="2240">
                  <c:v>8225.31</c:v>
                </c:pt>
                <c:pt idx="2241">
                  <c:v>7946.93</c:v>
                </c:pt>
                <c:pt idx="2242">
                  <c:v>8273.08</c:v>
                </c:pt>
                <c:pt idx="2243">
                  <c:v>7443.5</c:v>
                </c:pt>
                <c:pt idx="2244">
                  <c:v>8813.7099999999991</c:v>
                </c:pt>
                <c:pt idx="2245">
                  <c:v>6662.95</c:v>
                </c:pt>
                <c:pt idx="2246">
                  <c:v>6427.91</c:v>
                </c:pt>
                <c:pt idx="2247">
                  <c:v>7888.81</c:v>
                </c:pt>
                <c:pt idx="2248">
                  <c:v>7765.69</c:v>
                </c:pt>
                <c:pt idx="2249">
                  <c:v>8025.94</c:v>
                </c:pt>
                <c:pt idx="2250">
                  <c:v>8947.1299999999992</c:v>
                </c:pt>
                <c:pt idx="2251">
                  <c:v>10107.19</c:v>
                </c:pt>
                <c:pt idx="2252">
                  <c:v>7526.58</c:v>
                </c:pt>
                <c:pt idx="2253">
                  <c:v>7929.5</c:v>
                </c:pt>
                <c:pt idx="2254">
                  <c:v>8216.34</c:v>
                </c:pt>
                <c:pt idx="2255">
                  <c:v>8204.02</c:v>
                </c:pt>
                <c:pt idx="2256">
                  <c:v>8331.41</c:v>
                </c:pt>
                <c:pt idx="2257">
                  <c:v>8013.04</c:v>
                </c:pt>
                <c:pt idx="2258">
                  <c:v>8130.69</c:v>
                </c:pt>
                <c:pt idx="2259">
                  <c:v>6946.6</c:v>
                </c:pt>
                <c:pt idx="2260">
                  <c:v>7004.49</c:v>
                </c:pt>
                <c:pt idx="2261">
                  <c:v>8619.69</c:v>
                </c:pt>
                <c:pt idx="2262">
                  <c:v>8416.35</c:v>
                </c:pt>
                <c:pt idx="2263">
                  <c:v>7854.72</c:v>
                </c:pt>
                <c:pt idx="2264">
                  <c:v>8281.09</c:v>
                </c:pt>
                <c:pt idx="2265">
                  <c:v>9055.06</c:v>
                </c:pt>
                <c:pt idx="2266">
                  <c:v>7111.65</c:v>
                </c:pt>
                <c:pt idx="2267">
                  <c:v>7673.58</c:v>
                </c:pt>
                <c:pt idx="2268">
                  <c:v>9238.36</c:v>
                </c:pt>
                <c:pt idx="2269">
                  <c:v>8905.2000000000007</c:v>
                </c:pt>
                <c:pt idx="2270">
                  <c:v>9020.14</c:v>
                </c:pt>
                <c:pt idx="2271">
                  <c:v>8796.5499999999993</c:v>
                </c:pt>
                <c:pt idx="2272">
                  <c:v>9460.23</c:v>
                </c:pt>
                <c:pt idx="2273">
                  <c:v>7597.12</c:v>
                </c:pt>
                <c:pt idx="2274">
                  <c:v>7296.8</c:v>
                </c:pt>
                <c:pt idx="2275">
                  <c:v>9082.59</c:v>
                </c:pt>
                <c:pt idx="2276">
                  <c:v>9108.98</c:v>
                </c:pt>
                <c:pt idx="2277">
                  <c:v>7835.79</c:v>
                </c:pt>
                <c:pt idx="2278">
                  <c:v>8277.7099999999991</c:v>
                </c:pt>
                <c:pt idx="2279">
                  <c:v>8877.35</c:v>
                </c:pt>
                <c:pt idx="2280">
                  <c:v>6477.99</c:v>
                </c:pt>
                <c:pt idx="2281">
                  <c:v>7743.18</c:v>
                </c:pt>
                <c:pt idx="2282">
                  <c:v>10133.780000000001</c:v>
                </c:pt>
                <c:pt idx="2283">
                  <c:v>9246.56</c:v>
                </c:pt>
                <c:pt idx="2284">
                  <c:v>9394.25</c:v>
                </c:pt>
                <c:pt idx="2285">
                  <c:v>8399.17</c:v>
                </c:pt>
                <c:pt idx="2286">
                  <c:v>9141.7800000000007</c:v>
                </c:pt>
                <c:pt idx="2287">
                  <c:v>6979.17</c:v>
                </c:pt>
                <c:pt idx="2288">
                  <c:v>6893.18</c:v>
                </c:pt>
                <c:pt idx="2289">
                  <c:v>9052.0499999999993</c:v>
                </c:pt>
                <c:pt idx="2290">
                  <c:v>8716.5</c:v>
                </c:pt>
                <c:pt idx="2291">
                  <c:v>8527.61</c:v>
                </c:pt>
                <c:pt idx="2292">
                  <c:v>8305.5400000000009</c:v>
                </c:pt>
                <c:pt idx="2293">
                  <c:v>8746.2000000000007</c:v>
                </c:pt>
                <c:pt idx="2294">
                  <c:v>6835.29</c:v>
                </c:pt>
                <c:pt idx="2295">
                  <c:v>7171.54</c:v>
                </c:pt>
                <c:pt idx="2296">
                  <c:v>8802.5300000000007</c:v>
                </c:pt>
                <c:pt idx="2297">
                  <c:v>9495.94</c:v>
                </c:pt>
                <c:pt idx="2298">
                  <c:v>9290.59</c:v>
                </c:pt>
                <c:pt idx="2299">
                  <c:v>8701.85</c:v>
                </c:pt>
                <c:pt idx="2300">
                  <c:v>10129.370000000001</c:v>
                </c:pt>
                <c:pt idx="2301">
                  <c:v>7473</c:v>
                </c:pt>
                <c:pt idx="2302">
                  <c:v>7640.88</c:v>
                </c:pt>
                <c:pt idx="2303">
                  <c:v>9636.81</c:v>
                </c:pt>
                <c:pt idx="2304">
                  <c:v>9658.35</c:v>
                </c:pt>
                <c:pt idx="2305">
                  <c:v>9962.9699999999993</c:v>
                </c:pt>
                <c:pt idx="2306">
                  <c:v>9278.6299999999992</c:v>
                </c:pt>
                <c:pt idx="2307">
                  <c:v>9791.7099999999991</c:v>
                </c:pt>
                <c:pt idx="2308">
                  <c:v>7174.52</c:v>
                </c:pt>
                <c:pt idx="2309">
                  <c:v>7262.29</c:v>
                </c:pt>
                <c:pt idx="2310">
                  <c:v>8618.85</c:v>
                </c:pt>
                <c:pt idx="2311">
                  <c:v>10040.07</c:v>
                </c:pt>
                <c:pt idx="2312">
                  <c:v>9592.74</c:v>
                </c:pt>
                <c:pt idx="2313">
                  <c:v>10097.17</c:v>
                </c:pt>
                <c:pt idx="2314">
                  <c:v>10943.25</c:v>
                </c:pt>
                <c:pt idx="2315">
                  <c:v>7462.74</c:v>
                </c:pt>
                <c:pt idx="2316">
                  <c:v>7571.05</c:v>
                </c:pt>
                <c:pt idx="2317">
                  <c:v>8923.32</c:v>
                </c:pt>
                <c:pt idx="2318">
                  <c:v>8506.07</c:v>
                </c:pt>
                <c:pt idx="2319">
                  <c:v>8365.4500000000007</c:v>
                </c:pt>
                <c:pt idx="2320">
                  <c:v>8765.0300000000007</c:v>
                </c:pt>
                <c:pt idx="2321">
                  <c:v>9545.2000000000007</c:v>
                </c:pt>
                <c:pt idx="2322">
                  <c:v>7472.13</c:v>
                </c:pt>
                <c:pt idx="2323">
                  <c:v>7787.9</c:v>
                </c:pt>
                <c:pt idx="2324">
                  <c:v>9082.06</c:v>
                </c:pt>
                <c:pt idx="2325">
                  <c:v>8824.5300000000007</c:v>
                </c:pt>
                <c:pt idx="2326">
                  <c:v>8367.64</c:v>
                </c:pt>
                <c:pt idx="2327">
                  <c:v>8550.5</c:v>
                </c:pt>
                <c:pt idx="2328">
                  <c:v>9523.56</c:v>
                </c:pt>
                <c:pt idx="2329">
                  <c:v>7573.69</c:v>
                </c:pt>
                <c:pt idx="2330">
                  <c:v>7277.03</c:v>
                </c:pt>
                <c:pt idx="2331">
                  <c:v>9064.93</c:v>
                </c:pt>
                <c:pt idx="2332">
                  <c:v>8257.0400000000009</c:v>
                </c:pt>
                <c:pt idx="2333">
                  <c:v>8558.31</c:v>
                </c:pt>
                <c:pt idx="2334">
                  <c:v>8882.0499999999993</c:v>
                </c:pt>
                <c:pt idx="2335">
                  <c:v>9492.33</c:v>
                </c:pt>
                <c:pt idx="2336">
                  <c:v>7483.26</c:v>
                </c:pt>
                <c:pt idx="2337">
                  <c:v>7366.24</c:v>
                </c:pt>
                <c:pt idx="2338">
                  <c:v>9085.35</c:v>
                </c:pt>
                <c:pt idx="2339">
                  <c:v>8479.6</c:v>
                </c:pt>
                <c:pt idx="2340">
                  <c:v>8832.33</c:v>
                </c:pt>
                <c:pt idx="2341">
                  <c:v>8760.2199999999993</c:v>
                </c:pt>
                <c:pt idx="2342">
                  <c:v>10891.35</c:v>
                </c:pt>
                <c:pt idx="2343">
                  <c:v>8299.32</c:v>
                </c:pt>
                <c:pt idx="2344">
                  <c:v>8014.09</c:v>
                </c:pt>
                <c:pt idx="2345">
                  <c:v>11049.89</c:v>
                </c:pt>
                <c:pt idx="2346">
                  <c:v>8745.44</c:v>
                </c:pt>
                <c:pt idx="2347">
                  <c:v>8643.24</c:v>
                </c:pt>
                <c:pt idx="2348">
                  <c:v>9057.5</c:v>
                </c:pt>
                <c:pt idx="2349">
                  <c:v>9478.39</c:v>
                </c:pt>
                <c:pt idx="2350">
                  <c:v>7824.11</c:v>
                </c:pt>
                <c:pt idx="2351">
                  <c:v>7706.21</c:v>
                </c:pt>
                <c:pt idx="2352">
                  <c:v>9498.51</c:v>
                </c:pt>
                <c:pt idx="2353">
                  <c:v>8509.2999999999993</c:v>
                </c:pt>
                <c:pt idx="2354">
                  <c:v>9195.51</c:v>
                </c:pt>
                <c:pt idx="2355">
                  <c:v>8942.44</c:v>
                </c:pt>
                <c:pt idx="2356">
                  <c:v>9484.44</c:v>
                </c:pt>
                <c:pt idx="2357">
                  <c:v>7580.14</c:v>
                </c:pt>
                <c:pt idx="2358">
                  <c:v>7069.16</c:v>
                </c:pt>
                <c:pt idx="2359">
                  <c:v>9425.33</c:v>
                </c:pt>
                <c:pt idx="2360">
                  <c:v>8598.9</c:v>
                </c:pt>
                <c:pt idx="2361">
                  <c:v>8512.84</c:v>
                </c:pt>
                <c:pt idx="2362">
                  <c:v>8467.67</c:v>
                </c:pt>
                <c:pt idx="2363">
                  <c:v>9878.92</c:v>
                </c:pt>
                <c:pt idx="2364">
                  <c:v>7374.47</c:v>
                </c:pt>
                <c:pt idx="2365">
                  <c:v>7950.23</c:v>
                </c:pt>
                <c:pt idx="2366">
                  <c:v>9173.92</c:v>
                </c:pt>
                <c:pt idx="2367">
                  <c:v>8418.43</c:v>
                </c:pt>
                <c:pt idx="2368">
                  <c:v>8575.7000000000007</c:v>
                </c:pt>
                <c:pt idx="2369">
                  <c:v>9201.86</c:v>
                </c:pt>
                <c:pt idx="2370">
                  <c:v>9541.24</c:v>
                </c:pt>
                <c:pt idx="2371">
                  <c:v>7396.02</c:v>
                </c:pt>
                <c:pt idx="2372">
                  <c:v>7584.56</c:v>
                </c:pt>
                <c:pt idx="2373">
                  <c:v>10867.63</c:v>
                </c:pt>
                <c:pt idx="2374">
                  <c:v>10545.89</c:v>
                </c:pt>
                <c:pt idx="2375">
                  <c:v>11056.9</c:v>
                </c:pt>
                <c:pt idx="2376">
                  <c:v>10482.06</c:v>
                </c:pt>
                <c:pt idx="2377">
                  <c:v>9584.8700000000008</c:v>
                </c:pt>
                <c:pt idx="2378">
                  <c:v>7717.85</c:v>
                </c:pt>
                <c:pt idx="2379">
                  <c:v>7904.09</c:v>
                </c:pt>
                <c:pt idx="2380">
                  <c:v>9408.59</c:v>
                </c:pt>
                <c:pt idx="2381">
                  <c:v>8949.7000000000007</c:v>
                </c:pt>
                <c:pt idx="2382">
                  <c:v>9309.32</c:v>
                </c:pt>
                <c:pt idx="2383">
                  <c:v>9200.84</c:v>
                </c:pt>
                <c:pt idx="2384">
                  <c:v>9960.49</c:v>
                </c:pt>
                <c:pt idx="2385">
                  <c:v>7622.47</c:v>
                </c:pt>
                <c:pt idx="2386">
                  <c:v>7768.45</c:v>
                </c:pt>
                <c:pt idx="2387">
                  <c:v>9419.52</c:v>
                </c:pt>
                <c:pt idx="2388">
                  <c:v>9460.36</c:v>
                </c:pt>
                <c:pt idx="2389">
                  <c:v>9500.4599999999991</c:v>
                </c:pt>
                <c:pt idx="2390">
                  <c:v>8703.9500000000007</c:v>
                </c:pt>
                <c:pt idx="2391">
                  <c:v>9694.49</c:v>
                </c:pt>
                <c:pt idx="2392">
                  <c:v>7418.46</c:v>
                </c:pt>
                <c:pt idx="2393">
                  <c:v>7652.46</c:v>
                </c:pt>
                <c:pt idx="2394">
                  <c:v>9651.94</c:v>
                </c:pt>
                <c:pt idx="2395">
                  <c:v>8813.56</c:v>
                </c:pt>
                <c:pt idx="2396">
                  <c:v>8959.4599999999991</c:v>
                </c:pt>
                <c:pt idx="2397">
                  <c:v>8936.76</c:v>
                </c:pt>
                <c:pt idx="2398">
                  <c:v>10008.719999999999</c:v>
                </c:pt>
                <c:pt idx="2399">
                  <c:v>7851.31</c:v>
                </c:pt>
                <c:pt idx="2400">
                  <c:v>7632.63</c:v>
                </c:pt>
                <c:pt idx="2401">
                  <c:v>11182.46</c:v>
                </c:pt>
                <c:pt idx="2402">
                  <c:v>10422.64</c:v>
                </c:pt>
                <c:pt idx="2403">
                  <c:v>10904.77</c:v>
                </c:pt>
                <c:pt idx="2404">
                  <c:v>11546.33</c:v>
                </c:pt>
                <c:pt idx="2405">
                  <c:v>10709.61</c:v>
                </c:pt>
                <c:pt idx="2406">
                  <c:v>7753.54</c:v>
                </c:pt>
                <c:pt idx="2407">
                  <c:v>8364.25</c:v>
                </c:pt>
                <c:pt idx="2408">
                  <c:v>10271.06</c:v>
                </c:pt>
                <c:pt idx="2409">
                  <c:v>9230.99</c:v>
                </c:pt>
                <c:pt idx="2410">
                  <c:v>9795.16</c:v>
                </c:pt>
                <c:pt idx="2411">
                  <c:v>10001.42</c:v>
                </c:pt>
                <c:pt idx="2412">
                  <c:v>10003.19</c:v>
                </c:pt>
                <c:pt idx="2413">
                  <c:v>7863.13</c:v>
                </c:pt>
                <c:pt idx="2414">
                  <c:v>8418.15</c:v>
                </c:pt>
                <c:pt idx="2415">
                  <c:v>10116.209999999999</c:v>
                </c:pt>
                <c:pt idx="2416">
                  <c:v>9718.49</c:v>
                </c:pt>
                <c:pt idx="2417">
                  <c:v>9658.01</c:v>
                </c:pt>
                <c:pt idx="2418">
                  <c:v>9672.3799999999992</c:v>
                </c:pt>
                <c:pt idx="2419">
                  <c:v>9944.7000000000007</c:v>
                </c:pt>
                <c:pt idx="2420">
                  <c:v>8426.66</c:v>
                </c:pt>
                <c:pt idx="2421">
                  <c:v>8461.7199999999993</c:v>
                </c:pt>
                <c:pt idx="2422">
                  <c:v>9972.5499999999993</c:v>
                </c:pt>
                <c:pt idx="2423">
                  <c:v>9547.85</c:v>
                </c:pt>
                <c:pt idx="2424">
                  <c:v>9121.19</c:v>
                </c:pt>
                <c:pt idx="2425">
                  <c:v>9707.82</c:v>
                </c:pt>
                <c:pt idx="2426">
                  <c:v>10489.22</c:v>
                </c:pt>
                <c:pt idx="2427">
                  <c:v>8108.44</c:v>
                </c:pt>
                <c:pt idx="2428">
                  <c:v>8448.75</c:v>
                </c:pt>
                <c:pt idx="2429">
                  <c:v>9942.52</c:v>
                </c:pt>
                <c:pt idx="2430">
                  <c:v>9722.26</c:v>
                </c:pt>
                <c:pt idx="2431">
                  <c:v>9267.8700000000008</c:v>
                </c:pt>
                <c:pt idx="2432">
                  <c:v>10986.6</c:v>
                </c:pt>
                <c:pt idx="2433">
                  <c:v>11816.41</c:v>
                </c:pt>
                <c:pt idx="2434">
                  <c:v>10115.469999999999</c:v>
                </c:pt>
                <c:pt idx="2435">
                  <c:v>9904.7800000000007</c:v>
                </c:pt>
                <c:pt idx="2436">
                  <c:v>10739.51</c:v>
                </c:pt>
                <c:pt idx="2437">
                  <c:v>10521.09</c:v>
                </c:pt>
                <c:pt idx="2438">
                  <c:v>10132.14</c:v>
                </c:pt>
                <c:pt idx="2439">
                  <c:v>9771.84</c:v>
                </c:pt>
                <c:pt idx="2440">
                  <c:v>11626.87</c:v>
                </c:pt>
                <c:pt idx="2441">
                  <c:v>9152.15</c:v>
                </c:pt>
                <c:pt idx="2442">
                  <c:v>8328.65</c:v>
                </c:pt>
                <c:pt idx="2443">
                  <c:v>10992.43</c:v>
                </c:pt>
                <c:pt idx="2444">
                  <c:v>10111.75</c:v>
                </c:pt>
                <c:pt idx="2445">
                  <c:v>10347.82</c:v>
                </c:pt>
                <c:pt idx="2446">
                  <c:v>10357.290000000001</c:v>
                </c:pt>
                <c:pt idx="2447">
                  <c:v>11015.8</c:v>
                </c:pt>
                <c:pt idx="2448">
                  <c:v>8485.27</c:v>
                </c:pt>
                <c:pt idx="2449">
                  <c:v>8513.98</c:v>
                </c:pt>
                <c:pt idx="2450">
                  <c:v>10497.81</c:v>
                </c:pt>
                <c:pt idx="2451">
                  <c:v>10010.469999999999</c:v>
                </c:pt>
                <c:pt idx="2452">
                  <c:v>10245.98</c:v>
                </c:pt>
                <c:pt idx="2453">
                  <c:v>10046.209999999999</c:v>
                </c:pt>
                <c:pt idx="2454">
                  <c:v>11298.07</c:v>
                </c:pt>
                <c:pt idx="2455">
                  <c:v>9184.74</c:v>
                </c:pt>
                <c:pt idx="2456">
                  <c:v>8548.01</c:v>
                </c:pt>
                <c:pt idx="2457">
                  <c:v>10853.74</c:v>
                </c:pt>
                <c:pt idx="2458">
                  <c:v>10420.57</c:v>
                </c:pt>
                <c:pt idx="2459">
                  <c:v>10412.040000000001</c:v>
                </c:pt>
                <c:pt idx="2460">
                  <c:v>10290.06</c:v>
                </c:pt>
                <c:pt idx="2461">
                  <c:v>11316.75</c:v>
                </c:pt>
                <c:pt idx="2462">
                  <c:v>10206.48</c:v>
                </c:pt>
                <c:pt idx="2463">
                  <c:v>9597.2900000000009</c:v>
                </c:pt>
                <c:pt idx="2464">
                  <c:v>12528.55</c:v>
                </c:pt>
                <c:pt idx="2465">
                  <c:v>11952.74</c:v>
                </c:pt>
                <c:pt idx="2466">
                  <c:v>9892.36</c:v>
                </c:pt>
                <c:pt idx="2467">
                  <c:v>10135.719999999999</c:v>
                </c:pt>
                <c:pt idx="2468">
                  <c:v>11141.67</c:v>
                </c:pt>
                <c:pt idx="2469">
                  <c:v>8541.99</c:v>
                </c:pt>
                <c:pt idx="2470">
                  <c:v>8931.4599999999991</c:v>
                </c:pt>
                <c:pt idx="2471">
                  <c:v>11348.37</c:v>
                </c:pt>
                <c:pt idx="2472">
                  <c:v>9885.4699999999993</c:v>
                </c:pt>
                <c:pt idx="2473">
                  <c:v>9704.73</c:v>
                </c:pt>
                <c:pt idx="2474">
                  <c:v>10216.469999999999</c:v>
                </c:pt>
                <c:pt idx="2475">
                  <c:v>11153.29</c:v>
                </c:pt>
                <c:pt idx="2476">
                  <c:v>8535.44</c:v>
                </c:pt>
                <c:pt idx="2477">
                  <c:v>9046.9599999999991</c:v>
                </c:pt>
                <c:pt idx="2478">
                  <c:v>10223.83</c:v>
                </c:pt>
                <c:pt idx="2479">
                  <c:v>10334.65</c:v>
                </c:pt>
                <c:pt idx="2480">
                  <c:v>9940.18</c:v>
                </c:pt>
                <c:pt idx="2481">
                  <c:v>10646.41</c:v>
                </c:pt>
                <c:pt idx="2482">
                  <c:v>11539.31</c:v>
                </c:pt>
                <c:pt idx="2483">
                  <c:v>8372.7099999999991</c:v>
                </c:pt>
                <c:pt idx="2484">
                  <c:v>8438.65</c:v>
                </c:pt>
                <c:pt idx="2485">
                  <c:v>10891.48</c:v>
                </c:pt>
                <c:pt idx="2486">
                  <c:v>10006.61</c:v>
                </c:pt>
                <c:pt idx="2487">
                  <c:v>10110.4</c:v>
                </c:pt>
                <c:pt idx="2488">
                  <c:v>10131.9</c:v>
                </c:pt>
                <c:pt idx="2489">
                  <c:v>10351.07</c:v>
                </c:pt>
                <c:pt idx="2490">
                  <c:v>8601.36</c:v>
                </c:pt>
                <c:pt idx="2491">
                  <c:v>8396.08</c:v>
                </c:pt>
                <c:pt idx="2492">
                  <c:v>10480.629999999999</c:v>
                </c:pt>
                <c:pt idx="2493">
                  <c:v>12147.06</c:v>
                </c:pt>
                <c:pt idx="2494">
                  <c:v>11203.94</c:v>
                </c:pt>
                <c:pt idx="2495">
                  <c:v>12743.81</c:v>
                </c:pt>
                <c:pt idx="2496">
                  <c:v>13331.43</c:v>
                </c:pt>
                <c:pt idx="2497">
                  <c:v>9104.23</c:v>
                </c:pt>
                <c:pt idx="2498">
                  <c:v>9451.52</c:v>
                </c:pt>
                <c:pt idx="2499">
                  <c:v>11468.91</c:v>
                </c:pt>
                <c:pt idx="2500">
                  <c:v>11002.85</c:v>
                </c:pt>
                <c:pt idx="2501">
                  <c:v>11131.87</c:v>
                </c:pt>
                <c:pt idx="2502">
                  <c:v>10710.15</c:v>
                </c:pt>
                <c:pt idx="2503">
                  <c:v>11484.39</c:v>
                </c:pt>
                <c:pt idx="2504">
                  <c:v>8842.85</c:v>
                </c:pt>
                <c:pt idx="2505">
                  <c:v>8927.15</c:v>
                </c:pt>
                <c:pt idx="2506">
                  <c:v>12315.62</c:v>
                </c:pt>
                <c:pt idx="2507">
                  <c:v>11221.6</c:v>
                </c:pt>
                <c:pt idx="2508">
                  <c:v>10379.200000000001</c:v>
                </c:pt>
                <c:pt idx="2509">
                  <c:v>10388.49</c:v>
                </c:pt>
                <c:pt idx="2510">
                  <c:v>11839.46</c:v>
                </c:pt>
                <c:pt idx="2511">
                  <c:v>9372.6200000000008</c:v>
                </c:pt>
                <c:pt idx="2512">
                  <c:v>9373.15</c:v>
                </c:pt>
                <c:pt idx="2513">
                  <c:v>11275.81</c:v>
                </c:pt>
                <c:pt idx="2514">
                  <c:v>10776.95</c:v>
                </c:pt>
                <c:pt idx="2515">
                  <c:v>10924.07</c:v>
                </c:pt>
                <c:pt idx="2516">
                  <c:v>10845.54</c:v>
                </c:pt>
                <c:pt idx="2517">
                  <c:v>10962.85</c:v>
                </c:pt>
                <c:pt idx="2518">
                  <c:v>9120.44</c:v>
                </c:pt>
                <c:pt idx="2519">
                  <c:v>8918.7099999999991</c:v>
                </c:pt>
                <c:pt idx="2520">
                  <c:v>11415.41</c:v>
                </c:pt>
                <c:pt idx="2521">
                  <c:v>11786.47</c:v>
                </c:pt>
                <c:pt idx="2522">
                  <c:v>10936.93</c:v>
                </c:pt>
                <c:pt idx="2523">
                  <c:v>12323.3</c:v>
                </c:pt>
                <c:pt idx="2524">
                  <c:v>13779.57</c:v>
                </c:pt>
                <c:pt idx="2525">
                  <c:v>10903.61</c:v>
                </c:pt>
                <c:pt idx="2526">
                  <c:v>10879.93</c:v>
                </c:pt>
                <c:pt idx="2527">
                  <c:v>11715.8</c:v>
                </c:pt>
                <c:pt idx="2528">
                  <c:v>11644.41</c:v>
                </c:pt>
                <c:pt idx="2529">
                  <c:v>10595.64</c:v>
                </c:pt>
                <c:pt idx="2530">
                  <c:v>11123.58</c:v>
                </c:pt>
                <c:pt idx="2531">
                  <c:v>11540.35</c:v>
                </c:pt>
                <c:pt idx="2532">
                  <c:v>9505.36</c:v>
                </c:pt>
                <c:pt idx="2533">
                  <c:v>9020.2999999999993</c:v>
                </c:pt>
                <c:pt idx="2534">
                  <c:v>11378.8</c:v>
                </c:pt>
                <c:pt idx="2535">
                  <c:v>10870.65</c:v>
                </c:pt>
                <c:pt idx="2536">
                  <c:v>11288.82</c:v>
                </c:pt>
                <c:pt idx="2537">
                  <c:v>11269.94</c:v>
                </c:pt>
                <c:pt idx="2538">
                  <c:v>11435.28</c:v>
                </c:pt>
                <c:pt idx="2539">
                  <c:v>9340.66</c:v>
                </c:pt>
                <c:pt idx="2540">
                  <c:v>9089.11</c:v>
                </c:pt>
                <c:pt idx="2541">
                  <c:v>11102.04</c:v>
                </c:pt>
                <c:pt idx="2542">
                  <c:v>10896.34</c:v>
                </c:pt>
                <c:pt idx="2543">
                  <c:v>10866.24</c:v>
                </c:pt>
                <c:pt idx="2544">
                  <c:v>11766.21</c:v>
                </c:pt>
                <c:pt idx="2545">
                  <c:v>11987.62</c:v>
                </c:pt>
                <c:pt idx="2546">
                  <c:v>8869.2999999999993</c:v>
                </c:pt>
                <c:pt idx="2547">
                  <c:v>9136.75</c:v>
                </c:pt>
                <c:pt idx="2548">
                  <c:v>11852.2</c:v>
                </c:pt>
                <c:pt idx="2549">
                  <c:v>11654.91</c:v>
                </c:pt>
                <c:pt idx="2550">
                  <c:v>10445.9</c:v>
                </c:pt>
                <c:pt idx="2551">
                  <c:v>10349.19</c:v>
                </c:pt>
                <c:pt idx="2552">
                  <c:v>12460.77</c:v>
                </c:pt>
                <c:pt idx="2553">
                  <c:v>9450.7800000000007</c:v>
                </c:pt>
                <c:pt idx="2554">
                  <c:v>10392.42</c:v>
                </c:pt>
                <c:pt idx="2555">
                  <c:v>13445.85</c:v>
                </c:pt>
                <c:pt idx="2556">
                  <c:v>12391.42</c:v>
                </c:pt>
                <c:pt idx="2557">
                  <c:v>13456.73</c:v>
                </c:pt>
                <c:pt idx="2558">
                  <c:v>11815.39</c:v>
                </c:pt>
                <c:pt idx="2559">
                  <c:v>12960.78</c:v>
                </c:pt>
                <c:pt idx="2560">
                  <c:v>9589.39</c:v>
                </c:pt>
                <c:pt idx="2561">
                  <c:v>9975.35</c:v>
                </c:pt>
                <c:pt idx="2562">
                  <c:v>11960.51</c:v>
                </c:pt>
                <c:pt idx="2563">
                  <c:v>11789.96</c:v>
                </c:pt>
                <c:pt idx="2564">
                  <c:v>11386.05</c:v>
                </c:pt>
                <c:pt idx="2565">
                  <c:v>11557.08</c:v>
                </c:pt>
                <c:pt idx="2566">
                  <c:v>12286.81</c:v>
                </c:pt>
                <c:pt idx="2567">
                  <c:v>10173.83</c:v>
                </c:pt>
                <c:pt idx="2568">
                  <c:v>10246.6</c:v>
                </c:pt>
                <c:pt idx="2569">
                  <c:v>12202.98</c:v>
                </c:pt>
                <c:pt idx="2570">
                  <c:v>11713.74</c:v>
                </c:pt>
                <c:pt idx="2571">
                  <c:v>11191.85</c:v>
                </c:pt>
                <c:pt idx="2572">
                  <c:v>11595.13</c:v>
                </c:pt>
                <c:pt idx="2573">
                  <c:v>12618.73</c:v>
                </c:pt>
                <c:pt idx="2574">
                  <c:v>10865.2</c:v>
                </c:pt>
                <c:pt idx="2575">
                  <c:v>9554.9599999999991</c:v>
                </c:pt>
                <c:pt idx="2576">
                  <c:v>12799.28</c:v>
                </c:pt>
                <c:pt idx="2577">
                  <c:v>12050.23</c:v>
                </c:pt>
                <c:pt idx="2578">
                  <c:v>11798.83</c:v>
                </c:pt>
                <c:pt idx="2579">
                  <c:v>12317.62</c:v>
                </c:pt>
                <c:pt idx="2580">
                  <c:v>12766.96</c:v>
                </c:pt>
                <c:pt idx="2581">
                  <c:v>10081.870000000001</c:v>
                </c:pt>
                <c:pt idx="2582">
                  <c:v>9926.6299999999992</c:v>
                </c:pt>
                <c:pt idx="2583">
                  <c:v>12714.82</c:v>
                </c:pt>
                <c:pt idx="2584">
                  <c:v>12085.19</c:v>
                </c:pt>
                <c:pt idx="2585">
                  <c:v>13202.81</c:v>
                </c:pt>
                <c:pt idx="2586">
                  <c:v>12922.84</c:v>
                </c:pt>
                <c:pt idx="2587">
                  <c:v>14935.23</c:v>
                </c:pt>
                <c:pt idx="2588">
                  <c:v>11487.44</c:v>
                </c:pt>
                <c:pt idx="2589">
                  <c:v>10256.290000000001</c:v>
                </c:pt>
                <c:pt idx="2590">
                  <c:v>13146.94</c:v>
                </c:pt>
                <c:pt idx="2591">
                  <c:v>11927.42</c:v>
                </c:pt>
                <c:pt idx="2592">
                  <c:v>12077.8</c:v>
                </c:pt>
                <c:pt idx="2593">
                  <c:v>12114.38</c:v>
                </c:pt>
                <c:pt idx="2594">
                  <c:v>13368.61</c:v>
                </c:pt>
                <c:pt idx="2595">
                  <c:v>9464.16</c:v>
                </c:pt>
                <c:pt idx="2596">
                  <c:v>10059.219999999999</c:v>
                </c:pt>
                <c:pt idx="2597">
                  <c:v>12774.65</c:v>
                </c:pt>
                <c:pt idx="2598">
                  <c:v>12528.72</c:v>
                </c:pt>
                <c:pt idx="2599">
                  <c:v>11914.87</c:v>
                </c:pt>
                <c:pt idx="2600">
                  <c:v>11412.52</c:v>
                </c:pt>
                <c:pt idx="2601">
                  <c:v>13285.63</c:v>
                </c:pt>
                <c:pt idx="2602">
                  <c:v>10048.82</c:v>
                </c:pt>
                <c:pt idx="2603">
                  <c:v>9847.7199999999993</c:v>
                </c:pt>
                <c:pt idx="2604">
                  <c:v>12471.49</c:v>
                </c:pt>
                <c:pt idx="2605">
                  <c:v>12026.39</c:v>
                </c:pt>
                <c:pt idx="2606">
                  <c:v>11873.93</c:v>
                </c:pt>
                <c:pt idx="2607">
                  <c:v>11293.15</c:v>
                </c:pt>
                <c:pt idx="2608">
                  <c:v>13386.26</c:v>
                </c:pt>
                <c:pt idx="2609">
                  <c:v>10741.86</c:v>
                </c:pt>
                <c:pt idx="2610">
                  <c:v>10515.71</c:v>
                </c:pt>
                <c:pt idx="2611">
                  <c:v>12285.25</c:v>
                </c:pt>
                <c:pt idx="2612">
                  <c:v>12020.23</c:v>
                </c:pt>
                <c:pt idx="2613">
                  <c:v>12090.97</c:v>
                </c:pt>
                <c:pt idx="2614">
                  <c:v>12310.58</c:v>
                </c:pt>
                <c:pt idx="2615">
                  <c:v>15298.77</c:v>
                </c:pt>
                <c:pt idx="2616">
                  <c:v>11514.92</c:v>
                </c:pt>
                <c:pt idx="2617">
                  <c:v>12301.86</c:v>
                </c:pt>
                <c:pt idx="2618">
                  <c:v>15350.54</c:v>
                </c:pt>
                <c:pt idx="2619">
                  <c:v>13096.77</c:v>
                </c:pt>
                <c:pt idx="2620">
                  <c:v>12813.93</c:v>
                </c:pt>
                <c:pt idx="2621">
                  <c:v>12845.76</c:v>
                </c:pt>
                <c:pt idx="2622">
                  <c:v>13584.16</c:v>
                </c:pt>
                <c:pt idx="2623">
                  <c:v>11197.39</c:v>
                </c:pt>
                <c:pt idx="2624">
                  <c:v>10820.66</c:v>
                </c:pt>
                <c:pt idx="2625">
                  <c:v>12851.98</c:v>
                </c:pt>
                <c:pt idx="2626">
                  <c:v>13077.02</c:v>
                </c:pt>
                <c:pt idx="2627">
                  <c:v>12811.44</c:v>
                </c:pt>
                <c:pt idx="2628">
                  <c:v>12381.92</c:v>
                </c:pt>
                <c:pt idx="2629">
                  <c:v>13372.1</c:v>
                </c:pt>
                <c:pt idx="2630">
                  <c:v>10778.05</c:v>
                </c:pt>
                <c:pt idx="2631">
                  <c:v>11924.85</c:v>
                </c:pt>
                <c:pt idx="2632">
                  <c:v>14575.46</c:v>
                </c:pt>
                <c:pt idx="2633">
                  <c:v>13932.5</c:v>
                </c:pt>
                <c:pt idx="2634">
                  <c:v>14507.55</c:v>
                </c:pt>
                <c:pt idx="2635">
                  <c:v>14247.31</c:v>
                </c:pt>
                <c:pt idx="2636">
                  <c:v>14986.81</c:v>
                </c:pt>
                <c:pt idx="2637">
                  <c:v>12122.85</c:v>
                </c:pt>
                <c:pt idx="2638">
                  <c:v>11305.47</c:v>
                </c:pt>
                <c:pt idx="2639">
                  <c:v>14658.54</c:v>
                </c:pt>
                <c:pt idx="2640">
                  <c:v>14552.83</c:v>
                </c:pt>
                <c:pt idx="2641">
                  <c:v>13713.29</c:v>
                </c:pt>
                <c:pt idx="2642">
                  <c:v>12229.61</c:v>
                </c:pt>
                <c:pt idx="2643">
                  <c:v>13307.12</c:v>
                </c:pt>
                <c:pt idx="2644">
                  <c:v>10256.200000000001</c:v>
                </c:pt>
                <c:pt idx="2645">
                  <c:v>10370.969999999999</c:v>
                </c:pt>
                <c:pt idx="2646">
                  <c:v>14992.16</c:v>
                </c:pt>
                <c:pt idx="2647">
                  <c:v>13822.5</c:v>
                </c:pt>
                <c:pt idx="2648">
                  <c:v>14678.57</c:v>
                </c:pt>
                <c:pt idx="2649">
                  <c:v>15068.84</c:v>
                </c:pt>
                <c:pt idx="2650">
                  <c:v>13431.21</c:v>
                </c:pt>
                <c:pt idx="2651">
                  <c:v>11425.79</c:v>
                </c:pt>
                <c:pt idx="2652">
                  <c:v>11039.8</c:v>
                </c:pt>
                <c:pt idx="2653">
                  <c:v>13790.34</c:v>
                </c:pt>
                <c:pt idx="2654">
                  <c:v>12506.22</c:v>
                </c:pt>
                <c:pt idx="2655">
                  <c:v>13085.06</c:v>
                </c:pt>
                <c:pt idx="2656">
                  <c:v>12340.07</c:v>
                </c:pt>
                <c:pt idx="2657">
                  <c:v>14119.37</c:v>
                </c:pt>
                <c:pt idx="2658">
                  <c:v>10910.07</c:v>
                </c:pt>
                <c:pt idx="2659">
                  <c:v>11056.05</c:v>
                </c:pt>
                <c:pt idx="2660">
                  <c:v>12945.95</c:v>
                </c:pt>
                <c:pt idx="2661">
                  <c:v>12415.42</c:v>
                </c:pt>
                <c:pt idx="2662">
                  <c:v>14285.24</c:v>
                </c:pt>
                <c:pt idx="2663">
                  <c:v>13634.53</c:v>
                </c:pt>
                <c:pt idx="2664">
                  <c:v>15351.52</c:v>
                </c:pt>
                <c:pt idx="2665">
                  <c:v>11353.15</c:v>
                </c:pt>
                <c:pt idx="2666">
                  <c:v>12285.82</c:v>
                </c:pt>
                <c:pt idx="2667">
                  <c:v>14216.58</c:v>
                </c:pt>
                <c:pt idx="2668">
                  <c:v>14266.33</c:v>
                </c:pt>
                <c:pt idx="2669">
                  <c:v>14297.2</c:v>
                </c:pt>
                <c:pt idx="2670">
                  <c:v>13740.45</c:v>
                </c:pt>
                <c:pt idx="2671">
                  <c:v>15401.55</c:v>
                </c:pt>
                <c:pt idx="2672">
                  <c:v>12038.38</c:v>
                </c:pt>
                <c:pt idx="2673">
                  <c:v>10638.06</c:v>
                </c:pt>
                <c:pt idx="2674">
                  <c:v>13009.89</c:v>
                </c:pt>
                <c:pt idx="2675">
                  <c:v>12006.82</c:v>
                </c:pt>
                <c:pt idx="2676">
                  <c:v>14825.6</c:v>
                </c:pt>
                <c:pt idx="2677">
                  <c:v>13982.95</c:v>
                </c:pt>
                <c:pt idx="2678">
                  <c:v>16480</c:v>
                </c:pt>
                <c:pt idx="2679">
                  <c:v>12815.83</c:v>
                </c:pt>
                <c:pt idx="2680">
                  <c:v>11518.42</c:v>
                </c:pt>
                <c:pt idx="2681">
                  <c:v>13775.65</c:v>
                </c:pt>
                <c:pt idx="2682">
                  <c:v>13103.07</c:v>
                </c:pt>
                <c:pt idx="2683">
                  <c:v>13524.44</c:v>
                </c:pt>
                <c:pt idx="2684">
                  <c:v>13366.89</c:v>
                </c:pt>
                <c:pt idx="2685">
                  <c:v>14418.1</c:v>
                </c:pt>
                <c:pt idx="2686">
                  <c:v>11435.1</c:v>
                </c:pt>
                <c:pt idx="2687">
                  <c:v>10639.14</c:v>
                </c:pt>
                <c:pt idx="2688">
                  <c:v>14196.02</c:v>
                </c:pt>
                <c:pt idx="2689">
                  <c:v>13477.03</c:v>
                </c:pt>
                <c:pt idx="2690">
                  <c:v>12830.23</c:v>
                </c:pt>
                <c:pt idx="2691">
                  <c:v>13136.97</c:v>
                </c:pt>
                <c:pt idx="2692">
                  <c:v>14276.98</c:v>
                </c:pt>
                <c:pt idx="2693">
                  <c:v>11195.39</c:v>
                </c:pt>
                <c:pt idx="2694">
                  <c:v>11381.34</c:v>
                </c:pt>
                <c:pt idx="2695">
                  <c:v>14463.84</c:v>
                </c:pt>
                <c:pt idx="2696">
                  <c:v>13663.35</c:v>
                </c:pt>
                <c:pt idx="2697">
                  <c:v>12712.9</c:v>
                </c:pt>
                <c:pt idx="2698">
                  <c:v>13480.84</c:v>
                </c:pt>
                <c:pt idx="2699">
                  <c:v>14820.19</c:v>
                </c:pt>
                <c:pt idx="2700">
                  <c:v>11402.36</c:v>
                </c:pt>
                <c:pt idx="2701">
                  <c:v>11681.93</c:v>
                </c:pt>
                <c:pt idx="2702">
                  <c:v>14694.47</c:v>
                </c:pt>
                <c:pt idx="2703">
                  <c:v>13640.3</c:v>
                </c:pt>
                <c:pt idx="2704">
                  <c:v>13332.85</c:v>
                </c:pt>
                <c:pt idx="2705">
                  <c:v>13648.79</c:v>
                </c:pt>
                <c:pt idx="2706">
                  <c:v>14350.1</c:v>
                </c:pt>
                <c:pt idx="2707">
                  <c:v>12947.02</c:v>
                </c:pt>
                <c:pt idx="2708">
                  <c:v>12775.66</c:v>
                </c:pt>
                <c:pt idx="2709">
                  <c:v>17026.97</c:v>
                </c:pt>
                <c:pt idx="2710">
                  <c:v>15141.65</c:v>
                </c:pt>
                <c:pt idx="2711">
                  <c:v>14118.58</c:v>
                </c:pt>
                <c:pt idx="2712">
                  <c:v>13700.48</c:v>
                </c:pt>
                <c:pt idx="2713">
                  <c:v>14011.27</c:v>
                </c:pt>
                <c:pt idx="2714">
                  <c:v>11622.23</c:v>
                </c:pt>
                <c:pt idx="2715">
                  <c:v>10622.97</c:v>
                </c:pt>
                <c:pt idx="2716">
                  <c:v>14426.26</c:v>
                </c:pt>
                <c:pt idx="2717">
                  <c:v>13856.53</c:v>
                </c:pt>
                <c:pt idx="2718">
                  <c:v>13258.19</c:v>
                </c:pt>
                <c:pt idx="2719">
                  <c:v>13548.09</c:v>
                </c:pt>
                <c:pt idx="2720">
                  <c:v>15369.23</c:v>
                </c:pt>
                <c:pt idx="2721">
                  <c:v>11268.56</c:v>
                </c:pt>
                <c:pt idx="2722">
                  <c:v>11044.56</c:v>
                </c:pt>
                <c:pt idx="2723">
                  <c:v>14772.96</c:v>
                </c:pt>
                <c:pt idx="2724">
                  <c:v>14292.8</c:v>
                </c:pt>
                <c:pt idx="2725">
                  <c:v>13499.56</c:v>
                </c:pt>
                <c:pt idx="2726">
                  <c:v>13907.65</c:v>
                </c:pt>
                <c:pt idx="2727">
                  <c:v>15121.13</c:v>
                </c:pt>
                <c:pt idx="2728">
                  <c:v>11172.69</c:v>
                </c:pt>
                <c:pt idx="2729">
                  <c:v>11276.83</c:v>
                </c:pt>
                <c:pt idx="2730">
                  <c:v>14671.4</c:v>
                </c:pt>
                <c:pt idx="2731">
                  <c:v>14180.4</c:v>
                </c:pt>
                <c:pt idx="2732">
                  <c:v>13726</c:v>
                </c:pt>
                <c:pt idx="2733">
                  <c:v>13141.79</c:v>
                </c:pt>
                <c:pt idx="2734">
                  <c:v>15382.55</c:v>
                </c:pt>
                <c:pt idx="2735">
                  <c:v>11258.34</c:v>
                </c:pt>
                <c:pt idx="2736">
                  <c:v>11337.64</c:v>
                </c:pt>
                <c:pt idx="2737">
                  <c:v>14311.59</c:v>
                </c:pt>
                <c:pt idx="2738">
                  <c:v>16246.52</c:v>
                </c:pt>
                <c:pt idx="2739">
                  <c:v>15920.46</c:v>
                </c:pt>
                <c:pt idx="2740">
                  <c:v>15755.56</c:v>
                </c:pt>
                <c:pt idx="2741">
                  <c:v>17023.12</c:v>
                </c:pt>
                <c:pt idx="2742">
                  <c:v>11519.92</c:v>
                </c:pt>
                <c:pt idx="2743">
                  <c:v>11728.84</c:v>
                </c:pt>
                <c:pt idx="2744">
                  <c:v>13181.77</c:v>
                </c:pt>
                <c:pt idx="2745">
                  <c:v>13411.66</c:v>
                </c:pt>
                <c:pt idx="2746">
                  <c:v>13630.04</c:v>
                </c:pt>
                <c:pt idx="2747">
                  <c:v>13064.8</c:v>
                </c:pt>
                <c:pt idx="2748">
                  <c:v>14771.47</c:v>
                </c:pt>
                <c:pt idx="2749">
                  <c:v>11419.25</c:v>
                </c:pt>
                <c:pt idx="2750">
                  <c:v>12214.92</c:v>
                </c:pt>
                <c:pt idx="2751">
                  <c:v>14847.26</c:v>
                </c:pt>
                <c:pt idx="2752">
                  <c:v>13342.97</c:v>
                </c:pt>
                <c:pt idx="2753">
                  <c:v>13470.83</c:v>
                </c:pt>
                <c:pt idx="2754">
                  <c:v>13502.05</c:v>
                </c:pt>
                <c:pt idx="2755">
                  <c:v>14431.28</c:v>
                </c:pt>
                <c:pt idx="2756">
                  <c:v>11581.43</c:v>
                </c:pt>
                <c:pt idx="2757">
                  <c:v>11194.42</c:v>
                </c:pt>
                <c:pt idx="2758">
                  <c:v>13749.69</c:v>
                </c:pt>
                <c:pt idx="2759">
                  <c:v>13784.87</c:v>
                </c:pt>
                <c:pt idx="2760">
                  <c:v>13787.63</c:v>
                </c:pt>
                <c:pt idx="2761">
                  <c:v>13205.55</c:v>
                </c:pt>
                <c:pt idx="2762">
                  <c:v>14978.11</c:v>
                </c:pt>
                <c:pt idx="2763">
                  <c:v>11245.86</c:v>
                </c:pt>
                <c:pt idx="2764">
                  <c:v>11605.03</c:v>
                </c:pt>
                <c:pt idx="2765">
                  <c:v>14541.7</c:v>
                </c:pt>
                <c:pt idx="2766">
                  <c:v>13518.42</c:v>
                </c:pt>
                <c:pt idx="2767">
                  <c:v>15774.18</c:v>
                </c:pt>
                <c:pt idx="2768">
                  <c:v>15320.78</c:v>
                </c:pt>
                <c:pt idx="2769">
                  <c:v>18346.23</c:v>
                </c:pt>
                <c:pt idx="2770">
                  <c:v>14412.91</c:v>
                </c:pt>
                <c:pt idx="2771">
                  <c:v>12292.04</c:v>
                </c:pt>
                <c:pt idx="2772">
                  <c:v>15516.44</c:v>
                </c:pt>
                <c:pt idx="2773">
                  <c:v>14162.55</c:v>
                </c:pt>
                <c:pt idx="2774">
                  <c:v>14633.73</c:v>
                </c:pt>
                <c:pt idx="2775">
                  <c:v>14725.65</c:v>
                </c:pt>
                <c:pt idx="2776">
                  <c:v>15926.64</c:v>
                </c:pt>
                <c:pt idx="2777">
                  <c:v>12517.09</c:v>
                </c:pt>
                <c:pt idx="2778">
                  <c:v>12597.17</c:v>
                </c:pt>
                <c:pt idx="2779">
                  <c:v>15808.84</c:v>
                </c:pt>
                <c:pt idx="2780">
                  <c:v>15242.25</c:v>
                </c:pt>
                <c:pt idx="2781">
                  <c:v>14563.06</c:v>
                </c:pt>
                <c:pt idx="2782">
                  <c:v>14316.46</c:v>
                </c:pt>
                <c:pt idx="2783">
                  <c:v>15576.48</c:v>
                </c:pt>
                <c:pt idx="2784">
                  <c:v>12407.61</c:v>
                </c:pt>
                <c:pt idx="2785">
                  <c:v>12467.89</c:v>
                </c:pt>
                <c:pt idx="2786">
                  <c:v>15252.12</c:v>
                </c:pt>
                <c:pt idx="2787">
                  <c:v>14275.06</c:v>
                </c:pt>
                <c:pt idx="2788">
                  <c:v>14649.34</c:v>
                </c:pt>
                <c:pt idx="2789">
                  <c:v>14933.42</c:v>
                </c:pt>
                <c:pt idx="2790">
                  <c:v>16305.92</c:v>
                </c:pt>
                <c:pt idx="2791">
                  <c:v>12376.32</c:v>
                </c:pt>
                <c:pt idx="2792">
                  <c:v>12440.67</c:v>
                </c:pt>
                <c:pt idx="2793">
                  <c:v>15182.29</c:v>
                </c:pt>
                <c:pt idx="2794">
                  <c:v>14838.57</c:v>
                </c:pt>
                <c:pt idx="2795">
                  <c:v>14474.54</c:v>
                </c:pt>
                <c:pt idx="2796">
                  <c:v>15107.95</c:v>
                </c:pt>
                <c:pt idx="2797">
                  <c:v>15245.05</c:v>
                </c:pt>
                <c:pt idx="2798">
                  <c:v>14334.12</c:v>
                </c:pt>
                <c:pt idx="2799">
                  <c:v>14672.69</c:v>
                </c:pt>
                <c:pt idx="2800">
                  <c:v>18465.78</c:v>
                </c:pt>
                <c:pt idx="2801">
                  <c:v>18907.97</c:v>
                </c:pt>
                <c:pt idx="2802">
                  <c:v>15372.31</c:v>
                </c:pt>
                <c:pt idx="2803">
                  <c:v>14754.44</c:v>
                </c:pt>
                <c:pt idx="2804">
                  <c:v>16386.11</c:v>
                </c:pt>
                <c:pt idx="2805">
                  <c:v>12120.12</c:v>
                </c:pt>
                <c:pt idx="2806">
                  <c:v>12893.98</c:v>
                </c:pt>
                <c:pt idx="2807">
                  <c:v>15593.11</c:v>
                </c:pt>
                <c:pt idx="2808">
                  <c:v>15630.43</c:v>
                </c:pt>
                <c:pt idx="2809">
                  <c:v>14961.87</c:v>
                </c:pt>
                <c:pt idx="2810">
                  <c:v>15159.38</c:v>
                </c:pt>
                <c:pt idx="2811">
                  <c:v>16139.62</c:v>
                </c:pt>
                <c:pt idx="2812">
                  <c:v>13724.34</c:v>
                </c:pt>
                <c:pt idx="2813">
                  <c:v>12784.16</c:v>
                </c:pt>
                <c:pt idx="2814">
                  <c:v>16809.64</c:v>
                </c:pt>
                <c:pt idx="2815">
                  <c:v>15584.23</c:v>
                </c:pt>
                <c:pt idx="2816">
                  <c:v>15432.67</c:v>
                </c:pt>
                <c:pt idx="2817">
                  <c:v>15380.95</c:v>
                </c:pt>
                <c:pt idx="2818">
                  <c:v>16609.400000000001</c:v>
                </c:pt>
                <c:pt idx="2819">
                  <c:v>12051.02</c:v>
                </c:pt>
                <c:pt idx="2820">
                  <c:v>12803.49</c:v>
                </c:pt>
                <c:pt idx="2821">
                  <c:v>16359.01</c:v>
                </c:pt>
                <c:pt idx="2822">
                  <c:v>15190.35</c:v>
                </c:pt>
                <c:pt idx="2823">
                  <c:v>14571.37</c:v>
                </c:pt>
                <c:pt idx="2824">
                  <c:v>15188.75</c:v>
                </c:pt>
                <c:pt idx="2825">
                  <c:v>17207.400000000001</c:v>
                </c:pt>
                <c:pt idx="2826">
                  <c:v>13499.82</c:v>
                </c:pt>
                <c:pt idx="2827">
                  <c:v>12902.47</c:v>
                </c:pt>
                <c:pt idx="2828">
                  <c:v>18868.650000000001</c:v>
                </c:pt>
                <c:pt idx="2829">
                  <c:v>17302.21</c:v>
                </c:pt>
                <c:pt idx="2830">
                  <c:v>16910.330000000002</c:v>
                </c:pt>
                <c:pt idx="2831">
                  <c:v>17327.04</c:v>
                </c:pt>
                <c:pt idx="2832">
                  <c:v>17463.11</c:v>
                </c:pt>
                <c:pt idx="2833">
                  <c:v>13044.88</c:v>
                </c:pt>
                <c:pt idx="2834">
                  <c:v>13059.11</c:v>
                </c:pt>
                <c:pt idx="2835">
                  <c:v>16132.22</c:v>
                </c:pt>
                <c:pt idx="2836">
                  <c:v>16382.01</c:v>
                </c:pt>
                <c:pt idx="2837">
                  <c:v>16252.69</c:v>
                </c:pt>
                <c:pt idx="2838">
                  <c:v>16528.29</c:v>
                </c:pt>
                <c:pt idx="2839">
                  <c:v>16662.580000000002</c:v>
                </c:pt>
                <c:pt idx="2840">
                  <c:v>13309.69</c:v>
                </c:pt>
                <c:pt idx="2841">
                  <c:v>12467.17</c:v>
                </c:pt>
                <c:pt idx="2842">
                  <c:v>16958.240000000002</c:v>
                </c:pt>
                <c:pt idx="2843">
                  <c:v>14953.87</c:v>
                </c:pt>
                <c:pt idx="2844">
                  <c:v>15597.55</c:v>
                </c:pt>
                <c:pt idx="2845">
                  <c:v>14986.63</c:v>
                </c:pt>
                <c:pt idx="2846">
                  <c:v>16462.75</c:v>
                </c:pt>
                <c:pt idx="2847">
                  <c:v>12783.01</c:v>
                </c:pt>
                <c:pt idx="2848">
                  <c:v>12889.65</c:v>
                </c:pt>
                <c:pt idx="2849">
                  <c:v>16020.97</c:v>
                </c:pt>
                <c:pt idx="2850">
                  <c:v>15241.88</c:v>
                </c:pt>
                <c:pt idx="2851">
                  <c:v>15884.19</c:v>
                </c:pt>
                <c:pt idx="2852">
                  <c:v>14983.12</c:v>
                </c:pt>
                <c:pt idx="2853">
                  <c:v>16839.05</c:v>
                </c:pt>
                <c:pt idx="2854">
                  <c:v>13738.49</c:v>
                </c:pt>
                <c:pt idx="2855">
                  <c:v>12933.67</c:v>
                </c:pt>
                <c:pt idx="2856">
                  <c:v>15937.85</c:v>
                </c:pt>
                <c:pt idx="2857">
                  <c:v>15389.6</c:v>
                </c:pt>
                <c:pt idx="2858">
                  <c:v>16045.23</c:v>
                </c:pt>
                <c:pt idx="2859">
                  <c:v>17925.07</c:v>
                </c:pt>
                <c:pt idx="2860">
                  <c:v>18962.990000000002</c:v>
                </c:pt>
                <c:pt idx="2861">
                  <c:v>15749.35</c:v>
                </c:pt>
                <c:pt idx="2862">
                  <c:v>14882.47</c:v>
                </c:pt>
                <c:pt idx="2863">
                  <c:v>16957.21</c:v>
                </c:pt>
                <c:pt idx="2864">
                  <c:v>16035.52</c:v>
                </c:pt>
                <c:pt idx="2865">
                  <c:v>15695.05</c:v>
                </c:pt>
                <c:pt idx="2866">
                  <c:v>15442.8</c:v>
                </c:pt>
                <c:pt idx="2867">
                  <c:v>16687.25</c:v>
                </c:pt>
                <c:pt idx="2868">
                  <c:v>13719.3</c:v>
                </c:pt>
                <c:pt idx="2869">
                  <c:v>14049.19</c:v>
                </c:pt>
                <c:pt idx="2870">
                  <c:v>16330.53</c:v>
                </c:pt>
                <c:pt idx="2871">
                  <c:v>16059.18</c:v>
                </c:pt>
                <c:pt idx="2872">
                  <c:v>14849.49</c:v>
                </c:pt>
                <c:pt idx="2873">
                  <c:v>15563.5</c:v>
                </c:pt>
                <c:pt idx="2874">
                  <c:v>17093.88</c:v>
                </c:pt>
                <c:pt idx="2875">
                  <c:v>13032.82</c:v>
                </c:pt>
                <c:pt idx="2876">
                  <c:v>13020.07</c:v>
                </c:pt>
                <c:pt idx="2877">
                  <c:v>16316.04</c:v>
                </c:pt>
                <c:pt idx="2878">
                  <c:v>15980.2</c:v>
                </c:pt>
                <c:pt idx="2879">
                  <c:v>15752.31</c:v>
                </c:pt>
                <c:pt idx="2880">
                  <c:v>14777.64</c:v>
                </c:pt>
                <c:pt idx="2881">
                  <c:v>16100.8</c:v>
                </c:pt>
                <c:pt idx="2882">
                  <c:v>13176.73</c:v>
                </c:pt>
                <c:pt idx="2883">
                  <c:v>13682.64</c:v>
                </c:pt>
                <c:pt idx="2884">
                  <c:v>15327.68</c:v>
                </c:pt>
                <c:pt idx="2885">
                  <c:v>15603.84</c:v>
                </c:pt>
                <c:pt idx="2886">
                  <c:v>15591.24</c:v>
                </c:pt>
                <c:pt idx="2887">
                  <c:v>16501.13</c:v>
                </c:pt>
                <c:pt idx="2888">
                  <c:v>16925.66</c:v>
                </c:pt>
                <c:pt idx="2889">
                  <c:v>15694.22</c:v>
                </c:pt>
                <c:pt idx="2890">
                  <c:v>15562.1</c:v>
                </c:pt>
                <c:pt idx="2891">
                  <c:v>18049.919999999998</c:v>
                </c:pt>
                <c:pt idx="2892">
                  <c:v>18726.509999999998</c:v>
                </c:pt>
                <c:pt idx="2893">
                  <c:v>16019.95</c:v>
                </c:pt>
                <c:pt idx="2894">
                  <c:v>16159.8</c:v>
                </c:pt>
                <c:pt idx="2895">
                  <c:v>19065.29</c:v>
                </c:pt>
                <c:pt idx="2896">
                  <c:v>12534.34</c:v>
                </c:pt>
                <c:pt idx="2897">
                  <c:v>14353.1</c:v>
                </c:pt>
                <c:pt idx="2898">
                  <c:v>16575.689999999999</c:v>
                </c:pt>
                <c:pt idx="2899">
                  <c:v>16054.3</c:v>
                </c:pt>
                <c:pt idx="2900">
                  <c:v>15895.36</c:v>
                </c:pt>
                <c:pt idx="2901">
                  <c:v>15714.52</c:v>
                </c:pt>
                <c:pt idx="2902">
                  <c:v>16918.36</c:v>
                </c:pt>
                <c:pt idx="2903">
                  <c:v>13686.88</c:v>
                </c:pt>
                <c:pt idx="2904">
                  <c:v>12805.06</c:v>
                </c:pt>
                <c:pt idx="2905">
                  <c:v>17071.36</c:v>
                </c:pt>
                <c:pt idx="2906">
                  <c:v>15718.36</c:v>
                </c:pt>
                <c:pt idx="2907">
                  <c:v>15377.47</c:v>
                </c:pt>
                <c:pt idx="2908">
                  <c:v>15702.21</c:v>
                </c:pt>
                <c:pt idx="2909">
                  <c:v>17790.77</c:v>
                </c:pt>
                <c:pt idx="2910">
                  <c:v>13273.9</c:v>
                </c:pt>
                <c:pt idx="2911">
                  <c:v>13700.7</c:v>
                </c:pt>
                <c:pt idx="2912">
                  <c:v>16363.91</c:v>
                </c:pt>
                <c:pt idx="2913">
                  <c:v>16279.01</c:v>
                </c:pt>
                <c:pt idx="2914">
                  <c:v>16244.44</c:v>
                </c:pt>
                <c:pt idx="2915">
                  <c:v>16799.830000000002</c:v>
                </c:pt>
                <c:pt idx="2916">
                  <c:v>17106.63</c:v>
                </c:pt>
                <c:pt idx="2917">
                  <c:v>13848.82</c:v>
                </c:pt>
                <c:pt idx="2918">
                  <c:v>13576.36</c:v>
                </c:pt>
                <c:pt idx="2919">
                  <c:v>17331.75</c:v>
                </c:pt>
                <c:pt idx="2920">
                  <c:v>17909.919999999998</c:v>
                </c:pt>
                <c:pt idx="2921">
                  <c:v>18713.77</c:v>
                </c:pt>
                <c:pt idx="2922">
                  <c:v>18989.189999999999</c:v>
                </c:pt>
                <c:pt idx="2923">
                  <c:v>20592.04</c:v>
                </c:pt>
                <c:pt idx="2924">
                  <c:v>14163.67</c:v>
                </c:pt>
                <c:pt idx="2925">
                  <c:v>14243.64</c:v>
                </c:pt>
                <c:pt idx="2926">
                  <c:v>17381.91</c:v>
                </c:pt>
                <c:pt idx="2927">
                  <c:v>16716.34</c:v>
                </c:pt>
                <c:pt idx="2928">
                  <c:v>17395.7</c:v>
                </c:pt>
                <c:pt idx="2929">
                  <c:v>17100.39</c:v>
                </c:pt>
                <c:pt idx="2930">
                  <c:v>18371.189999999999</c:v>
                </c:pt>
                <c:pt idx="2931">
                  <c:v>13890.97</c:v>
                </c:pt>
                <c:pt idx="2932">
                  <c:v>13674.86</c:v>
                </c:pt>
                <c:pt idx="2933">
                  <c:v>17915.830000000002</c:v>
                </c:pt>
                <c:pt idx="2934">
                  <c:v>17045.87</c:v>
                </c:pt>
                <c:pt idx="2935">
                  <c:v>17343.16</c:v>
                </c:pt>
                <c:pt idx="2936">
                  <c:v>16308.4</c:v>
                </c:pt>
                <c:pt idx="2937">
                  <c:v>17823.72</c:v>
                </c:pt>
                <c:pt idx="2938">
                  <c:v>13301.03</c:v>
                </c:pt>
                <c:pt idx="2939">
                  <c:v>13922.39</c:v>
                </c:pt>
                <c:pt idx="2940">
                  <c:v>17936.39</c:v>
                </c:pt>
                <c:pt idx="2941">
                  <c:v>16376.91</c:v>
                </c:pt>
                <c:pt idx="2942">
                  <c:v>16928.490000000002</c:v>
                </c:pt>
                <c:pt idx="2943">
                  <c:v>16514.43</c:v>
                </c:pt>
                <c:pt idx="2944">
                  <c:v>18099.57</c:v>
                </c:pt>
                <c:pt idx="2945">
                  <c:v>13546.08</c:v>
                </c:pt>
                <c:pt idx="2946">
                  <c:v>14160.41</c:v>
                </c:pt>
                <c:pt idx="2947">
                  <c:v>15949.4</c:v>
                </c:pt>
                <c:pt idx="2948">
                  <c:v>16516.23</c:v>
                </c:pt>
                <c:pt idx="2949">
                  <c:v>15796.92</c:v>
                </c:pt>
                <c:pt idx="2950">
                  <c:v>17210.28</c:v>
                </c:pt>
                <c:pt idx="2951">
                  <c:v>21074.29</c:v>
                </c:pt>
                <c:pt idx="2952">
                  <c:v>16503.060000000001</c:v>
                </c:pt>
                <c:pt idx="2953">
                  <c:v>17656.86</c:v>
                </c:pt>
                <c:pt idx="2954">
                  <c:v>20138.95</c:v>
                </c:pt>
                <c:pt idx="2955">
                  <c:v>18041.650000000001</c:v>
                </c:pt>
                <c:pt idx="2956">
                  <c:v>17622.419999999998</c:v>
                </c:pt>
                <c:pt idx="2957">
                  <c:v>17021.34</c:v>
                </c:pt>
                <c:pt idx="2958">
                  <c:v>19098.48</c:v>
                </c:pt>
                <c:pt idx="2959">
                  <c:v>14002.59</c:v>
                </c:pt>
                <c:pt idx="2960">
                  <c:v>14147.51</c:v>
                </c:pt>
                <c:pt idx="2961">
                  <c:v>17687.16</c:v>
                </c:pt>
                <c:pt idx="2962">
                  <c:v>16870.95</c:v>
                </c:pt>
                <c:pt idx="2963">
                  <c:v>16599.62</c:v>
                </c:pt>
                <c:pt idx="2964">
                  <c:v>17772.02</c:v>
                </c:pt>
                <c:pt idx="2965">
                  <c:v>18381.310000000001</c:v>
                </c:pt>
                <c:pt idx="2966">
                  <c:v>14752.84</c:v>
                </c:pt>
                <c:pt idx="2967">
                  <c:v>14278.22</c:v>
                </c:pt>
                <c:pt idx="2968">
                  <c:v>17063.830000000002</c:v>
                </c:pt>
                <c:pt idx="2969">
                  <c:v>17281.89</c:v>
                </c:pt>
                <c:pt idx="2970">
                  <c:v>16159.55</c:v>
                </c:pt>
                <c:pt idx="2971">
                  <c:v>17107.7</c:v>
                </c:pt>
                <c:pt idx="2972">
                  <c:v>17810.73</c:v>
                </c:pt>
                <c:pt idx="2973">
                  <c:v>15593.59</c:v>
                </c:pt>
                <c:pt idx="2974">
                  <c:v>15040.25</c:v>
                </c:pt>
                <c:pt idx="2975">
                  <c:v>18054.54</c:v>
                </c:pt>
                <c:pt idx="2976">
                  <c:v>17792.91</c:v>
                </c:pt>
                <c:pt idx="2977">
                  <c:v>16707.75</c:v>
                </c:pt>
                <c:pt idx="2978">
                  <c:v>17422.509999999998</c:v>
                </c:pt>
                <c:pt idx="2979">
                  <c:v>18617.2</c:v>
                </c:pt>
                <c:pt idx="2980">
                  <c:v>14707.33</c:v>
                </c:pt>
                <c:pt idx="2981">
                  <c:v>17509.79</c:v>
                </c:pt>
                <c:pt idx="2982">
                  <c:v>21133.39</c:v>
                </c:pt>
                <c:pt idx="2983">
                  <c:v>21237.39</c:v>
                </c:pt>
                <c:pt idx="2984">
                  <c:v>20009.71</c:v>
                </c:pt>
                <c:pt idx="2985">
                  <c:v>17781.39</c:v>
                </c:pt>
                <c:pt idx="2986">
                  <c:v>19706.009999999998</c:v>
                </c:pt>
                <c:pt idx="2987">
                  <c:v>15613.69</c:v>
                </c:pt>
                <c:pt idx="2988">
                  <c:v>14941.63</c:v>
                </c:pt>
                <c:pt idx="2989">
                  <c:v>20548.79</c:v>
                </c:pt>
                <c:pt idx="2990">
                  <c:v>19141.61</c:v>
                </c:pt>
                <c:pt idx="2991">
                  <c:v>18639.43</c:v>
                </c:pt>
                <c:pt idx="2992">
                  <c:v>18348.28</c:v>
                </c:pt>
                <c:pt idx="2993">
                  <c:v>19656.849999999999</c:v>
                </c:pt>
                <c:pt idx="2994">
                  <c:v>15039.55</c:v>
                </c:pt>
                <c:pt idx="2995">
                  <c:v>15604.96</c:v>
                </c:pt>
                <c:pt idx="2996">
                  <c:v>19365.72</c:v>
                </c:pt>
                <c:pt idx="2997">
                  <c:v>19389.32</c:v>
                </c:pt>
                <c:pt idx="2998">
                  <c:v>20341.490000000002</c:v>
                </c:pt>
                <c:pt idx="2999">
                  <c:v>20045.78</c:v>
                </c:pt>
                <c:pt idx="3000">
                  <c:v>20598.07</c:v>
                </c:pt>
                <c:pt idx="3001">
                  <c:v>16598.810000000001</c:v>
                </c:pt>
                <c:pt idx="3002">
                  <c:v>16868.75</c:v>
                </c:pt>
                <c:pt idx="3003">
                  <c:v>22287.08</c:v>
                </c:pt>
                <c:pt idx="3004">
                  <c:v>20475.84</c:v>
                </c:pt>
                <c:pt idx="3005">
                  <c:v>19332.7</c:v>
                </c:pt>
                <c:pt idx="3006">
                  <c:v>20433.240000000002</c:v>
                </c:pt>
                <c:pt idx="3007">
                  <c:v>20815.89</c:v>
                </c:pt>
                <c:pt idx="3008">
                  <c:v>16157.08</c:v>
                </c:pt>
                <c:pt idx="3009">
                  <c:v>15303.63</c:v>
                </c:pt>
                <c:pt idx="3010">
                  <c:v>19172.71</c:v>
                </c:pt>
                <c:pt idx="3011">
                  <c:v>19036.919999999998</c:v>
                </c:pt>
                <c:pt idx="3012">
                  <c:v>20241.98</c:v>
                </c:pt>
                <c:pt idx="3013">
                  <c:v>20172.53</c:v>
                </c:pt>
                <c:pt idx="3014">
                  <c:v>21596.07</c:v>
                </c:pt>
                <c:pt idx="3015">
                  <c:v>17910.169999999998</c:v>
                </c:pt>
                <c:pt idx="3016">
                  <c:v>14217.85</c:v>
                </c:pt>
                <c:pt idx="3017">
                  <c:v>17056.68</c:v>
                </c:pt>
                <c:pt idx="3018">
                  <c:v>17435.439999999999</c:v>
                </c:pt>
                <c:pt idx="3019">
                  <c:v>17967.22</c:v>
                </c:pt>
                <c:pt idx="3020">
                  <c:v>18311.09</c:v>
                </c:pt>
                <c:pt idx="3021">
                  <c:v>18843.05</c:v>
                </c:pt>
                <c:pt idx="3022">
                  <c:v>14805.31</c:v>
                </c:pt>
                <c:pt idx="3023">
                  <c:v>15635.31</c:v>
                </c:pt>
                <c:pt idx="3024">
                  <c:v>17566.990000000002</c:v>
                </c:pt>
                <c:pt idx="3025">
                  <c:v>17468.66</c:v>
                </c:pt>
                <c:pt idx="3026">
                  <c:v>17775.64</c:v>
                </c:pt>
                <c:pt idx="3027">
                  <c:v>17912.86</c:v>
                </c:pt>
                <c:pt idx="3028">
                  <c:v>20700.150000000001</c:v>
                </c:pt>
                <c:pt idx="3029">
                  <c:v>16545.900000000001</c:v>
                </c:pt>
                <c:pt idx="3030">
                  <c:v>15074.46</c:v>
                </c:pt>
                <c:pt idx="3031">
                  <c:v>20030.310000000001</c:v>
                </c:pt>
                <c:pt idx="3032">
                  <c:v>19706.650000000001</c:v>
                </c:pt>
                <c:pt idx="3033">
                  <c:v>18869.2</c:v>
                </c:pt>
                <c:pt idx="3034">
                  <c:v>19476.54</c:v>
                </c:pt>
                <c:pt idx="3035">
                  <c:v>21258.15</c:v>
                </c:pt>
                <c:pt idx="3036">
                  <c:v>16326.02</c:v>
                </c:pt>
                <c:pt idx="3037">
                  <c:v>16625.240000000002</c:v>
                </c:pt>
                <c:pt idx="3038">
                  <c:v>19852.71</c:v>
                </c:pt>
                <c:pt idx="3039">
                  <c:v>17565.11</c:v>
                </c:pt>
                <c:pt idx="3040">
                  <c:v>17998.23</c:v>
                </c:pt>
                <c:pt idx="3041">
                  <c:v>17757.900000000001</c:v>
                </c:pt>
                <c:pt idx="3042">
                  <c:v>21594.28</c:v>
                </c:pt>
                <c:pt idx="3043">
                  <c:v>17413.71</c:v>
                </c:pt>
                <c:pt idx="3044">
                  <c:v>18516.25</c:v>
                </c:pt>
                <c:pt idx="3045">
                  <c:v>21003.61</c:v>
                </c:pt>
                <c:pt idx="3046">
                  <c:v>19118.919999999998</c:v>
                </c:pt>
                <c:pt idx="3047">
                  <c:v>18290.07</c:v>
                </c:pt>
                <c:pt idx="3048">
                  <c:v>18712.3</c:v>
                </c:pt>
                <c:pt idx="3049">
                  <c:v>20618.189999999999</c:v>
                </c:pt>
                <c:pt idx="3050">
                  <c:v>14944.67</c:v>
                </c:pt>
                <c:pt idx="3051">
                  <c:v>15311.75</c:v>
                </c:pt>
                <c:pt idx="3052">
                  <c:v>19240.330000000002</c:v>
                </c:pt>
                <c:pt idx="3053">
                  <c:v>18042.02</c:v>
                </c:pt>
                <c:pt idx="3054">
                  <c:v>19438.12</c:v>
                </c:pt>
                <c:pt idx="3055">
                  <c:v>18001.55</c:v>
                </c:pt>
                <c:pt idx="3056">
                  <c:v>19646.63</c:v>
                </c:pt>
                <c:pt idx="3057">
                  <c:v>15818.28</c:v>
                </c:pt>
                <c:pt idx="3058">
                  <c:v>15038.64</c:v>
                </c:pt>
                <c:pt idx="3059">
                  <c:v>19180.95</c:v>
                </c:pt>
                <c:pt idx="3060">
                  <c:v>18652.41</c:v>
                </c:pt>
                <c:pt idx="3061">
                  <c:v>18291.95</c:v>
                </c:pt>
                <c:pt idx="3062">
                  <c:v>18424.689999999999</c:v>
                </c:pt>
                <c:pt idx="3063">
                  <c:v>19661.16</c:v>
                </c:pt>
                <c:pt idx="3064">
                  <c:v>14865.52</c:v>
                </c:pt>
                <c:pt idx="3065">
                  <c:v>15883.24</c:v>
                </c:pt>
                <c:pt idx="3066">
                  <c:v>20373.02</c:v>
                </c:pt>
                <c:pt idx="3067">
                  <c:v>18486.650000000001</c:v>
                </c:pt>
                <c:pt idx="3068">
                  <c:v>18601.310000000001</c:v>
                </c:pt>
                <c:pt idx="3069">
                  <c:v>18860.419999999998</c:v>
                </c:pt>
                <c:pt idx="3070">
                  <c:v>19250.990000000002</c:v>
                </c:pt>
                <c:pt idx="3071">
                  <c:v>16648.68</c:v>
                </c:pt>
                <c:pt idx="3072">
                  <c:v>15817.13</c:v>
                </c:pt>
                <c:pt idx="3073">
                  <c:v>23350.52</c:v>
                </c:pt>
                <c:pt idx="3074">
                  <c:v>20780.66</c:v>
                </c:pt>
                <c:pt idx="3075">
                  <c:v>22780.03</c:v>
                </c:pt>
                <c:pt idx="3076">
                  <c:v>22104.17</c:v>
                </c:pt>
                <c:pt idx="3077">
                  <c:v>20598.580000000002</c:v>
                </c:pt>
                <c:pt idx="3078">
                  <c:v>16098.44</c:v>
                </c:pt>
                <c:pt idx="3079">
                  <c:v>15826.51</c:v>
                </c:pt>
                <c:pt idx="3080">
                  <c:v>20399.93</c:v>
                </c:pt>
                <c:pt idx="3081">
                  <c:v>18863.29</c:v>
                </c:pt>
                <c:pt idx="3082">
                  <c:v>17675.7</c:v>
                </c:pt>
                <c:pt idx="3083">
                  <c:v>18154.63</c:v>
                </c:pt>
                <c:pt idx="3084">
                  <c:v>20182.2</c:v>
                </c:pt>
                <c:pt idx="3085">
                  <c:v>16141.26</c:v>
                </c:pt>
                <c:pt idx="3086">
                  <c:v>15934.68</c:v>
                </c:pt>
                <c:pt idx="3087">
                  <c:v>20410.32</c:v>
                </c:pt>
                <c:pt idx="3088">
                  <c:v>17684.7</c:v>
                </c:pt>
                <c:pt idx="3089">
                  <c:v>18865.11</c:v>
                </c:pt>
                <c:pt idx="3090">
                  <c:v>17759.72</c:v>
                </c:pt>
                <c:pt idx="3091">
                  <c:v>20715.05</c:v>
                </c:pt>
                <c:pt idx="3092">
                  <c:v>15913.33</c:v>
                </c:pt>
                <c:pt idx="3093">
                  <c:v>16203.03</c:v>
                </c:pt>
                <c:pt idx="3094">
                  <c:v>19236.580000000002</c:v>
                </c:pt>
                <c:pt idx="3095">
                  <c:v>19505.21</c:v>
                </c:pt>
                <c:pt idx="3096">
                  <c:v>19371.23</c:v>
                </c:pt>
                <c:pt idx="3097">
                  <c:v>19113.04</c:v>
                </c:pt>
                <c:pt idx="3098">
                  <c:v>20213.939999999999</c:v>
                </c:pt>
                <c:pt idx="3099">
                  <c:v>16293.33</c:v>
                </c:pt>
                <c:pt idx="3100">
                  <c:v>15568.21</c:v>
                </c:pt>
                <c:pt idx="3101">
                  <c:v>20205.53</c:v>
                </c:pt>
                <c:pt idx="3102">
                  <c:v>19713.72</c:v>
                </c:pt>
                <c:pt idx="3103">
                  <c:v>19387.509999999998</c:v>
                </c:pt>
                <c:pt idx="3104">
                  <c:v>21129</c:v>
                </c:pt>
                <c:pt idx="3105">
                  <c:v>23564.19</c:v>
                </c:pt>
                <c:pt idx="3106">
                  <c:v>17864.11</c:v>
                </c:pt>
                <c:pt idx="3107">
                  <c:v>19096.580000000002</c:v>
                </c:pt>
                <c:pt idx="3108">
                  <c:v>20365.61</c:v>
                </c:pt>
                <c:pt idx="3109">
                  <c:v>18075.12</c:v>
                </c:pt>
                <c:pt idx="3110">
                  <c:v>18481.87</c:v>
                </c:pt>
                <c:pt idx="3111">
                  <c:v>18986.63</c:v>
                </c:pt>
                <c:pt idx="3112">
                  <c:v>20508.39</c:v>
                </c:pt>
                <c:pt idx="3113">
                  <c:v>15582.07</c:v>
                </c:pt>
                <c:pt idx="3114">
                  <c:v>16500.349999999999</c:v>
                </c:pt>
                <c:pt idx="3115">
                  <c:v>20251.22</c:v>
                </c:pt>
                <c:pt idx="3116">
                  <c:v>19037.68</c:v>
                </c:pt>
                <c:pt idx="3117">
                  <c:v>18715.099999999999</c:v>
                </c:pt>
                <c:pt idx="3118">
                  <c:v>19751.75</c:v>
                </c:pt>
                <c:pt idx="3119">
                  <c:v>21632.22</c:v>
                </c:pt>
                <c:pt idx="3120">
                  <c:v>15999.1</c:v>
                </c:pt>
                <c:pt idx="3121">
                  <c:v>15925.22</c:v>
                </c:pt>
                <c:pt idx="3122">
                  <c:v>20388.939999999999</c:v>
                </c:pt>
                <c:pt idx="3123">
                  <c:v>18943.61</c:v>
                </c:pt>
                <c:pt idx="3124">
                  <c:v>19069.21</c:v>
                </c:pt>
                <c:pt idx="3125">
                  <c:v>19574.2</c:v>
                </c:pt>
                <c:pt idx="3126">
                  <c:v>19584.34</c:v>
                </c:pt>
                <c:pt idx="3127">
                  <c:v>17034.23</c:v>
                </c:pt>
                <c:pt idx="3128">
                  <c:v>16318.65</c:v>
                </c:pt>
                <c:pt idx="3129">
                  <c:v>19870.36</c:v>
                </c:pt>
                <c:pt idx="3130">
                  <c:v>19098.02</c:v>
                </c:pt>
                <c:pt idx="3131">
                  <c:v>19127.7</c:v>
                </c:pt>
                <c:pt idx="3132">
                  <c:v>20877.96</c:v>
                </c:pt>
                <c:pt idx="3133">
                  <c:v>24771.040000000001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A1-45EF-B9C3-81D1CD8A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689550"/>
        <c:axId val="91339791"/>
      </c:lineChart>
      <c:catAx>
        <c:axId val="226895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39791"/>
        <c:crosses val="autoZero"/>
        <c:auto val="1"/>
        <c:lblAlgn val="ctr"/>
        <c:lblOffset val="100"/>
        <c:noMultiLvlLbl val="0"/>
      </c:catAx>
      <c:valAx>
        <c:axId val="91339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89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Day-of-Week Volume (Avg)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Daily_Analysis!$L$10</c:f>
              <c:strCache>
                <c:ptCount val="1"/>
                <c:pt idx="0">
                  <c:v>Avg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Daily_Analysis!$K$11:$K$17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Daily_Analysis!$L$11:$L$17</c:f>
              <c:numCache>
                <c:formatCode>#,##0</c:formatCode>
                <c:ptCount val="7"/>
                <c:pt idx="0">
                  <c:v>160.73609374999984</c:v>
                </c:pt>
                <c:pt idx="1">
                  <c:v>153.72627232142858</c:v>
                </c:pt>
                <c:pt idx="2">
                  <c:v>153.14678571428576</c:v>
                </c:pt>
                <c:pt idx="3">
                  <c:v>153.65285714285716</c:v>
                </c:pt>
                <c:pt idx="4">
                  <c:v>166.39078125000006</c:v>
                </c:pt>
                <c:pt idx="5">
                  <c:v>129.86579418344513</c:v>
                </c:pt>
                <c:pt idx="6">
                  <c:v>129.70834451901561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0-45D4-AF75-0C6F5DD39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169"/>
        <c:axId val="41988679"/>
      </c:barChart>
      <c:catAx>
        <c:axId val="17401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88679"/>
        <c:crosses val="autoZero"/>
        <c:auto val="1"/>
        <c:lblAlgn val="ctr"/>
        <c:lblOffset val="100"/>
        <c:noMultiLvlLbl val="0"/>
      </c:catAx>
      <c:valAx>
        <c:axId val="41988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0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Weekend vs Weekday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Daily_Analysis!$P$10</c:f>
              <c:strCache>
                <c:ptCount val="1"/>
                <c:pt idx="0">
                  <c:v>Avg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Daily_Analysis!$O$11:$O$12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Daily_Analysis!$P$11:$P$12</c:f>
              <c:numCache>
                <c:formatCode>#,##0</c:formatCode>
                <c:ptCount val="2"/>
                <c:pt idx="0">
                  <c:v>157.53055803571436</c:v>
                </c:pt>
                <c:pt idx="1">
                  <c:v>129.7870693512304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6-47D5-9CAD-10660605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13551"/>
        <c:axId val="8042855"/>
      </c:barChart>
      <c:catAx>
        <c:axId val="73513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42855"/>
        <c:crosses val="autoZero"/>
        <c:auto val="1"/>
        <c:lblAlgn val="ctr"/>
        <c:lblOffset val="100"/>
        <c:noMultiLvlLbl val="0"/>
      </c:catAx>
      <c:valAx>
        <c:axId val="8042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13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Average Daily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Daily_Analysis!$T$10</c:f>
              <c:strCache>
                <c:ptCount val="1"/>
                <c:pt idx="0">
                  <c:v>Avg Daily Volume (Mn)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Daily_Analysis!$S$11:$S$113</c:f>
              <c:strCache>
                <c:ptCount val="103"/>
                <c:pt idx="0">
                  <c:v>2016-08</c:v>
                </c:pt>
                <c:pt idx="1">
                  <c:v>2016-09</c:v>
                </c:pt>
                <c:pt idx="2">
                  <c:v>2016-10</c:v>
                </c:pt>
                <c:pt idx="3">
                  <c:v>2016-11</c:v>
                </c:pt>
                <c:pt idx="4">
                  <c:v>2016-12</c:v>
                </c:pt>
                <c:pt idx="5">
                  <c:v>2017-01</c:v>
                </c:pt>
                <c:pt idx="6">
                  <c:v>2017-02</c:v>
                </c:pt>
                <c:pt idx="7">
                  <c:v>2017-03</c:v>
                </c:pt>
                <c:pt idx="8">
                  <c:v>2017-04</c:v>
                </c:pt>
                <c:pt idx="9">
                  <c:v>2017-05</c:v>
                </c:pt>
                <c:pt idx="10">
                  <c:v>2017-06</c:v>
                </c:pt>
                <c:pt idx="11">
                  <c:v>2017-07</c:v>
                </c:pt>
                <c:pt idx="12">
                  <c:v>2017-08</c:v>
                </c:pt>
                <c:pt idx="13">
                  <c:v>2017-09</c:v>
                </c:pt>
                <c:pt idx="14">
                  <c:v>2017-10</c:v>
                </c:pt>
                <c:pt idx="15">
                  <c:v>2017-11</c:v>
                </c:pt>
                <c:pt idx="16">
                  <c:v>2017-12</c:v>
                </c:pt>
                <c:pt idx="17">
                  <c:v>2018-01</c:v>
                </c:pt>
                <c:pt idx="18">
                  <c:v>2018-02</c:v>
                </c:pt>
                <c:pt idx="19">
                  <c:v>2018-03</c:v>
                </c:pt>
                <c:pt idx="20">
                  <c:v>2018-04</c:v>
                </c:pt>
                <c:pt idx="21">
                  <c:v>2018-05</c:v>
                </c:pt>
                <c:pt idx="22">
                  <c:v>2018-06</c:v>
                </c:pt>
                <c:pt idx="23">
                  <c:v>2018-07</c:v>
                </c:pt>
                <c:pt idx="24">
                  <c:v>2018-08</c:v>
                </c:pt>
                <c:pt idx="25">
                  <c:v>2018-09</c:v>
                </c:pt>
                <c:pt idx="26">
                  <c:v>2018-10</c:v>
                </c:pt>
                <c:pt idx="27">
                  <c:v>2018-11</c:v>
                </c:pt>
                <c:pt idx="28">
                  <c:v>2018-12</c:v>
                </c:pt>
                <c:pt idx="29">
                  <c:v>2019-01</c:v>
                </c:pt>
                <c:pt idx="30">
                  <c:v>2019-02</c:v>
                </c:pt>
                <c:pt idx="31">
                  <c:v>2019-03</c:v>
                </c:pt>
                <c:pt idx="32">
                  <c:v>2019-04</c:v>
                </c:pt>
                <c:pt idx="33">
                  <c:v>2019-05</c:v>
                </c:pt>
                <c:pt idx="34">
                  <c:v>2019-06</c:v>
                </c:pt>
                <c:pt idx="35">
                  <c:v>2019-07</c:v>
                </c:pt>
                <c:pt idx="36">
                  <c:v>2019-08</c:v>
                </c:pt>
                <c:pt idx="37">
                  <c:v>2019-09</c:v>
                </c:pt>
                <c:pt idx="38">
                  <c:v>2019-10</c:v>
                </c:pt>
                <c:pt idx="39">
                  <c:v>2019-11</c:v>
                </c:pt>
                <c:pt idx="40">
                  <c:v>2019-12</c:v>
                </c:pt>
                <c:pt idx="41">
                  <c:v>2020-01</c:v>
                </c:pt>
                <c:pt idx="42">
                  <c:v>2020-02</c:v>
                </c:pt>
                <c:pt idx="43">
                  <c:v>2020-03</c:v>
                </c:pt>
                <c:pt idx="44">
                  <c:v>2020-04</c:v>
                </c:pt>
                <c:pt idx="45">
                  <c:v>2020-05</c:v>
                </c:pt>
                <c:pt idx="46">
                  <c:v>2020-06</c:v>
                </c:pt>
                <c:pt idx="47">
                  <c:v>2020-07</c:v>
                </c:pt>
                <c:pt idx="48">
                  <c:v>2020-08</c:v>
                </c:pt>
                <c:pt idx="49">
                  <c:v>2020-09</c:v>
                </c:pt>
                <c:pt idx="50">
                  <c:v>2020-10</c:v>
                </c:pt>
                <c:pt idx="51">
                  <c:v>2020-11</c:v>
                </c:pt>
                <c:pt idx="52">
                  <c:v>2020-12</c:v>
                </c:pt>
                <c:pt idx="53">
                  <c:v>2021-01</c:v>
                </c:pt>
                <c:pt idx="54">
                  <c:v>2021-02</c:v>
                </c:pt>
                <c:pt idx="55">
                  <c:v>2021-03</c:v>
                </c:pt>
                <c:pt idx="56">
                  <c:v>2021-04</c:v>
                </c:pt>
                <c:pt idx="57">
                  <c:v>2021-05</c:v>
                </c:pt>
                <c:pt idx="58">
                  <c:v>2021-06</c:v>
                </c:pt>
                <c:pt idx="59">
                  <c:v>2021-07</c:v>
                </c:pt>
                <c:pt idx="60">
                  <c:v>2021-08</c:v>
                </c:pt>
                <c:pt idx="61">
                  <c:v>2021-09</c:v>
                </c:pt>
                <c:pt idx="62">
                  <c:v>2021-10</c:v>
                </c:pt>
                <c:pt idx="63">
                  <c:v>2021-11</c:v>
                </c:pt>
                <c:pt idx="64">
                  <c:v>2021-12</c:v>
                </c:pt>
                <c:pt idx="65">
                  <c:v>2022-01</c:v>
                </c:pt>
                <c:pt idx="66">
                  <c:v>2022-02</c:v>
                </c:pt>
                <c:pt idx="67">
                  <c:v>2022-03</c:v>
                </c:pt>
                <c:pt idx="68">
                  <c:v>2022-04</c:v>
                </c:pt>
                <c:pt idx="69">
                  <c:v>2022-05</c:v>
                </c:pt>
                <c:pt idx="70">
                  <c:v>2022-06</c:v>
                </c:pt>
                <c:pt idx="71">
                  <c:v>2022-07</c:v>
                </c:pt>
                <c:pt idx="72">
                  <c:v>2022-08</c:v>
                </c:pt>
                <c:pt idx="73">
                  <c:v>2022-09</c:v>
                </c:pt>
                <c:pt idx="74">
                  <c:v>2022-10</c:v>
                </c:pt>
                <c:pt idx="75">
                  <c:v>2022-11</c:v>
                </c:pt>
                <c:pt idx="76">
                  <c:v>2022-12</c:v>
                </c:pt>
                <c:pt idx="77">
                  <c:v>2023-01</c:v>
                </c:pt>
                <c:pt idx="78">
                  <c:v>2023-02</c:v>
                </c:pt>
                <c:pt idx="79">
                  <c:v>2023-03</c:v>
                </c:pt>
                <c:pt idx="80">
                  <c:v>2023-04</c:v>
                </c:pt>
                <c:pt idx="81">
                  <c:v>2023-05</c:v>
                </c:pt>
                <c:pt idx="82">
                  <c:v>2023-06</c:v>
                </c:pt>
                <c:pt idx="83">
                  <c:v>2023-07</c:v>
                </c:pt>
                <c:pt idx="84">
                  <c:v>2023-08</c:v>
                </c:pt>
                <c:pt idx="85">
                  <c:v>2023-09</c:v>
                </c:pt>
                <c:pt idx="86">
                  <c:v>2023-10</c:v>
                </c:pt>
                <c:pt idx="87">
                  <c:v>2023-11</c:v>
                </c:pt>
                <c:pt idx="88">
                  <c:v>2023-12</c:v>
                </c:pt>
                <c:pt idx="89">
                  <c:v>2024-01</c:v>
                </c:pt>
                <c:pt idx="90">
                  <c:v>2024-02</c:v>
                </c:pt>
                <c:pt idx="91">
                  <c:v>2024-03</c:v>
                </c:pt>
                <c:pt idx="92">
                  <c:v>2024-04</c:v>
                </c:pt>
                <c:pt idx="93">
                  <c:v>2024-05</c:v>
                </c:pt>
                <c:pt idx="94">
                  <c:v>2024-06</c:v>
                </c:pt>
                <c:pt idx="95">
                  <c:v>2024-07</c:v>
                </c:pt>
                <c:pt idx="96">
                  <c:v>2024-08</c:v>
                </c:pt>
                <c:pt idx="97">
                  <c:v>2024-09</c:v>
                </c:pt>
                <c:pt idx="98">
                  <c:v>2024-10</c:v>
                </c:pt>
                <c:pt idx="99">
                  <c:v>2024-11</c:v>
                </c:pt>
                <c:pt idx="100">
                  <c:v>2024-12</c:v>
                </c:pt>
                <c:pt idx="101">
                  <c:v>2025-01</c:v>
                </c:pt>
                <c:pt idx="102">
                  <c:v>2025-02</c:v>
                </c:pt>
              </c:strCache>
            </c:strRef>
          </c:cat>
          <c:val>
            <c:numRef>
              <c:f>Daily_Analysis!$T$11:$T$113</c:f>
              <c:numCache>
                <c:formatCode>#,##0</c:formatCode>
                <c:ptCount val="103"/>
                <c:pt idx="0">
                  <c:v>0</c:v>
                </c:pt>
                <c:pt idx="1">
                  <c:v>1.3333333333333333E-3</c:v>
                </c:pt>
                <c:pt idx="2">
                  <c:v>1.0000000000000004E-2</c:v>
                </c:pt>
                <c:pt idx="3">
                  <c:v>1.7666666666666671E-2</c:v>
                </c:pt>
                <c:pt idx="4">
                  <c:v>6.4516129032258104E-2</c:v>
                </c:pt>
                <c:pt idx="5">
                  <c:v>0.13580645161290322</c:v>
                </c:pt>
                <c:pt idx="6">
                  <c:v>0.14928571428571427</c:v>
                </c:pt>
                <c:pt idx="7">
                  <c:v>0.2</c:v>
                </c:pt>
                <c:pt idx="8">
                  <c:v>0.22633333333333341</c:v>
                </c:pt>
                <c:pt idx="9">
                  <c:v>0.29967741935483866</c:v>
                </c:pt>
                <c:pt idx="10">
                  <c:v>0.34299999999999997</c:v>
                </c:pt>
                <c:pt idx="11">
                  <c:v>0.52774193548387094</c:v>
                </c:pt>
                <c:pt idx="12">
                  <c:v>0.99612903225806448</c:v>
                </c:pt>
                <c:pt idx="13">
                  <c:v>1.7660000000000005</c:v>
                </c:pt>
                <c:pt idx="14">
                  <c:v>2.5248387096774194</c:v>
                </c:pt>
                <c:pt idx="15">
                  <c:v>3.5989999999999989</c:v>
                </c:pt>
                <c:pt idx="16">
                  <c:v>4.6309677419354847</c:v>
                </c:pt>
                <c:pt idx="17">
                  <c:v>4.8483870967741929</c:v>
                </c:pt>
                <c:pt idx="18">
                  <c:v>6.0957142857142852</c:v>
                </c:pt>
                <c:pt idx="19">
                  <c:v>5.7393548387096764</c:v>
                </c:pt>
                <c:pt idx="20">
                  <c:v>6.3220000000000001</c:v>
                </c:pt>
                <c:pt idx="21">
                  <c:v>7.1851612903225801</c:v>
                </c:pt>
                <c:pt idx="22">
                  <c:v>8.1723333333333326</c:v>
                </c:pt>
                <c:pt idx="23">
                  <c:v>7.5193548387096758</c:v>
                </c:pt>
                <c:pt idx="24">
                  <c:v>10.040967741935486</c:v>
                </c:pt>
                <c:pt idx="25">
                  <c:v>13.423</c:v>
                </c:pt>
                <c:pt idx="26">
                  <c:v>16.141935483870963</c:v>
                </c:pt>
                <c:pt idx="27">
                  <c:v>18.166666666666668</c:v>
                </c:pt>
                <c:pt idx="28">
                  <c:v>19.902258064516129</c:v>
                </c:pt>
                <c:pt idx="29">
                  <c:v>22.01064516129032</c:v>
                </c:pt>
                <c:pt idx="30">
                  <c:v>23.943214285714284</c:v>
                </c:pt>
                <c:pt idx="31">
                  <c:v>25.662580645161292</c:v>
                </c:pt>
                <c:pt idx="32">
                  <c:v>25.931333333333335</c:v>
                </c:pt>
                <c:pt idx="33">
                  <c:v>23.885483870967747</c:v>
                </c:pt>
                <c:pt idx="34">
                  <c:v>24.821333333333332</c:v>
                </c:pt>
                <c:pt idx="35">
                  <c:v>26.567096774193551</c:v>
                </c:pt>
                <c:pt idx="36">
                  <c:v>29.712258064516135</c:v>
                </c:pt>
                <c:pt idx="37">
                  <c:v>31.660333333333327</c:v>
                </c:pt>
                <c:pt idx="38">
                  <c:v>38.316774193548383</c:v>
                </c:pt>
                <c:pt idx="39">
                  <c:v>41.701999999999998</c:v>
                </c:pt>
                <c:pt idx="40">
                  <c:v>42.124838709677412</c:v>
                </c:pt>
                <c:pt idx="41">
                  <c:v>42.130645161290339</c:v>
                </c:pt>
                <c:pt idx="42">
                  <c:v>45.196896551724151</c:v>
                </c:pt>
                <c:pt idx="43">
                  <c:v>40.011935483870978</c:v>
                </c:pt>
                <c:pt idx="44">
                  <c:v>32.935333333333332</c:v>
                </c:pt>
                <c:pt idx="45">
                  <c:v>39.571612903225798</c:v>
                </c:pt>
                <c:pt idx="46">
                  <c:v>44.915666666666652</c:v>
                </c:pt>
                <c:pt idx="47">
                  <c:v>48.917741935483882</c:v>
                </c:pt>
                <c:pt idx="48">
                  <c:v>51.553225806451607</c:v>
                </c:pt>
                <c:pt idx="49">
                  <c:v>60.498333333333349</c:v>
                </c:pt>
                <c:pt idx="50">
                  <c:v>68.530645161290337</c:v>
                </c:pt>
                <c:pt idx="51">
                  <c:v>75.362666666666669</c:v>
                </c:pt>
                <c:pt idx="52">
                  <c:v>71.545806451612904</c:v>
                </c:pt>
                <c:pt idx="53">
                  <c:v>73.987419354838678</c:v>
                </c:pt>
                <c:pt idx="54">
                  <c:v>82.049999999999983</c:v>
                </c:pt>
                <c:pt idx="55">
                  <c:v>88.647741935483879</c:v>
                </c:pt>
                <c:pt idx="56">
                  <c:v>88.53100000000002</c:v>
                </c:pt>
                <c:pt idx="57">
                  <c:v>81.109354838709677</c:v>
                </c:pt>
                <c:pt idx="58">
                  <c:v>92.748666666666679</c:v>
                </c:pt>
                <c:pt idx="59">
                  <c:v>103.31225806451616</c:v>
                </c:pt>
                <c:pt idx="60">
                  <c:v>114.20935483870966</c:v>
                </c:pt>
                <c:pt idx="61">
                  <c:v>121.29266666666666</c:v>
                </c:pt>
                <c:pt idx="62">
                  <c:v>139.31709677419357</c:v>
                </c:pt>
                <c:pt idx="63">
                  <c:v>144.69200000000001</c:v>
                </c:pt>
                <c:pt idx="64">
                  <c:v>147.78548387096768</c:v>
                </c:pt>
                <c:pt idx="65">
                  <c:v>147.40096774193549</c:v>
                </c:pt>
                <c:pt idx="66">
                  <c:v>160.82642857142855</c:v>
                </c:pt>
                <c:pt idx="67">
                  <c:v>172.87193548387094</c:v>
                </c:pt>
                <c:pt idx="68">
                  <c:v>184.59599999999998</c:v>
                </c:pt>
                <c:pt idx="69">
                  <c:v>191.09193548387088</c:v>
                </c:pt>
                <c:pt idx="70">
                  <c:v>194.58100000000002</c:v>
                </c:pt>
                <c:pt idx="71">
                  <c:v>199.99580645161294</c:v>
                </c:pt>
                <c:pt idx="72">
                  <c:v>212.72193548387094</c:v>
                </c:pt>
                <c:pt idx="73">
                  <c:v>226.68566666666666</c:v>
                </c:pt>
                <c:pt idx="74">
                  <c:v>239.00419354838706</c:v>
                </c:pt>
                <c:pt idx="75">
                  <c:v>254.87300000000002</c:v>
                </c:pt>
                <c:pt idx="76">
                  <c:v>252.46387096774194</c:v>
                </c:pt>
                <c:pt idx="77">
                  <c:v>256.69935483870967</c:v>
                </c:pt>
                <c:pt idx="78">
                  <c:v>265.39750000000009</c:v>
                </c:pt>
                <c:pt idx="79">
                  <c:v>280.78612903225809</c:v>
                </c:pt>
                <c:pt idx="80">
                  <c:v>291.72966666666667</c:v>
                </c:pt>
                <c:pt idx="81">
                  <c:v>291.77967741935487</c:v>
                </c:pt>
                <c:pt idx="82">
                  <c:v>312.72433333333339</c:v>
                </c:pt>
                <c:pt idx="83">
                  <c:v>317.90161290322578</c:v>
                </c:pt>
                <c:pt idx="84">
                  <c:v>340.75032258064522</c:v>
                </c:pt>
                <c:pt idx="85">
                  <c:v>348.0053333333334</c:v>
                </c:pt>
                <c:pt idx="86">
                  <c:v>380.76774193548385</c:v>
                </c:pt>
                <c:pt idx="87">
                  <c:v>383.25833333333333</c:v>
                </c:pt>
                <c:pt idx="88">
                  <c:v>386.73645161290318</c:v>
                </c:pt>
                <c:pt idx="89">
                  <c:v>398.15645161290337</c:v>
                </c:pt>
                <c:pt idx="90">
                  <c:v>393.61793103448269</c:v>
                </c:pt>
                <c:pt idx="91">
                  <c:v>423.50935483870973</c:v>
                </c:pt>
                <c:pt idx="92">
                  <c:v>446.28066666666678</c:v>
                </c:pt>
                <c:pt idx="93">
                  <c:v>452.46612903225798</c:v>
                </c:pt>
                <c:pt idx="94">
                  <c:v>450.09500000000008</c:v>
                </c:pt>
                <c:pt idx="95">
                  <c:v>467.53903225806459</c:v>
                </c:pt>
                <c:pt idx="96">
                  <c:v>483.31354838709683</c:v>
                </c:pt>
                <c:pt idx="97">
                  <c:v>499.17400000000004</c:v>
                </c:pt>
                <c:pt idx="98">
                  <c:v>549.42322580645168</c:v>
                </c:pt>
                <c:pt idx="99">
                  <c:v>526.99800000000016</c:v>
                </c:pt>
                <c:pt idx="100">
                  <c:v>535.9064516129032</c:v>
                </c:pt>
                <c:pt idx="101">
                  <c:v>551.30193548387092</c:v>
                </c:pt>
                <c:pt idx="102">
                  <c:v>553.97892857142847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A0-44A4-97E0-2BAEC0063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840191"/>
        <c:axId val="22471352"/>
      </c:lineChart>
      <c:catAx>
        <c:axId val="518401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71352"/>
        <c:crosses val="autoZero"/>
        <c:auto val="1"/>
        <c:lblAlgn val="ctr"/>
        <c:lblOffset val="100"/>
        <c:noMultiLvlLbl val="0"/>
      </c:catAx>
      <c:valAx>
        <c:axId val="22471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40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Cases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Fraud_Analytics!$B$7</c:f>
              <c:strCache>
                <c:ptCount val="1"/>
                <c:pt idx="0">
                  <c:v>fraud_cases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Fraud_Analytics!$A$8:$A$13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Fraud_Analytics!$B$8:$B$13</c:f>
              <c:numCache>
                <c:formatCode>General</c:formatCode>
                <c:ptCount val="6"/>
                <c:pt idx="0">
                  <c:v>3086</c:v>
                </c:pt>
                <c:pt idx="1">
                  <c:v>4071</c:v>
                </c:pt>
                <c:pt idx="2">
                  <c:v>6523</c:v>
                </c:pt>
                <c:pt idx="3">
                  <c:v>14483</c:v>
                </c:pt>
                <c:pt idx="4">
                  <c:v>19520</c:v>
                </c:pt>
                <c:pt idx="5">
                  <c:v>15890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65-4160-B058-E8E453F9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611458"/>
        <c:axId val="25877412"/>
      </c:lineChart>
      <c:catAx>
        <c:axId val="20611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77412"/>
        <c:crosses val="autoZero"/>
        <c:auto val="1"/>
        <c:lblAlgn val="ctr"/>
        <c:lblOffset val="100"/>
        <c:noMultiLvlLbl val="0"/>
      </c:catAx>
      <c:valAx>
        <c:axId val="25877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11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Value Trend (₹Cr)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Fraud_Analytics!$C$7</c:f>
              <c:strCache>
                <c:ptCount val="1"/>
                <c:pt idx="0">
                  <c:v>fraud_value_crores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Fraud_Analytics!$A$8:$A$13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Fraud_Analytics!$C$8:$C$13</c:f>
              <c:numCache>
                <c:formatCode>General</c:formatCode>
                <c:ptCount val="6"/>
                <c:pt idx="0">
                  <c:v>128</c:v>
                </c:pt>
                <c:pt idx="1">
                  <c:v>155</c:v>
                </c:pt>
                <c:pt idx="2">
                  <c:v>253</c:v>
                </c:pt>
                <c:pt idx="3">
                  <c:v>573</c:v>
                </c:pt>
                <c:pt idx="4">
                  <c:v>724</c:v>
                </c:pt>
                <c:pt idx="5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4B-44EA-93CA-938F15CEF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463979"/>
        <c:axId val="33033136"/>
      </c:lineChart>
      <c:catAx>
        <c:axId val="95463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33136"/>
        <c:crosses val="autoZero"/>
        <c:auto val="1"/>
        <c:lblAlgn val="ctr"/>
        <c:lblOffset val="100"/>
        <c:noMultiLvlLbl val="0"/>
      </c:catAx>
      <c:valAx>
        <c:axId val="33033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63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Rate Trend (per Mn Txn)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Fraud_Analytics!$E$7</c:f>
              <c:strCache>
                <c:ptCount val="1"/>
                <c:pt idx="0">
                  <c:v>fraud_rate_per_million_txn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Fraud_Analytics!$A$8:$A$13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Fraud_Analytics!$E$8:$E$13</c:f>
              <c:numCache>
                <c:formatCode>General</c:formatCode>
                <c:ptCount val="6"/>
                <c:pt idx="0">
                  <c:v>0.247</c:v>
                </c:pt>
                <c:pt idx="1">
                  <c:v>0.182</c:v>
                </c:pt>
                <c:pt idx="2">
                  <c:v>0.14299999999999999</c:v>
                </c:pt>
                <c:pt idx="3">
                  <c:v>0.17299999999999999</c:v>
                </c:pt>
                <c:pt idx="4">
                  <c:v>0.14899999999999999</c:v>
                </c:pt>
                <c:pt idx="5">
                  <c:v>9.0999999999999998E-2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50-4B4B-882A-082A1841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263372"/>
        <c:axId val="87173164"/>
      </c:lineChart>
      <c:catAx>
        <c:axId val="802633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73164"/>
        <c:crosses val="autoZero"/>
        <c:auto val="1"/>
        <c:lblAlgn val="ctr"/>
        <c:lblOffset val="100"/>
        <c:noMultiLvlLbl val="0"/>
      </c:catAx>
      <c:valAx>
        <c:axId val="87173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63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Fraud Value (₹Lakh)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Fraud_Analytics!$F$7</c:f>
              <c:strCache>
                <c:ptCount val="1"/>
                <c:pt idx="0">
                  <c:v>avg_fraud_value_lakhs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Fraud_Analytics!$A$8:$A$13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Fraud_Analytics!$F$8:$F$13</c:f>
              <c:numCache>
                <c:formatCode>General</c:formatCode>
                <c:ptCount val="6"/>
                <c:pt idx="0">
                  <c:v>4.1500000000000004</c:v>
                </c:pt>
                <c:pt idx="1">
                  <c:v>3.81</c:v>
                </c:pt>
                <c:pt idx="2">
                  <c:v>3.88</c:v>
                </c:pt>
                <c:pt idx="3">
                  <c:v>3.96</c:v>
                </c:pt>
                <c:pt idx="4">
                  <c:v>3.71</c:v>
                </c:pt>
                <c:pt idx="5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F-4B93-82BE-AB7B0137D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2805"/>
        <c:axId val="19455749"/>
      </c:barChart>
      <c:catAx>
        <c:axId val="23662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55749"/>
        <c:crosses val="autoZero"/>
        <c:auto val="1"/>
        <c:lblAlgn val="ctr"/>
        <c:lblOffset val="100"/>
        <c:noMultiLvlLbl val="0"/>
      </c:catAx>
      <c:valAx>
        <c:axId val="19455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628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Systems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7-481D-8A37-E5BC156EADA9}"/>
            </c:ext>
          </c:extLst>
        </c:ser>
        <c:ser>
          <c:idx val="1"/>
          <c:order val="1"/>
          <c:tx>
            <c:strRef>
              <c:f>Digital_Payments_Comparison!$C$10</c:f>
              <c:strCache>
                <c:ptCount val="1"/>
                <c:pt idx="0">
                  <c:v>imps_volume_bn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Digital_Payments_Comparison!$C$11:$C$16</c:f>
              <c:numCache>
                <c:formatCode>General</c:formatCode>
                <c:ptCount val="6"/>
                <c:pt idx="0">
                  <c:v>2.6</c:v>
                </c:pt>
                <c:pt idx="1">
                  <c:v>3.3</c:v>
                </c:pt>
                <c:pt idx="2">
                  <c:v>4.5999999999999996</c:v>
                </c:pt>
                <c:pt idx="3">
                  <c:v>5.3</c:v>
                </c:pt>
                <c:pt idx="4">
                  <c:v>5.9</c:v>
                </c:pt>
                <c:pt idx="5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7-481D-8A37-E5BC156EADA9}"/>
            </c:ext>
          </c:extLst>
        </c:ser>
        <c:ser>
          <c:idx val="2"/>
          <c:order val="2"/>
          <c:tx>
            <c:strRef>
              <c:f>Digital_Payments_Comparison!$D$10</c:f>
              <c:strCache>
                <c:ptCount val="1"/>
                <c:pt idx="0">
                  <c:v>neft_volume_bn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Digital_Payments_Comparison!$D$11:$D$16</c:f>
              <c:numCache>
                <c:formatCode>General</c:formatCode>
                <c:ptCount val="6"/>
                <c:pt idx="0">
                  <c:v>2.7</c:v>
                </c:pt>
                <c:pt idx="1">
                  <c:v>3</c:v>
                </c:pt>
                <c:pt idx="2">
                  <c:v>3.7</c:v>
                </c:pt>
                <c:pt idx="3">
                  <c:v>4.4000000000000004</c:v>
                </c:pt>
                <c:pt idx="4">
                  <c:v>5</c:v>
                </c:pt>
                <c:pt idx="5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7-481D-8A37-E5BC156EADA9}"/>
            </c:ext>
          </c:extLst>
        </c:ser>
        <c:ser>
          <c:idx val="3"/>
          <c:order val="3"/>
          <c:tx>
            <c:strRef>
              <c:f>Digital_Payments_Comparison!$E$10</c:f>
              <c:strCache>
                <c:ptCount val="1"/>
                <c:pt idx="0">
                  <c:v>rtgs_volume_bn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Digital_Payments_Comparison!$E$11:$E$16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0.17</c:v>
                </c:pt>
                <c:pt idx="2">
                  <c:v>0.2</c:v>
                </c:pt>
                <c:pt idx="3">
                  <c:v>0.23</c:v>
                </c:pt>
                <c:pt idx="4">
                  <c:v>0.25</c:v>
                </c:pt>
                <c:pt idx="5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7-481D-8A37-E5BC156EADA9}"/>
            </c:ext>
          </c:extLst>
        </c:ser>
        <c:ser>
          <c:idx val="4"/>
          <c:order val="4"/>
          <c:tx>
            <c:strRef>
              <c:f>Digital_Payments_Comparison!$F$10</c:f>
              <c:strCache>
                <c:ptCount val="1"/>
                <c:pt idx="0">
                  <c:v>debit_card_volume_bn</c:v>
                </c:pt>
              </c:strCache>
            </c:strRef>
          </c:tx>
          <c:spPr>
            <a:solidFill>
              <a:srgbClr val="D9E6F5"/>
            </a:solidFill>
            <a:ln w="0">
              <a:solidFill>
                <a:srgbClr val="D9E6F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Digital_Payments_Comparison!$F$11:$F$16</c:f>
              <c:numCache>
                <c:formatCode>General</c:formatCode>
                <c:ptCount val="6"/>
                <c:pt idx="0">
                  <c:v>5.6</c:v>
                </c:pt>
                <c:pt idx="1">
                  <c:v>4</c:v>
                </c:pt>
                <c:pt idx="2">
                  <c:v>4.4000000000000004</c:v>
                </c:pt>
                <c:pt idx="3">
                  <c:v>5.0999999999999996</c:v>
                </c:pt>
                <c:pt idx="4">
                  <c:v>5.4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7-481D-8A37-E5BC156EADA9}"/>
            </c:ext>
          </c:extLst>
        </c:ser>
        <c:ser>
          <c:idx val="5"/>
          <c:order val="5"/>
          <c:tx>
            <c:strRef>
              <c:f>Digital_Payments_Comparison!$G$10</c:f>
              <c:strCache>
                <c:ptCount val="1"/>
                <c:pt idx="0">
                  <c:v>credit_card_volume_bn</c:v>
                </c:pt>
              </c:strCache>
            </c:strRef>
          </c:tx>
          <c:spPr>
            <a:solidFill>
              <a:srgbClr val="4472A8"/>
            </a:solidFill>
            <a:ln w="0">
              <a:solidFill>
                <a:srgbClr val="4472A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Digital_Payments_Comparison!$G$11:$G$16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1.8</c:v>
                </c:pt>
                <c:pt idx="2">
                  <c:v>2.4</c:v>
                </c:pt>
                <c:pt idx="3">
                  <c:v>3.1</c:v>
                </c:pt>
                <c:pt idx="4">
                  <c:v>3.7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97-481D-8A37-E5BC156E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19422"/>
        <c:axId val="5553723"/>
      </c:barChart>
      <c:catAx>
        <c:axId val="937194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3723"/>
        <c:crosses val="autoZero"/>
        <c:auto val="1"/>
        <c:lblAlgn val="ctr"/>
        <c:lblOffset val="100"/>
        <c:noMultiLvlLbl val="0"/>
      </c:catAx>
      <c:valAx>
        <c:axId val="5553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19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UPI Share of Digital Payments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Digital_Payments_Comparison!$I$10</c:f>
              <c:strCache>
                <c:ptCount val="1"/>
                <c:pt idx="0">
                  <c:v>upi_share_of_digital_pct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Digital_Payments_Comparison!$I$11:$I$16</c:f>
              <c:numCache>
                <c:formatCode>General</c:formatCode>
                <c:ptCount val="6"/>
                <c:pt idx="0">
                  <c:v>48.8</c:v>
                </c:pt>
                <c:pt idx="1">
                  <c:v>64.8</c:v>
                </c:pt>
                <c:pt idx="2">
                  <c:v>75.099999999999994</c:v>
                </c:pt>
                <c:pt idx="3">
                  <c:v>82.4</c:v>
                </c:pt>
                <c:pt idx="4">
                  <c:v>86.8</c:v>
                </c:pt>
                <c:pt idx="5">
                  <c:v>89.5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7E-400B-880E-49566F2D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163767"/>
        <c:axId val="91864034"/>
      </c:lineChart>
      <c:catAx>
        <c:axId val="74163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864034"/>
        <c:crosses val="autoZero"/>
        <c:auto val="1"/>
        <c:lblAlgn val="ctr"/>
        <c:lblOffset val="100"/>
        <c:noMultiLvlLbl val="0"/>
      </c:catAx>
      <c:valAx>
        <c:axId val="91864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63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UPI vs NEFT (Volume,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A-4CE9-9AE5-29E7ABA0F1D9}"/>
            </c:ext>
          </c:extLst>
        </c:ser>
        <c:ser>
          <c:idx val="1"/>
          <c:order val="1"/>
          <c:tx>
            <c:strRef>
              <c:f>Digital_Payments_Comparison!$C$10</c:f>
              <c:strCache>
                <c:ptCount val="1"/>
                <c:pt idx="0">
                  <c:v>imps_volume_bn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Digital_Payments_Comparison!$C$11:$C$16</c:f>
              <c:numCache>
                <c:formatCode>General</c:formatCode>
                <c:ptCount val="6"/>
                <c:pt idx="0">
                  <c:v>2.6</c:v>
                </c:pt>
                <c:pt idx="1">
                  <c:v>3.3</c:v>
                </c:pt>
                <c:pt idx="2">
                  <c:v>4.5999999999999996</c:v>
                </c:pt>
                <c:pt idx="3">
                  <c:v>5.3</c:v>
                </c:pt>
                <c:pt idx="4">
                  <c:v>5.9</c:v>
                </c:pt>
                <c:pt idx="5">
                  <c:v>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A-4CE9-9AE5-29E7ABA0F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956696"/>
        <c:axId val="11417795"/>
      </c:lineChart>
      <c:catAx>
        <c:axId val="13956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17795"/>
        <c:crosses val="autoZero"/>
        <c:auto val="1"/>
        <c:lblAlgn val="ctr"/>
        <c:lblOffset val="100"/>
        <c:noMultiLvlLbl val="0"/>
      </c:catAx>
      <c:valAx>
        <c:axId val="11417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56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UPI vs IMPS (Volume,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2B-4FA1-9330-840BB3CD4500}"/>
            </c:ext>
          </c:extLst>
        </c:ser>
        <c:ser>
          <c:idx val="1"/>
          <c:order val="1"/>
          <c:tx>
            <c:strRef>
              <c:f>Digital_Payments_Comparison!$F$10</c:f>
              <c:strCache>
                <c:ptCount val="1"/>
                <c:pt idx="0">
                  <c:v>debit_card_volume_bn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Digital_Payments_Comparison!$F$11:$F$16</c:f>
              <c:numCache>
                <c:formatCode>General</c:formatCode>
                <c:ptCount val="6"/>
                <c:pt idx="0">
                  <c:v>5.6</c:v>
                </c:pt>
                <c:pt idx="1">
                  <c:v>4</c:v>
                </c:pt>
                <c:pt idx="2">
                  <c:v>4.4000000000000004</c:v>
                </c:pt>
                <c:pt idx="3">
                  <c:v>5.0999999999999996</c:v>
                </c:pt>
                <c:pt idx="4">
                  <c:v>5.4</c:v>
                </c:pt>
                <c:pt idx="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2B-4FA1-9330-840BB3CD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277521"/>
        <c:axId val="85304912"/>
      </c:lineChart>
      <c:catAx>
        <c:axId val="242775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04912"/>
        <c:crosses val="autoZero"/>
        <c:auto val="1"/>
        <c:lblAlgn val="ctr"/>
        <c:lblOffset val="100"/>
        <c:noMultiLvlLbl val="0"/>
      </c:catAx>
      <c:valAx>
        <c:axId val="85304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77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UPI vs RTGS (Volume,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B2-422B-9B5A-64B126467F84}"/>
            </c:ext>
          </c:extLst>
        </c:ser>
        <c:ser>
          <c:idx val="1"/>
          <c:order val="1"/>
          <c:tx>
            <c:strRef>
              <c:f>Digital_Payments_Comparison!$D$10</c:f>
              <c:strCache>
                <c:ptCount val="1"/>
                <c:pt idx="0">
                  <c:v>neft_volume_bn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Digital_Payments_Comparison!$D$11:$D$16</c:f>
              <c:numCache>
                <c:formatCode>General</c:formatCode>
                <c:ptCount val="6"/>
                <c:pt idx="0">
                  <c:v>2.7</c:v>
                </c:pt>
                <c:pt idx="1">
                  <c:v>3</c:v>
                </c:pt>
                <c:pt idx="2">
                  <c:v>3.7</c:v>
                </c:pt>
                <c:pt idx="3">
                  <c:v>4.4000000000000004</c:v>
                </c:pt>
                <c:pt idx="4">
                  <c:v>5</c:v>
                </c:pt>
                <c:pt idx="5">
                  <c:v>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B2-422B-9B5A-64B12646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409746"/>
        <c:axId val="74157337"/>
      </c:lineChart>
      <c:catAx>
        <c:axId val="234097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57337"/>
        <c:crosses val="autoZero"/>
        <c:auto val="1"/>
        <c:lblAlgn val="ctr"/>
        <c:lblOffset val="100"/>
        <c:noMultiLvlLbl val="0"/>
      </c:catAx>
      <c:valAx>
        <c:axId val="74157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09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Mix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2-40E2-BBFF-C62B56F1C0B6}"/>
            </c:ext>
          </c:extLst>
        </c:ser>
        <c:ser>
          <c:idx val="1"/>
          <c:order val="1"/>
          <c:tx>
            <c:strRef>
              <c:f>Digital_Payments_Comparison!$C$10</c:f>
              <c:strCache>
                <c:ptCount val="1"/>
                <c:pt idx="0">
                  <c:v>imps_volume_bn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Digital_Payments_Comparison!$C$11:$C$16</c:f>
              <c:numCache>
                <c:formatCode>General</c:formatCode>
                <c:ptCount val="6"/>
                <c:pt idx="0">
                  <c:v>2.6</c:v>
                </c:pt>
                <c:pt idx="1">
                  <c:v>3.3</c:v>
                </c:pt>
                <c:pt idx="2">
                  <c:v>4.5999999999999996</c:v>
                </c:pt>
                <c:pt idx="3">
                  <c:v>5.3</c:v>
                </c:pt>
                <c:pt idx="4">
                  <c:v>5.9</c:v>
                </c:pt>
                <c:pt idx="5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2-40E2-BBFF-C62B56F1C0B6}"/>
            </c:ext>
          </c:extLst>
        </c:ser>
        <c:ser>
          <c:idx val="2"/>
          <c:order val="2"/>
          <c:tx>
            <c:strRef>
              <c:f>Digital_Payments_Comparison!$D$10</c:f>
              <c:strCache>
                <c:ptCount val="1"/>
                <c:pt idx="0">
                  <c:v>neft_volume_bn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Digital_Payments_Comparison!$D$11:$D$16</c:f>
              <c:numCache>
                <c:formatCode>General</c:formatCode>
                <c:ptCount val="6"/>
                <c:pt idx="0">
                  <c:v>2.7</c:v>
                </c:pt>
                <c:pt idx="1">
                  <c:v>3</c:v>
                </c:pt>
                <c:pt idx="2">
                  <c:v>3.7</c:v>
                </c:pt>
                <c:pt idx="3">
                  <c:v>4.4000000000000004</c:v>
                </c:pt>
                <c:pt idx="4">
                  <c:v>5</c:v>
                </c:pt>
                <c:pt idx="5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92-40E2-BBFF-C62B56F1C0B6}"/>
            </c:ext>
          </c:extLst>
        </c:ser>
        <c:ser>
          <c:idx val="3"/>
          <c:order val="3"/>
          <c:tx>
            <c:strRef>
              <c:f>Digital_Payments_Comparison!$E$10</c:f>
              <c:strCache>
                <c:ptCount val="1"/>
                <c:pt idx="0">
                  <c:v>rtgs_volume_bn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Digital_Payments_Comparison!$E$11:$E$16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0.17</c:v>
                </c:pt>
                <c:pt idx="2">
                  <c:v>0.2</c:v>
                </c:pt>
                <c:pt idx="3">
                  <c:v>0.23</c:v>
                </c:pt>
                <c:pt idx="4">
                  <c:v>0.25</c:v>
                </c:pt>
                <c:pt idx="5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92-40E2-BBFF-C62B56F1C0B6}"/>
            </c:ext>
          </c:extLst>
        </c:ser>
        <c:ser>
          <c:idx val="4"/>
          <c:order val="4"/>
          <c:tx>
            <c:strRef>
              <c:f>Digital_Payments_Comparison!$F$10</c:f>
              <c:strCache>
                <c:ptCount val="1"/>
                <c:pt idx="0">
                  <c:v>debit_card_volume_bn</c:v>
                </c:pt>
              </c:strCache>
            </c:strRef>
          </c:tx>
          <c:spPr>
            <a:solidFill>
              <a:srgbClr val="D9E6F5"/>
            </a:solidFill>
            <a:ln w="0">
              <a:solidFill>
                <a:srgbClr val="D9E6F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Digital_Payments_Comparison!$F$11:$F$16</c:f>
              <c:numCache>
                <c:formatCode>General</c:formatCode>
                <c:ptCount val="6"/>
                <c:pt idx="0">
                  <c:v>5.6</c:v>
                </c:pt>
                <c:pt idx="1">
                  <c:v>4</c:v>
                </c:pt>
                <c:pt idx="2">
                  <c:v>4.4000000000000004</c:v>
                </c:pt>
                <c:pt idx="3">
                  <c:v>5.0999999999999996</c:v>
                </c:pt>
                <c:pt idx="4">
                  <c:v>5.4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92-40E2-BBFF-C62B56F1C0B6}"/>
            </c:ext>
          </c:extLst>
        </c:ser>
        <c:ser>
          <c:idx val="5"/>
          <c:order val="5"/>
          <c:tx>
            <c:strRef>
              <c:f>Digital_Payments_Comparison!$G$10</c:f>
              <c:strCache>
                <c:ptCount val="1"/>
                <c:pt idx="0">
                  <c:v>credit_card_volume_bn</c:v>
                </c:pt>
              </c:strCache>
            </c:strRef>
          </c:tx>
          <c:spPr>
            <a:solidFill>
              <a:srgbClr val="4472A8"/>
            </a:solidFill>
            <a:ln w="0">
              <a:solidFill>
                <a:srgbClr val="4472A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Digital_Payments_Comparison!$G$11:$G$16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1.8</c:v>
                </c:pt>
                <c:pt idx="2">
                  <c:v>2.4</c:v>
                </c:pt>
                <c:pt idx="3">
                  <c:v>3.1</c:v>
                </c:pt>
                <c:pt idx="4">
                  <c:v>3.7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92-40E2-BBFF-C62B56F1C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42594"/>
        <c:axId val="66047166"/>
      </c:barChart>
      <c:catAx>
        <c:axId val="149425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47166"/>
        <c:crosses val="autoZero"/>
        <c:auto val="1"/>
        <c:lblAlgn val="ctr"/>
        <c:lblOffset val="100"/>
        <c:noMultiLvlLbl val="0"/>
      </c:catAx>
      <c:valAx>
        <c:axId val="66047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42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UPI Transaction Volume (Mn)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Monthly_Statistics!$D$10</c:f>
              <c:strCache>
                <c:ptCount val="1"/>
                <c:pt idx="0">
                  <c:v>volume_millions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Monthly_Statistics!$C$11:$C$113</c:f>
              <c:strCache>
                <c:ptCount val="103"/>
                <c:pt idx="0">
                  <c:v>2016-08-01</c:v>
                </c:pt>
                <c:pt idx="1">
                  <c:v>2016-09-01</c:v>
                </c:pt>
                <c:pt idx="2">
                  <c:v>2016-10-01</c:v>
                </c:pt>
                <c:pt idx="3">
                  <c:v>2016-11-01</c:v>
                </c:pt>
                <c:pt idx="4">
                  <c:v>2016-12-01</c:v>
                </c:pt>
                <c:pt idx="5">
                  <c:v>2017-01-01</c:v>
                </c:pt>
                <c:pt idx="6">
                  <c:v>2017-02-01</c:v>
                </c:pt>
                <c:pt idx="7">
                  <c:v>2017-03-01</c:v>
                </c:pt>
                <c:pt idx="8">
                  <c:v>2017-04-01</c:v>
                </c:pt>
                <c:pt idx="9">
                  <c:v>2017-05-01</c:v>
                </c:pt>
                <c:pt idx="10">
                  <c:v>2017-06-01</c:v>
                </c:pt>
                <c:pt idx="11">
                  <c:v>2017-07-01</c:v>
                </c:pt>
                <c:pt idx="12">
                  <c:v>2017-08-01</c:v>
                </c:pt>
                <c:pt idx="13">
                  <c:v>2017-09-01</c:v>
                </c:pt>
                <c:pt idx="14">
                  <c:v>2017-10-01</c:v>
                </c:pt>
                <c:pt idx="15">
                  <c:v>2017-11-01</c:v>
                </c:pt>
                <c:pt idx="16">
                  <c:v>2017-12-01</c:v>
                </c:pt>
                <c:pt idx="17">
                  <c:v>2018-01-01</c:v>
                </c:pt>
                <c:pt idx="18">
                  <c:v>2018-02-01</c:v>
                </c:pt>
                <c:pt idx="19">
                  <c:v>2018-03-01</c:v>
                </c:pt>
                <c:pt idx="20">
                  <c:v>2018-04-01</c:v>
                </c:pt>
                <c:pt idx="21">
                  <c:v>2018-05-01</c:v>
                </c:pt>
                <c:pt idx="22">
                  <c:v>2018-06-01</c:v>
                </c:pt>
                <c:pt idx="23">
                  <c:v>2018-07-01</c:v>
                </c:pt>
                <c:pt idx="24">
                  <c:v>2018-08-01</c:v>
                </c:pt>
                <c:pt idx="25">
                  <c:v>2018-09-01</c:v>
                </c:pt>
                <c:pt idx="26">
                  <c:v>2018-10-01</c:v>
                </c:pt>
                <c:pt idx="27">
                  <c:v>2018-11-01</c:v>
                </c:pt>
                <c:pt idx="28">
                  <c:v>2018-12-01</c:v>
                </c:pt>
                <c:pt idx="29">
                  <c:v>2019-01-01</c:v>
                </c:pt>
                <c:pt idx="30">
                  <c:v>2019-02-01</c:v>
                </c:pt>
                <c:pt idx="31">
                  <c:v>2019-03-01</c:v>
                </c:pt>
                <c:pt idx="32">
                  <c:v>2019-04-01</c:v>
                </c:pt>
                <c:pt idx="33">
                  <c:v>2019-05-01</c:v>
                </c:pt>
                <c:pt idx="34">
                  <c:v>2019-06-01</c:v>
                </c:pt>
                <c:pt idx="35">
                  <c:v>2019-07-01</c:v>
                </c:pt>
                <c:pt idx="36">
                  <c:v>2019-08-01</c:v>
                </c:pt>
                <c:pt idx="37">
                  <c:v>2019-09-01</c:v>
                </c:pt>
                <c:pt idx="38">
                  <c:v>2019-10-01</c:v>
                </c:pt>
                <c:pt idx="39">
                  <c:v>2019-11-01</c:v>
                </c:pt>
                <c:pt idx="40">
                  <c:v>2019-12-01</c:v>
                </c:pt>
                <c:pt idx="41">
                  <c:v>2020-01-01</c:v>
                </c:pt>
                <c:pt idx="42">
                  <c:v>2020-02-01</c:v>
                </c:pt>
                <c:pt idx="43">
                  <c:v>2020-03-01</c:v>
                </c:pt>
                <c:pt idx="44">
                  <c:v>2020-04-01</c:v>
                </c:pt>
                <c:pt idx="45">
                  <c:v>2020-05-01</c:v>
                </c:pt>
                <c:pt idx="46">
                  <c:v>2020-06-01</c:v>
                </c:pt>
                <c:pt idx="47">
                  <c:v>2020-07-01</c:v>
                </c:pt>
                <c:pt idx="48">
                  <c:v>2020-08-01</c:v>
                </c:pt>
                <c:pt idx="49">
                  <c:v>2020-09-01</c:v>
                </c:pt>
                <c:pt idx="50">
                  <c:v>2020-10-01</c:v>
                </c:pt>
                <c:pt idx="51">
                  <c:v>2020-11-01</c:v>
                </c:pt>
                <c:pt idx="52">
                  <c:v>2020-12-01</c:v>
                </c:pt>
                <c:pt idx="53">
                  <c:v>2021-01-01</c:v>
                </c:pt>
                <c:pt idx="54">
                  <c:v>2021-02-01</c:v>
                </c:pt>
                <c:pt idx="55">
                  <c:v>2021-03-01</c:v>
                </c:pt>
                <c:pt idx="56">
                  <c:v>2021-04-01</c:v>
                </c:pt>
                <c:pt idx="57">
                  <c:v>2021-05-01</c:v>
                </c:pt>
                <c:pt idx="58">
                  <c:v>2021-06-01</c:v>
                </c:pt>
                <c:pt idx="59">
                  <c:v>2021-07-01</c:v>
                </c:pt>
                <c:pt idx="60">
                  <c:v>2021-08-01</c:v>
                </c:pt>
                <c:pt idx="61">
                  <c:v>2021-09-01</c:v>
                </c:pt>
                <c:pt idx="62">
                  <c:v>2021-10-01</c:v>
                </c:pt>
                <c:pt idx="63">
                  <c:v>2021-11-01</c:v>
                </c:pt>
                <c:pt idx="64">
                  <c:v>2021-12-01</c:v>
                </c:pt>
                <c:pt idx="65">
                  <c:v>2022-01-01</c:v>
                </c:pt>
                <c:pt idx="66">
                  <c:v>2022-02-01</c:v>
                </c:pt>
                <c:pt idx="67">
                  <c:v>2022-03-01</c:v>
                </c:pt>
                <c:pt idx="68">
                  <c:v>2022-04-01</c:v>
                </c:pt>
                <c:pt idx="69">
                  <c:v>2022-05-01</c:v>
                </c:pt>
                <c:pt idx="70">
                  <c:v>2022-06-01</c:v>
                </c:pt>
                <c:pt idx="71">
                  <c:v>2022-07-01</c:v>
                </c:pt>
                <c:pt idx="72">
                  <c:v>2022-08-01</c:v>
                </c:pt>
                <c:pt idx="73">
                  <c:v>2022-09-01</c:v>
                </c:pt>
                <c:pt idx="74">
                  <c:v>2022-10-01</c:v>
                </c:pt>
                <c:pt idx="75">
                  <c:v>2022-11-01</c:v>
                </c:pt>
                <c:pt idx="76">
                  <c:v>2022-12-01</c:v>
                </c:pt>
                <c:pt idx="77">
                  <c:v>2023-01-01</c:v>
                </c:pt>
                <c:pt idx="78">
                  <c:v>2023-02-01</c:v>
                </c:pt>
                <c:pt idx="79">
                  <c:v>2023-03-01</c:v>
                </c:pt>
                <c:pt idx="80">
                  <c:v>2023-04-01</c:v>
                </c:pt>
                <c:pt idx="81">
                  <c:v>2023-05-01</c:v>
                </c:pt>
                <c:pt idx="82">
                  <c:v>2023-06-01</c:v>
                </c:pt>
                <c:pt idx="83">
                  <c:v>2023-07-01</c:v>
                </c:pt>
                <c:pt idx="84">
                  <c:v>2023-08-01</c:v>
                </c:pt>
                <c:pt idx="85">
                  <c:v>2023-09-01</c:v>
                </c:pt>
                <c:pt idx="86">
                  <c:v>2023-10-01</c:v>
                </c:pt>
                <c:pt idx="87">
                  <c:v>2023-11-01</c:v>
                </c:pt>
                <c:pt idx="88">
                  <c:v>2023-12-01</c:v>
                </c:pt>
                <c:pt idx="89">
                  <c:v>2024-01-01</c:v>
                </c:pt>
                <c:pt idx="90">
                  <c:v>2024-02-01</c:v>
                </c:pt>
                <c:pt idx="91">
                  <c:v>2024-03-01</c:v>
                </c:pt>
                <c:pt idx="92">
                  <c:v>2024-04-01</c:v>
                </c:pt>
                <c:pt idx="93">
                  <c:v>2024-05-01</c:v>
                </c:pt>
                <c:pt idx="94">
                  <c:v>2024-06-01</c:v>
                </c:pt>
                <c:pt idx="95">
                  <c:v>2024-07-01</c:v>
                </c:pt>
                <c:pt idx="96">
                  <c:v>2024-08-01</c:v>
                </c:pt>
                <c:pt idx="97">
                  <c:v>2024-09-01</c:v>
                </c:pt>
                <c:pt idx="98">
                  <c:v>2024-10-01</c:v>
                </c:pt>
                <c:pt idx="99">
                  <c:v>2024-11-01</c:v>
                </c:pt>
                <c:pt idx="100">
                  <c:v>2024-12-01</c:v>
                </c:pt>
                <c:pt idx="101">
                  <c:v>2025-01-01</c:v>
                </c:pt>
                <c:pt idx="102">
                  <c:v>2025-02-01</c:v>
                </c:pt>
              </c:strCache>
            </c:strRef>
          </c:cat>
          <c:val>
            <c:numRef>
              <c:f>Monthly_Statistics!$D$11:$D$113</c:f>
              <c:numCache>
                <c:formatCode>General</c:formatCode>
                <c:ptCount val="103"/>
                <c:pt idx="0">
                  <c:v>0.09</c:v>
                </c:pt>
                <c:pt idx="1">
                  <c:v>0.13</c:v>
                </c:pt>
                <c:pt idx="2">
                  <c:v>0.3</c:v>
                </c:pt>
                <c:pt idx="3">
                  <c:v>0.5</c:v>
                </c:pt>
                <c:pt idx="4">
                  <c:v>2</c:v>
                </c:pt>
                <c:pt idx="5">
                  <c:v>4.2</c:v>
                </c:pt>
                <c:pt idx="6">
                  <c:v>4.2</c:v>
                </c:pt>
                <c:pt idx="7">
                  <c:v>6.2</c:v>
                </c:pt>
                <c:pt idx="8">
                  <c:v>6.9</c:v>
                </c:pt>
                <c:pt idx="9">
                  <c:v>9.3000000000000007</c:v>
                </c:pt>
                <c:pt idx="10">
                  <c:v>10.199999999999999</c:v>
                </c:pt>
                <c:pt idx="11">
                  <c:v>16.600000000000001</c:v>
                </c:pt>
                <c:pt idx="12">
                  <c:v>30.8</c:v>
                </c:pt>
                <c:pt idx="13">
                  <c:v>52.9</c:v>
                </c:pt>
                <c:pt idx="14">
                  <c:v>76.8</c:v>
                </c:pt>
                <c:pt idx="15">
                  <c:v>104.8</c:v>
                </c:pt>
                <c:pt idx="16">
                  <c:v>145.5</c:v>
                </c:pt>
                <c:pt idx="17">
                  <c:v>151.80000000000001</c:v>
                </c:pt>
                <c:pt idx="18">
                  <c:v>171.4</c:v>
                </c:pt>
                <c:pt idx="19">
                  <c:v>178.1</c:v>
                </c:pt>
                <c:pt idx="20">
                  <c:v>190</c:v>
                </c:pt>
                <c:pt idx="21">
                  <c:v>224.6</c:v>
                </c:pt>
                <c:pt idx="22">
                  <c:v>246.4</c:v>
                </c:pt>
                <c:pt idx="23">
                  <c:v>235.7</c:v>
                </c:pt>
                <c:pt idx="24">
                  <c:v>312.3</c:v>
                </c:pt>
                <c:pt idx="25">
                  <c:v>405.8</c:v>
                </c:pt>
                <c:pt idx="26">
                  <c:v>482.3</c:v>
                </c:pt>
                <c:pt idx="27">
                  <c:v>524.9</c:v>
                </c:pt>
                <c:pt idx="28">
                  <c:v>620.9</c:v>
                </c:pt>
                <c:pt idx="29">
                  <c:v>672.7</c:v>
                </c:pt>
                <c:pt idx="30">
                  <c:v>674.2</c:v>
                </c:pt>
                <c:pt idx="31">
                  <c:v>799.5</c:v>
                </c:pt>
                <c:pt idx="32">
                  <c:v>782</c:v>
                </c:pt>
                <c:pt idx="33">
                  <c:v>733.4</c:v>
                </c:pt>
                <c:pt idx="34">
                  <c:v>754.5</c:v>
                </c:pt>
                <c:pt idx="35">
                  <c:v>822.3</c:v>
                </c:pt>
                <c:pt idx="36">
                  <c:v>918.3</c:v>
                </c:pt>
                <c:pt idx="37">
                  <c:v>955</c:v>
                </c:pt>
                <c:pt idx="38">
                  <c:v>1148.4000000000001</c:v>
                </c:pt>
                <c:pt idx="39">
                  <c:v>1218.8</c:v>
                </c:pt>
                <c:pt idx="40">
                  <c:v>1308.4000000000001</c:v>
                </c:pt>
                <c:pt idx="41">
                  <c:v>1302.4000000000001</c:v>
                </c:pt>
                <c:pt idx="42">
                  <c:v>1325.7</c:v>
                </c:pt>
                <c:pt idx="43">
                  <c:v>1246.8</c:v>
                </c:pt>
                <c:pt idx="44">
                  <c:v>999.6</c:v>
                </c:pt>
                <c:pt idx="45">
                  <c:v>1234.5</c:v>
                </c:pt>
                <c:pt idx="46">
                  <c:v>1340.1</c:v>
                </c:pt>
                <c:pt idx="47">
                  <c:v>1497.4</c:v>
                </c:pt>
                <c:pt idx="48">
                  <c:v>1618.8</c:v>
                </c:pt>
                <c:pt idx="49">
                  <c:v>1800.1</c:v>
                </c:pt>
                <c:pt idx="50">
                  <c:v>2071.1999999999998</c:v>
                </c:pt>
                <c:pt idx="51">
                  <c:v>2210.4</c:v>
                </c:pt>
                <c:pt idx="52">
                  <c:v>2233.5</c:v>
                </c:pt>
                <c:pt idx="53">
                  <c:v>2302.6999999999998</c:v>
                </c:pt>
                <c:pt idx="54">
                  <c:v>2292.4</c:v>
                </c:pt>
                <c:pt idx="55">
                  <c:v>2731.8</c:v>
                </c:pt>
                <c:pt idx="56">
                  <c:v>2641.2</c:v>
                </c:pt>
                <c:pt idx="57">
                  <c:v>2536.5</c:v>
                </c:pt>
                <c:pt idx="58">
                  <c:v>2802.3</c:v>
                </c:pt>
                <c:pt idx="59">
                  <c:v>3243</c:v>
                </c:pt>
                <c:pt idx="60">
                  <c:v>3554.8</c:v>
                </c:pt>
                <c:pt idx="61">
                  <c:v>3652</c:v>
                </c:pt>
                <c:pt idx="62">
                  <c:v>4218.5</c:v>
                </c:pt>
                <c:pt idx="63">
                  <c:v>4186.3999999999996</c:v>
                </c:pt>
                <c:pt idx="64">
                  <c:v>4560.7</c:v>
                </c:pt>
                <c:pt idx="65">
                  <c:v>4622.3</c:v>
                </c:pt>
                <c:pt idx="66">
                  <c:v>4527.5</c:v>
                </c:pt>
                <c:pt idx="67">
                  <c:v>5404.4</c:v>
                </c:pt>
                <c:pt idx="68">
                  <c:v>5580</c:v>
                </c:pt>
                <c:pt idx="69">
                  <c:v>5955</c:v>
                </c:pt>
                <c:pt idx="70">
                  <c:v>5860</c:v>
                </c:pt>
                <c:pt idx="71">
                  <c:v>6280</c:v>
                </c:pt>
                <c:pt idx="72">
                  <c:v>6579</c:v>
                </c:pt>
                <c:pt idx="73">
                  <c:v>6781</c:v>
                </c:pt>
                <c:pt idx="74">
                  <c:v>7305</c:v>
                </c:pt>
                <c:pt idx="75">
                  <c:v>7310</c:v>
                </c:pt>
                <c:pt idx="76">
                  <c:v>7829</c:v>
                </c:pt>
                <c:pt idx="77">
                  <c:v>8038</c:v>
                </c:pt>
                <c:pt idx="78">
                  <c:v>7540</c:v>
                </c:pt>
                <c:pt idx="79">
                  <c:v>8657</c:v>
                </c:pt>
                <c:pt idx="80">
                  <c:v>8895</c:v>
                </c:pt>
                <c:pt idx="81">
                  <c:v>9017</c:v>
                </c:pt>
                <c:pt idx="82">
                  <c:v>9335</c:v>
                </c:pt>
                <c:pt idx="83">
                  <c:v>9964</c:v>
                </c:pt>
                <c:pt idx="84">
                  <c:v>10584</c:v>
                </c:pt>
                <c:pt idx="85">
                  <c:v>10566</c:v>
                </c:pt>
                <c:pt idx="86">
                  <c:v>11400</c:v>
                </c:pt>
                <c:pt idx="87">
                  <c:v>11165</c:v>
                </c:pt>
                <c:pt idx="88">
                  <c:v>12020</c:v>
                </c:pt>
                <c:pt idx="89">
                  <c:v>12203</c:v>
                </c:pt>
                <c:pt idx="90">
                  <c:v>11439</c:v>
                </c:pt>
                <c:pt idx="91">
                  <c:v>13445</c:v>
                </c:pt>
                <c:pt idx="92">
                  <c:v>13322</c:v>
                </c:pt>
                <c:pt idx="93">
                  <c:v>14036</c:v>
                </c:pt>
                <c:pt idx="94">
                  <c:v>13885</c:v>
                </c:pt>
                <c:pt idx="95">
                  <c:v>14437</c:v>
                </c:pt>
                <c:pt idx="96">
                  <c:v>15044</c:v>
                </c:pt>
                <c:pt idx="97">
                  <c:v>15040</c:v>
                </c:pt>
                <c:pt idx="98">
                  <c:v>16584</c:v>
                </c:pt>
                <c:pt idx="99">
                  <c:v>15487</c:v>
                </c:pt>
                <c:pt idx="100">
                  <c:v>16727</c:v>
                </c:pt>
                <c:pt idx="101">
                  <c:v>16994</c:v>
                </c:pt>
                <c:pt idx="102">
                  <c:v>15650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C3-464F-B7E0-2DDC5B10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764922"/>
        <c:axId val="63171265"/>
      </c:lineChart>
      <c:catAx>
        <c:axId val="50764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71265"/>
        <c:crosses val="autoZero"/>
        <c:auto val="1"/>
        <c:lblAlgn val="ctr"/>
        <c:lblOffset val="100"/>
        <c:noMultiLvlLbl val="0"/>
      </c:catAx>
      <c:valAx>
        <c:axId val="63171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64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Bank Market Share (Avg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Bank_Market_Share!$M$7</c:f>
              <c:strCache>
                <c:ptCount val="1"/>
                <c:pt idx="0">
                  <c:v>Avg Share %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BF2-49EC-8AF5-4C6C299599BD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BF2-49EC-8AF5-4C6C299599BD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BF2-49EC-8AF5-4C6C299599BD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BF2-49EC-8AF5-4C6C299599BD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BF2-49EC-8AF5-4C6C299599BD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CBF2-49EC-8AF5-4C6C299599BD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rgbClr val="9DC3E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CBF2-49EC-8AF5-4C6C299599B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BF2-49EC-8AF5-4C6C299599B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BF2-49EC-8AF5-4C6C299599B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BF2-49EC-8AF5-4C6C299599B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BF2-49EC-8AF5-4C6C299599B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BF2-49EC-8AF5-4C6C299599B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BF2-49EC-8AF5-4C6C299599B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BF2-49EC-8AF5-4C6C299599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Bank_Market_Share!$J$8:$J$14</c:f>
              <c:strCache>
                <c:ptCount val="7"/>
                <c:pt idx="0">
                  <c:v>Amazon Pay</c:v>
                </c:pt>
                <c:pt idx="1">
                  <c:v>BHIM</c:v>
                </c:pt>
                <c:pt idx="2">
                  <c:v>CRED</c:v>
                </c:pt>
                <c:pt idx="3">
                  <c:v>Google Pay</c:v>
                </c:pt>
                <c:pt idx="4">
                  <c:v>Paytm</c:v>
                </c:pt>
                <c:pt idx="5">
                  <c:v>PhonePe</c:v>
                </c:pt>
                <c:pt idx="6">
                  <c:v>WhatsApp Pay</c:v>
                </c:pt>
              </c:strCache>
            </c:strRef>
          </c:cat>
          <c:val>
            <c:numRef>
              <c:f>Bank_Market_Share!$M$8:$M$14</c:f>
              <c:numCache>
                <c:formatCode>0.0</c:formatCode>
                <c:ptCount val="7"/>
                <c:pt idx="0">
                  <c:v>0.7329113924050632</c:v>
                </c:pt>
                <c:pt idx="1">
                  <c:v>4.285436893203884</c:v>
                </c:pt>
                <c:pt idx="2">
                  <c:v>1.5836363636363637</c:v>
                </c:pt>
                <c:pt idx="3">
                  <c:v>29.563106796116497</c:v>
                </c:pt>
                <c:pt idx="4">
                  <c:v>21.029126213592232</c:v>
                </c:pt>
                <c:pt idx="5">
                  <c:v>38.95631067961164</c:v>
                </c:pt>
                <c:pt idx="6">
                  <c:v>0.59534883720930232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F2-49EC-8AF5-4C6C2995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States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State_Adoption!$P$7</c:f>
              <c:strCache>
                <c:ptCount val="1"/>
                <c:pt idx="0">
                  <c:v>Total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State_Adoption!$O$8:$O$22</c:f>
              <c:strCache>
                <c:ptCount val="15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Telangana</c:v>
                </c:pt>
                <c:pt idx="5">
                  <c:v>Gujarat</c:v>
                </c:pt>
                <c:pt idx="6">
                  <c:v>Uttar Pradesh</c:v>
                </c:pt>
                <c:pt idx="7">
                  <c:v>Rajasthan</c:v>
                </c:pt>
                <c:pt idx="8">
                  <c:v>West Bengal</c:v>
                </c:pt>
                <c:pt idx="9">
                  <c:v>Kerala</c:v>
                </c:pt>
                <c:pt idx="10">
                  <c:v>Madhya Pradesh</c:v>
                </c:pt>
                <c:pt idx="11">
                  <c:v>Andhra Pradesh</c:v>
                </c:pt>
                <c:pt idx="12">
                  <c:v>Haryana</c:v>
                </c:pt>
                <c:pt idx="13">
                  <c:v>Punjab</c:v>
                </c:pt>
                <c:pt idx="14">
                  <c:v>Bihar</c:v>
                </c:pt>
              </c:strCache>
            </c:strRef>
          </c:cat>
          <c:val>
            <c:numRef>
              <c:f>State_Adoption!$P$8:$P$22</c:f>
              <c:numCache>
                <c:formatCode>#,##0</c:formatCode>
                <c:ptCount val="15"/>
                <c:pt idx="0">
                  <c:v>76635.66</c:v>
                </c:pt>
                <c:pt idx="1">
                  <c:v>59546.41</c:v>
                </c:pt>
                <c:pt idx="2">
                  <c:v>38564.17</c:v>
                </c:pt>
                <c:pt idx="3">
                  <c:v>32679.000000000004</c:v>
                </c:pt>
                <c:pt idx="4">
                  <c:v>30628.170000000006</c:v>
                </c:pt>
                <c:pt idx="5">
                  <c:v>27735.929999999997</c:v>
                </c:pt>
                <c:pt idx="6">
                  <c:v>25776.199999999997</c:v>
                </c:pt>
                <c:pt idx="7">
                  <c:v>22013.72</c:v>
                </c:pt>
                <c:pt idx="8">
                  <c:v>19824.32</c:v>
                </c:pt>
                <c:pt idx="9">
                  <c:v>18055.96</c:v>
                </c:pt>
                <c:pt idx="10">
                  <c:v>16636.179999999997</c:v>
                </c:pt>
                <c:pt idx="11">
                  <c:v>14780.460000000001</c:v>
                </c:pt>
                <c:pt idx="12">
                  <c:v>13143.8</c:v>
                </c:pt>
                <c:pt idx="13">
                  <c:v>11944.970000000001</c:v>
                </c:pt>
                <c:pt idx="14">
                  <c:v>10139.93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A02-A876-4DC148E4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04383"/>
        <c:axId val="58231156"/>
      </c:barChart>
      <c:catAx>
        <c:axId val="662043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31156"/>
        <c:crosses val="autoZero"/>
        <c:auto val="1"/>
        <c:lblAlgn val="ctr"/>
        <c:lblOffset val="100"/>
        <c:noMultiLvlLbl val="0"/>
      </c:catAx>
      <c:valAx>
        <c:axId val="582311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04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Banks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Bank_Market_Share!$Y$7</c:f>
              <c:strCache>
                <c:ptCount val="1"/>
                <c:pt idx="0">
                  <c:v>Total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Bank_Market_Share!$X$8:$X$17</c:f>
              <c:strCache>
                <c:ptCount val="7"/>
                <c:pt idx="0">
                  <c:v>PhonePe</c:v>
                </c:pt>
                <c:pt idx="1">
                  <c:v>Google Pay</c:v>
                </c:pt>
                <c:pt idx="2">
                  <c:v>Paytm</c:v>
                </c:pt>
                <c:pt idx="3">
                  <c:v>BHIM</c:v>
                </c:pt>
                <c:pt idx="4">
                  <c:v>CRED</c:v>
                </c:pt>
                <c:pt idx="5">
                  <c:v>Amazon Pay</c:v>
                </c:pt>
                <c:pt idx="6">
                  <c:v>WhatsApp Pay</c:v>
                </c:pt>
              </c:strCache>
            </c:strRef>
          </c:cat>
          <c:val>
            <c:numRef>
              <c:f>Bank_Market_Share!$Y$8:$Y$17</c:f>
              <c:numCache>
                <c:formatCode>#,##0</c:formatCode>
                <c:ptCount val="10"/>
                <c:pt idx="0">
                  <c:v>208055.86999999997</c:v>
                </c:pt>
                <c:pt idx="1">
                  <c:v>151107.59</c:v>
                </c:pt>
                <c:pt idx="2">
                  <c:v>59264.87000000001</c:v>
                </c:pt>
                <c:pt idx="3">
                  <c:v>10076.510000000004</c:v>
                </c:pt>
                <c:pt idx="4">
                  <c:v>9488.9100000000017</c:v>
                </c:pt>
                <c:pt idx="5">
                  <c:v>4712.1099999999997</c:v>
                </c:pt>
                <c:pt idx="6">
                  <c:v>2817.41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D-4452-A0E6-C54384CB3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87404"/>
        <c:axId val="75214057"/>
      </c:barChart>
      <c:catAx>
        <c:axId val="617874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14057"/>
        <c:crosses val="autoZero"/>
        <c:auto val="1"/>
        <c:lblAlgn val="ctr"/>
        <c:lblOffset val="100"/>
        <c:noMultiLvlLbl val="0"/>
      </c:catAx>
      <c:valAx>
        <c:axId val="752140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87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Systems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Digital_Payments_Comparison!$B$10</c:f>
              <c:strCache>
                <c:ptCount val="1"/>
                <c:pt idx="0">
                  <c:v>upi_volume_bn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Digital_Payments_Comparison!$B$11:$B$16</c:f>
              <c:numCache>
                <c:formatCode>General</c:formatCode>
                <c:ptCount val="6"/>
                <c:pt idx="0">
                  <c:v>12.5</c:v>
                </c:pt>
                <c:pt idx="1">
                  <c:v>22.3</c:v>
                </c:pt>
                <c:pt idx="2">
                  <c:v>45.6</c:v>
                </c:pt>
                <c:pt idx="3">
                  <c:v>83.7</c:v>
                </c:pt>
                <c:pt idx="4">
                  <c:v>131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89A-9A89-71731F0C8702}"/>
            </c:ext>
          </c:extLst>
        </c:ser>
        <c:ser>
          <c:idx val="1"/>
          <c:order val="1"/>
          <c:tx>
            <c:strRef>
              <c:f>Digital_Payments_Comparison!$C$10</c:f>
              <c:strCache>
                <c:ptCount val="1"/>
                <c:pt idx="0">
                  <c:v>imps_volume_bn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Digital_Payments_Comparison!$C$11:$C$16</c:f>
              <c:numCache>
                <c:formatCode>General</c:formatCode>
                <c:ptCount val="6"/>
                <c:pt idx="0">
                  <c:v>2.6</c:v>
                </c:pt>
                <c:pt idx="1">
                  <c:v>3.3</c:v>
                </c:pt>
                <c:pt idx="2">
                  <c:v>4.5999999999999996</c:v>
                </c:pt>
                <c:pt idx="3">
                  <c:v>5.3</c:v>
                </c:pt>
                <c:pt idx="4">
                  <c:v>5.9</c:v>
                </c:pt>
                <c:pt idx="5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8-489A-9A89-71731F0C8702}"/>
            </c:ext>
          </c:extLst>
        </c:ser>
        <c:ser>
          <c:idx val="2"/>
          <c:order val="2"/>
          <c:tx>
            <c:strRef>
              <c:f>Digital_Payments_Comparison!$D$10</c:f>
              <c:strCache>
                <c:ptCount val="1"/>
                <c:pt idx="0">
                  <c:v>neft_volume_bn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Digital_Payments_Comparison!$D$11:$D$16</c:f>
              <c:numCache>
                <c:formatCode>General</c:formatCode>
                <c:ptCount val="6"/>
                <c:pt idx="0">
                  <c:v>2.7</c:v>
                </c:pt>
                <c:pt idx="1">
                  <c:v>3</c:v>
                </c:pt>
                <c:pt idx="2">
                  <c:v>3.7</c:v>
                </c:pt>
                <c:pt idx="3">
                  <c:v>4.4000000000000004</c:v>
                </c:pt>
                <c:pt idx="4">
                  <c:v>5</c:v>
                </c:pt>
                <c:pt idx="5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8-489A-9A89-71731F0C8702}"/>
            </c:ext>
          </c:extLst>
        </c:ser>
        <c:ser>
          <c:idx val="3"/>
          <c:order val="3"/>
          <c:tx>
            <c:strRef>
              <c:f>Digital_Payments_Comparison!$E$10</c:f>
              <c:strCache>
                <c:ptCount val="1"/>
                <c:pt idx="0">
                  <c:v>rtgs_volume_bn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Digital_Payments_Comparison!$E$11:$E$16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0.17</c:v>
                </c:pt>
                <c:pt idx="2">
                  <c:v>0.2</c:v>
                </c:pt>
                <c:pt idx="3">
                  <c:v>0.23</c:v>
                </c:pt>
                <c:pt idx="4">
                  <c:v>0.25</c:v>
                </c:pt>
                <c:pt idx="5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8-489A-9A89-71731F0C8702}"/>
            </c:ext>
          </c:extLst>
        </c:ser>
        <c:ser>
          <c:idx val="4"/>
          <c:order val="4"/>
          <c:tx>
            <c:strRef>
              <c:f>Digital_Payments_Comparison!$F$10</c:f>
              <c:strCache>
                <c:ptCount val="1"/>
                <c:pt idx="0">
                  <c:v>debit_card_volume_bn</c:v>
                </c:pt>
              </c:strCache>
            </c:strRef>
          </c:tx>
          <c:spPr>
            <a:solidFill>
              <a:srgbClr val="D9E6F5"/>
            </a:solidFill>
            <a:ln w="0">
              <a:solidFill>
                <a:srgbClr val="D9E6F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Digital_Payments_Comparison!$F$11:$F$16</c:f>
              <c:numCache>
                <c:formatCode>General</c:formatCode>
                <c:ptCount val="6"/>
                <c:pt idx="0">
                  <c:v>5.6</c:v>
                </c:pt>
                <c:pt idx="1">
                  <c:v>4</c:v>
                </c:pt>
                <c:pt idx="2">
                  <c:v>4.4000000000000004</c:v>
                </c:pt>
                <c:pt idx="3">
                  <c:v>5.0999999999999996</c:v>
                </c:pt>
                <c:pt idx="4">
                  <c:v>5.4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8-489A-9A89-71731F0C8702}"/>
            </c:ext>
          </c:extLst>
        </c:ser>
        <c:ser>
          <c:idx val="5"/>
          <c:order val="5"/>
          <c:tx>
            <c:strRef>
              <c:f>Digital_Payments_Comparison!$G$10</c:f>
              <c:strCache>
                <c:ptCount val="1"/>
                <c:pt idx="0">
                  <c:v>credit_card_volume_bn</c:v>
                </c:pt>
              </c:strCache>
            </c:strRef>
          </c:tx>
          <c:spPr>
            <a:solidFill>
              <a:srgbClr val="4472A8"/>
            </a:solidFill>
            <a:ln w="0">
              <a:solidFill>
                <a:srgbClr val="4472A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Digital_Payments_Comparison!$G$11:$G$16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1.8</c:v>
                </c:pt>
                <c:pt idx="2">
                  <c:v>2.4</c:v>
                </c:pt>
                <c:pt idx="3">
                  <c:v>3.1</c:v>
                </c:pt>
                <c:pt idx="4">
                  <c:v>3.7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B8-489A-9A89-71731F0C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3899"/>
        <c:axId val="4487103"/>
      </c:barChart>
      <c:catAx>
        <c:axId val="71438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7103"/>
        <c:crosses val="autoZero"/>
        <c:auto val="1"/>
        <c:lblAlgn val="ctr"/>
        <c:lblOffset val="100"/>
        <c:noMultiLvlLbl val="0"/>
      </c:catAx>
      <c:valAx>
        <c:axId val="4487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3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UPI Share of Digital Payments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Digital_Payments_Comparison!$I$10</c:f>
              <c:strCache>
                <c:ptCount val="1"/>
                <c:pt idx="0">
                  <c:v>upi_share_of_digital_pct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Digital_Payments_Comparison!$A$11:$A$16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Digital_Payments_Comparison!$I$11:$I$16</c:f>
              <c:numCache>
                <c:formatCode>General</c:formatCode>
                <c:ptCount val="6"/>
                <c:pt idx="0">
                  <c:v>48.8</c:v>
                </c:pt>
                <c:pt idx="1">
                  <c:v>64.8</c:v>
                </c:pt>
                <c:pt idx="2">
                  <c:v>75.099999999999994</c:v>
                </c:pt>
                <c:pt idx="3">
                  <c:v>82.4</c:v>
                </c:pt>
                <c:pt idx="4">
                  <c:v>86.8</c:v>
                </c:pt>
                <c:pt idx="5">
                  <c:v>89.5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A4-470A-8B4F-2061FF3E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761555"/>
        <c:axId val="78449716"/>
      </c:lineChart>
      <c:catAx>
        <c:axId val="41761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49716"/>
        <c:crosses val="autoZero"/>
        <c:auto val="1"/>
        <c:lblAlgn val="ctr"/>
        <c:lblOffset val="100"/>
        <c:noMultiLvlLbl val="0"/>
      </c:catAx>
      <c:valAx>
        <c:axId val="78449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61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Cases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Fraud_Analytics!$B$7</c:f>
              <c:strCache>
                <c:ptCount val="1"/>
                <c:pt idx="0">
                  <c:v>fraud_cases</c:v>
                </c:pt>
              </c:strCache>
            </c:strRef>
          </c:tx>
          <c:spPr>
            <a:ln w="284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Fraud_Analytics!$A$8:$A$13</c:f>
              <c:strCache>
                <c:ptCount val="6"/>
                <c:pt idx="0">
                  <c:v>FY2019-20</c:v>
                </c:pt>
                <c:pt idx="1">
                  <c:v>FY2020-21</c:v>
                </c:pt>
                <c:pt idx="2">
                  <c:v>FY2021-22</c:v>
                </c:pt>
                <c:pt idx="3">
                  <c:v>FY2022-23</c:v>
                </c:pt>
                <c:pt idx="4">
                  <c:v>FY2023-24</c:v>
                </c:pt>
                <c:pt idx="5">
                  <c:v>FY2024-25</c:v>
                </c:pt>
              </c:strCache>
            </c:strRef>
          </c:cat>
          <c:val>
            <c:numRef>
              <c:f>Fraud_Analytics!$B$8:$B$13</c:f>
              <c:numCache>
                <c:formatCode>General</c:formatCode>
                <c:ptCount val="6"/>
                <c:pt idx="0">
                  <c:v>3086</c:v>
                </c:pt>
                <c:pt idx="1">
                  <c:v>4071</c:v>
                </c:pt>
                <c:pt idx="2">
                  <c:v>6523</c:v>
                </c:pt>
                <c:pt idx="3">
                  <c:v>14483</c:v>
                </c:pt>
                <c:pt idx="4">
                  <c:v>19520</c:v>
                </c:pt>
                <c:pt idx="5">
                  <c:v>15890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F3-467E-94EC-FA8E854E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187543"/>
        <c:axId val="96818382"/>
      </c:lineChart>
      <c:catAx>
        <c:axId val="60187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18382"/>
        <c:crosses val="autoZero"/>
        <c:auto val="1"/>
        <c:lblAlgn val="ctr"/>
        <c:lblOffset val="100"/>
        <c:noMultiLvlLbl val="0"/>
      </c:catAx>
      <c:valAx>
        <c:axId val="96818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875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Weekend vs Weekday (Avg Volume)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Daily_Analysis!$P$10</c:f>
              <c:strCache>
                <c:ptCount val="1"/>
                <c:pt idx="0">
                  <c:v>Avg Volume (Mn)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Daily_Analysis!$O$11:$O$12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Daily_Analysis!$P$11:$P$12</c:f>
              <c:numCache>
                <c:formatCode>#,##0</c:formatCode>
                <c:ptCount val="2"/>
                <c:pt idx="0">
                  <c:v>157.53055803571436</c:v>
                </c:pt>
                <c:pt idx="1">
                  <c:v>129.7870693512304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9-4DF1-B641-5C30F31F4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47506"/>
        <c:axId val="85098622"/>
      </c:barChart>
      <c:catAx>
        <c:axId val="60847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98622"/>
        <c:crosses val="autoZero"/>
        <c:auto val="1"/>
        <c:lblAlgn val="ctr"/>
        <c:lblOffset val="100"/>
        <c:noMultiLvlLbl val="0"/>
      </c:catAx>
      <c:valAx>
        <c:axId val="85098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47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535460</xdr:colOff>
      <xdr:row>23</xdr:row>
      <xdr:rowOff>32821</xdr:rowOff>
    </xdr:from>
    <xdr:to>
      <xdr:col>24</xdr:col>
      <xdr:colOff>496577</xdr:colOff>
      <xdr:row>38</xdr:row>
      <xdr:rowOff>54780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788544</xdr:colOff>
      <xdr:row>23</xdr:row>
      <xdr:rowOff>99183</xdr:rowOff>
    </xdr:from>
    <xdr:to>
      <xdr:col>32</xdr:col>
      <xdr:colOff>207491</xdr:colOff>
      <xdr:row>38</xdr:row>
      <xdr:rowOff>111759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535460</xdr:colOff>
      <xdr:row>39</xdr:row>
      <xdr:rowOff>152728</xdr:rowOff>
    </xdr:from>
    <xdr:to>
      <xdr:col>24</xdr:col>
      <xdr:colOff>496577</xdr:colOff>
      <xdr:row>54</xdr:row>
      <xdr:rowOff>174688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762000</xdr:colOff>
      <xdr:row>39</xdr:row>
      <xdr:rowOff>132133</xdr:rowOff>
    </xdr:from>
    <xdr:to>
      <xdr:col>32</xdr:col>
      <xdr:colOff>154175</xdr:colOff>
      <xdr:row>54</xdr:row>
      <xdr:rowOff>154093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576648</xdr:colOff>
      <xdr:row>56</xdr:row>
      <xdr:rowOff>152728</xdr:rowOff>
    </xdr:from>
    <xdr:to>
      <xdr:col>24</xdr:col>
      <xdr:colOff>537765</xdr:colOff>
      <xdr:row>71</xdr:row>
      <xdr:rowOff>174688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782593</xdr:colOff>
      <xdr:row>56</xdr:row>
      <xdr:rowOff>173322</xdr:rowOff>
    </xdr:from>
    <xdr:to>
      <xdr:col>32</xdr:col>
      <xdr:colOff>174768</xdr:colOff>
      <xdr:row>72</xdr:row>
      <xdr:rowOff>9930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20595</xdr:colOff>
      <xdr:row>73</xdr:row>
      <xdr:rowOff>173682</xdr:rowOff>
    </xdr:from>
    <xdr:to>
      <xdr:col>24</xdr:col>
      <xdr:colOff>578955</xdr:colOff>
      <xdr:row>89</xdr:row>
      <xdr:rowOff>9930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803189</xdr:colOff>
      <xdr:row>73</xdr:row>
      <xdr:rowOff>111899</xdr:rowOff>
    </xdr:from>
    <xdr:to>
      <xdr:col>32</xdr:col>
      <xdr:colOff>195364</xdr:colOff>
      <xdr:row>88</xdr:row>
      <xdr:rowOff>133499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20594</xdr:colOff>
      <xdr:row>91</xdr:row>
      <xdr:rowOff>8566</xdr:rowOff>
    </xdr:from>
    <xdr:to>
      <xdr:col>24</xdr:col>
      <xdr:colOff>578954</xdr:colOff>
      <xdr:row>106</xdr:row>
      <xdr:rowOff>30165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864973</xdr:colOff>
      <xdr:row>91</xdr:row>
      <xdr:rowOff>8567</xdr:rowOff>
    </xdr:from>
    <xdr:to>
      <xdr:col>32</xdr:col>
      <xdr:colOff>257148</xdr:colOff>
      <xdr:row>106</xdr:row>
      <xdr:rowOff>30166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677333</xdr:colOff>
      <xdr:row>18</xdr:row>
      <xdr:rowOff>85965</xdr:rowOff>
    </xdr:from>
    <xdr:to>
      <xdr:col>22</xdr:col>
      <xdr:colOff>994799</xdr:colOff>
      <xdr:row>33</xdr:row>
      <xdr:rowOff>107565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29520</xdr:rowOff>
    </xdr:from>
    <xdr:to>
      <xdr:col>15</xdr:col>
      <xdr:colOff>158400</xdr:colOff>
      <xdr:row>33</xdr:row>
      <xdr:rowOff>51120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649112</xdr:colOff>
      <xdr:row>35</xdr:row>
      <xdr:rowOff>85605</xdr:rowOff>
    </xdr:from>
    <xdr:to>
      <xdr:col>22</xdr:col>
      <xdr:colOff>966578</xdr:colOff>
      <xdr:row>50</xdr:row>
      <xdr:rowOff>107205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35</xdr:row>
      <xdr:rowOff>29160</xdr:rowOff>
    </xdr:from>
    <xdr:to>
      <xdr:col>15</xdr:col>
      <xdr:colOff>158400</xdr:colOff>
      <xdr:row>50</xdr:row>
      <xdr:rowOff>50760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28222</xdr:colOff>
      <xdr:row>52</xdr:row>
      <xdr:rowOff>85605</xdr:rowOff>
    </xdr:from>
    <xdr:to>
      <xdr:col>15</xdr:col>
      <xdr:colOff>232800</xdr:colOff>
      <xdr:row>67</xdr:row>
      <xdr:rowOff>107205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725714</xdr:colOff>
      <xdr:row>26</xdr:row>
      <xdr:rowOff>174304</xdr:rowOff>
    </xdr:from>
    <xdr:to>
      <xdr:col>19</xdr:col>
      <xdr:colOff>665206</xdr:colOff>
      <xdr:row>42</xdr:row>
      <xdr:rowOff>14835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</xdr:colOff>
      <xdr:row>27</xdr:row>
      <xdr:rowOff>65446</xdr:rowOff>
    </xdr:from>
    <xdr:to>
      <xdr:col>27</xdr:col>
      <xdr:colOff>276674</xdr:colOff>
      <xdr:row>42</xdr:row>
      <xdr:rowOff>87406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762000</xdr:colOff>
      <xdr:row>45</xdr:row>
      <xdr:rowOff>29160</xdr:rowOff>
    </xdr:from>
    <xdr:to>
      <xdr:col>19</xdr:col>
      <xdr:colOff>701492</xdr:colOff>
      <xdr:row>60</xdr:row>
      <xdr:rowOff>51120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1124857</xdr:colOff>
      <xdr:row>45</xdr:row>
      <xdr:rowOff>101731</xdr:rowOff>
    </xdr:from>
    <xdr:to>
      <xdr:col>27</xdr:col>
      <xdr:colOff>240387</xdr:colOff>
      <xdr:row>60</xdr:row>
      <xdr:rowOff>123691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114</xdr:row>
      <xdr:rowOff>29520</xdr:rowOff>
    </xdr:from>
    <xdr:to>
      <xdr:col>7</xdr:col>
      <xdr:colOff>276480</xdr:colOff>
      <xdr:row>129</xdr:row>
      <xdr:rowOff>51120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114</xdr:row>
      <xdr:rowOff>29520</xdr:rowOff>
    </xdr:from>
    <xdr:to>
      <xdr:col>15</xdr:col>
      <xdr:colOff>1027080</xdr:colOff>
      <xdr:row>129</xdr:row>
      <xdr:rowOff>51120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131</xdr:row>
      <xdr:rowOff>29160</xdr:rowOff>
    </xdr:from>
    <xdr:to>
      <xdr:col>7</xdr:col>
      <xdr:colOff>276480</xdr:colOff>
      <xdr:row>146</xdr:row>
      <xdr:rowOff>50760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131</xdr:row>
      <xdr:rowOff>29160</xdr:rowOff>
    </xdr:from>
    <xdr:to>
      <xdr:col>15</xdr:col>
      <xdr:colOff>1027080</xdr:colOff>
      <xdr:row>146</xdr:row>
      <xdr:rowOff>50760</xdr:rowOff>
    </xdr:to>
    <xdr:graphicFrame macro="">
      <xdr:nvGraphicFramePr>
        <xdr:cNvPr id="22" name="Chart 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148</xdr:row>
      <xdr:rowOff>29160</xdr:rowOff>
    </xdr:from>
    <xdr:to>
      <xdr:col>7</xdr:col>
      <xdr:colOff>276480</xdr:colOff>
      <xdr:row>163</xdr:row>
      <xdr:rowOff>50760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29160</xdr:rowOff>
    </xdr:from>
    <xdr:to>
      <xdr:col>4</xdr:col>
      <xdr:colOff>1051920</xdr:colOff>
      <xdr:row>29</xdr:row>
      <xdr:rowOff>51120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29160</xdr:rowOff>
    </xdr:from>
    <xdr:to>
      <xdr:col>15</xdr:col>
      <xdr:colOff>581400</xdr:colOff>
      <xdr:row>29</xdr:row>
      <xdr:rowOff>51120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29160</xdr:rowOff>
    </xdr:from>
    <xdr:to>
      <xdr:col>4</xdr:col>
      <xdr:colOff>1051920</xdr:colOff>
      <xdr:row>46</xdr:row>
      <xdr:rowOff>51120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31</xdr:row>
      <xdr:rowOff>29160</xdr:rowOff>
    </xdr:from>
    <xdr:to>
      <xdr:col>15</xdr:col>
      <xdr:colOff>581400</xdr:colOff>
      <xdr:row>46</xdr:row>
      <xdr:rowOff>51120</xdr:rowOff>
    </xdr:to>
    <xdr:graphicFrame macro="">
      <xdr:nvGraphicFramePr>
        <xdr:cNvPr id="27" name="Chart 4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29160</xdr:rowOff>
    </xdr:from>
    <xdr:to>
      <xdr:col>5</xdr:col>
      <xdr:colOff>770040</xdr:colOff>
      <xdr:row>32</xdr:row>
      <xdr:rowOff>50760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29160</xdr:rowOff>
    </xdr:from>
    <xdr:to>
      <xdr:col>17</xdr:col>
      <xdr:colOff>272880</xdr:colOff>
      <xdr:row>32</xdr:row>
      <xdr:rowOff>50760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29160</xdr:rowOff>
    </xdr:from>
    <xdr:to>
      <xdr:col>5</xdr:col>
      <xdr:colOff>770040</xdr:colOff>
      <xdr:row>49</xdr:row>
      <xdr:rowOff>50760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34</xdr:row>
      <xdr:rowOff>29160</xdr:rowOff>
    </xdr:from>
    <xdr:to>
      <xdr:col>17</xdr:col>
      <xdr:colOff>272880</xdr:colOff>
      <xdr:row>49</xdr:row>
      <xdr:rowOff>50760</xdr:rowOff>
    </xdr:to>
    <xdr:graphicFrame macro="">
      <xdr:nvGraphicFramePr>
        <xdr:cNvPr id="31" name="Chart 4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51</xdr:row>
      <xdr:rowOff>29160</xdr:rowOff>
    </xdr:from>
    <xdr:to>
      <xdr:col>5</xdr:col>
      <xdr:colOff>770040</xdr:colOff>
      <xdr:row>66</xdr:row>
      <xdr:rowOff>51120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51</xdr:row>
      <xdr:rowOff>29160</xdr:rowOff>
    </xdr:from>
    <xdr:to>
      <xdr:col>17</xdr:col>
      <xdr:colOff>272880</xdr:colOff>
      <xdr:row>66</xdr:row>
      <xdr:rowOff>51120</xdr:rowOff>
    </xdr:to>
    <xdr:graphicFrame macro="">
      <xdr:nvGraphicFramePr>
        <xdr:cNvPr id="33" name="Chart 6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160560</xdr:rowOff>
    </xdr:from>
    <xdr:to>
      <xdr:col>12</xdr:col>
      <xdr:colOff>306720</xdr:colOff>
      <xdr:row>24</xdr:row>
      <xdr:rowOff>161280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</xdr:row>
      <xdr:rowOff>160560</xdr:rowOff>
    </xdr:from>
    <xdr:to>
      <xdr:col>24</xdr:col>
      <xdr:colOff>204120</xdr:colOff>
      <xdr:row>23</xdr:row>
      <xdr:rowOff>10096</xdr:rowOff>
    </xdr:to>
    <xdr:graphicFrame macro="">
      <xdr:nvGraphicFramePr>
        <xdr:cNvPr id="35" name="Chart 2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160560</xdr:rowOff>
    </xdr:from>
    <xdr:to>
      <xdr:col>10</xdr:col>
      <xdr:colOff>135720</xdr:colOff>
      <xdr:row>41</xdr:row>
      <xdr:rowOff>10096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25</xdr:row>
      <xdr:rowOff>160560</xdr:rowOff>
    </xdr:from>
    <xdr:to>
      <xdr:col>24</xdr:col>
      <xdr:colOff>204120</xdr:colOff>
      <xdr:row>41</xdr:row>
      <xdr:rowOff>10096</xdr:rowOff>
    </xdr:to>
    <xdr:graphicFrame macro="">
      <xdr:nvGraphicFramePr>
        <xdr:cNvPr id="37" name="Chart 4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10</xdr:col>
      <xdr:colOff>135720</xdr:colOff>
      <xdr:row>59</xdr:row>
      <xdr:rowOff>10096</xdr:rowOff>
    </xdr:to>
    <xdr:graphicFrame macro="">
      <xdr:nvGraphicFramePr>
        <xdr:cNvPr id="38" name="Chart 5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43</xdr:row>
      <xdr:rowOff>160560</xdr:rowOff>
    </xdr:from>
    <xdr:to>
      <xdr:col>24</xdr:col>
      <xdr:colOff>204120</xdr:colOff>
      <xdr:row>59</xdr:row>
      <xdr:rowOff>10096</xdr:rowOff>
    </xdr:to>
    <xdr:graphicFrame macro="">
      <xdr:nvGraphicFramePr>
        <xdr:cNvPr id="39" name="Chart 6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61</xdr:row>
      <xdr:rowOff>160560</xdr:rowOff>
    </xdr:from>
    <xdr:to>
      <xdr:col>10</xdr:col>
      <xdr:colOff>135720</xdr:colOff>
      <xdr:row>77</xdr:row>
      <xdr:rowOff>10096</xdr:rowOff>
    </xdr:to>
    <xdr:graphicFrame macro="">
      <xdr:nvGraphicFramePr>
        <xdr:cNvPr id="40" name="Chart 7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0</xdr:colOff>
      <xdr:row>61</xdr:row>
      <xdr:rowOff>160560</xdr:rowOff>
    </xdr:from>
    <xdr:to>
      <xdr:col>24</xdr:col>
      <xdr:colOff>204120</xdr:colOff>
      <xdr:row>77</xdr:row>
      <xdr:rowOff>10096</xdr:rowOff>
    </xdr:to>
    <xdr:graphicFrame macro="">
      <xdr:nvGraphicFramePr>
        <xdr:cNvPr id="41" name="Chart 8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Monthly" displayName="Tbl_Monthly" ref="A10:P113" totalsRowShown="0">
  <autoFilter ref="A10:P113" xr:uid="{00000000-0009-0000-0100-000005000000}"/>
  <tableColumns count="16">
    <tableColumn id="1" xr3:uid="{00000000-0010-0000-0000-000001000000}" name="year"/>
    <tableColumn id="2" xr3:uid="{00000000-0010-0000-0000-000002000000}" name="month"/>
    <tableColumn id="3" xr3:uid="{00000000-0010-0000-0000-000003000000}" name="date"/>
    <tableColumn id="4" xr3:uid="{00000000-0010-0000-0000-000004000000}" name="volume_millions"/>
    <tableColumn id="5" xr3:uid="{00000000-0010-0000-0000-000005000000}" name="volume_billions"/>
    <tableColumn id="6" xr3:uid="{00000000-0010-0000-0000-000006000000}" name="value_crores"/>
    <tableColumn id="7" xr3:uid="{00000000-0010-0000-0000-000007000000}" name="value_billion_inr"/>
    <tableColumn id="8" xr3:uid="{00000000-0010-0000-0000-000008000000}" name="value_billion_usd"/>
    <tableColumn id="9" xr3:uid="{00000000-0010-0000-0000-000009000000}" name="banks_live"/>
    <tableColumn id="10" xr3:uid="{00000000-0010-0000-0000-00000A000000}" name="avg_transaction_value_inr"/>
    <tableColumn id="11" xr3:uid="{00000000-0010-0000-0000-00000B000000}" name="fiscal_year"/>
    <tableColumn id="12" xr3:uid="{00000000-0010-0000-0000-00000C000000}" name="quarter"/>
    <tableColumn id="13" xr3:uid="{00000000-0010-0000-0000-00000D000000}" name="yoy_volume_growth_pct"/>
    <tableColumn id="14" xr3:uid="{00000000-0010-0000-0000-00000E000000}" name="yoy_value_growth_pct"/>
    <tableColumn id="15" xr3:uid="{00000000-0010-0000-0000-00000F000000}" name="mom_volume_growth_pct"/>
    <tableColumn id="16" xr3:uid="{00000000-0010-0000-0000-000010000000}" name="mom_value_growth_pc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Bank" displayName="Tbl_Bank" ref="A7:G596" totalsRowShown="0">
  <autoFilter ref="A7:G596" xr:uid="{00000000-0009-0000-0100-000001000000}"/>
  <tableColumns count="7">
    <tableColumn id="1" xr3:uid="{00000000-0010-0000-0100-000001000000}" name="date"/>
    <tableColumn id="2" xr3:uid="{00000000-0010-0000-0100-000002000000}" name="year"/>
    <tableColumn id="3" xr3:uid="{00000000-0010-0000-0100-000003000000}" name="month"/>
    <tableColumn id="4" xr3:uid="{00000000-0010-0000-0100-000004000000}" name="bank_app"/>
    <tableColumn id="5" xr3:uid="{00000000-0010-0000-0100-000005000000}" name="volume_share_pct"/>
    <tableColumn id="6" xr3:uid="{00000000-0010-0000-0100-000006000000}" name="estimated_volume_millions"/>
    <tableColumn id="7" xr3:uid="{00000000-0010-0000-0100-000007000000}" name="estimated_value_cror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_State" displayName="Tbl_State" ref="A7:G1254" totalsRowShown="0">
  <autoFilter ref="A7:G1254" xr:uid="{00000000-0009-0000-0100-000006000000}"/>
  <tableColumns count="7">
    <tableColumn id="1" xr3:uid="{00000000-0010-0000-0200-000001000000}" name="fiscal_year"/>
    <tableColumn id="2" xr3:uid="{00000000-0010-0000-0200-000002000000}" name="quarter"/>
    <tableColumn id="3" xr3:uid="{00000000-0010-0000-0200-000003000000}" name="state"/>
    <tableColumn id="4" xr3:uid="{00000000-0010-0000-0200-000004000000}" name="volume_share_pct"/>
    <tableColumn id="5" xr3:uid="{00000000-0010-0000-0200-000005000000}" name="volume_millions"/>
    <tableColumn id="6" xr3:uid="{00000000-0010-0000-0200-000006000000}" name="value_crores"/>
    <tableColumn id="7" xr3:uid="{00000000-0010-0000-0200-000007000000}" name="avg_txn_value_in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Daily" displayName="Tbl_Daily" ref="A10:I3144" totalsRowShown="0">
  <autoFilter ref="A10:I3144" xr:uid="{00000000-0009-0000-0100-000002000000}"/>
  <tableColumns count="9">
    <tableColumn id="1" xr3:uid="{00000000-0010-0000-0300-000001000000}" name="date"/>
    <tableColumn id="2" xr3:uid="{00000000-0010-0000-0300-000002000000}" name="year"/>
    <tableColumn id="3" xr3:uid="{00000000-0010-0000-0300-000003000000}" name="month"/>
    <tableColumn id="4" xr3:uid="{00000000-0010-0000-0300-000004000000}" name="day"/>
    <tableColumn id="5" xr3:uid="{00000000-0010-0000-0300-000005000000}" name="day_of_week"/>
    <tableColumn id="6" xr3:uid="{00000000-0010-0000-0300-000006000000}" name="is_weekend"/>
    <tableColumn id="7" xr3:uid="{00000000-0010-0000-0300-000007000000}" name="volume_millions"/>
    <tableColumn id="8" xr3:uid="{00000000-0010-0000-0300-000008000000}" name="value_crores"/>
    <tableColumn id="9" xr3:uid="{00000000-0010-0000-0300-000009000000}" name="avg_txn_value_inr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_Fraud" displayName="Tbl_Fraud" ref="A7:F13" totalsRowShown="0">
  <autoFilter ref="A7:F13" xr:uid="{00000000-0009-0000-0100-000004000000}"/>
  <tableColumns count="6">
    <tableColumn id="1" xr3:uid="{00000000-0010-0000-0400-000001000000}" name="fiscal_year"/>
    <tableColumn id="2" xr3:uid="{00000000-0010-0000-0400-000002000000}" name="fraud_cases"/>
    <tableColumn id="3" xr3:uid="{00000000-0010-0000-0400-000003000000}" name="fraud_value_crores"/>
    <tableColumn id="4" xr3:uid="{00000000-0010-0000-0400-000004000000}" name="total_txn_volume_billions"/>
    <tableColumn id="5" xr3:uid="{00000000-0010-0000-0400-000005000000}" name="fraud_rate_per_million_txn"/>
    <tableColumn id="6" xr3:uid="{00000000-0010-0000-0400-000006000000}" name="avg_fraud_value_lakh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bl_Digital" displayName="Tbl_Digital" ref="A10:I16" totalsRowShown="0">
  <autoFilter ref="A10:I16" xr:uid="{00000000-0009-0000-0100-000003000000}"/>
  <tableColumns count="9">
    <tableColumn id="1" xr3:uid="{00000000-0010-0000-0500-000001000000}" name="fiscal_year"/>
    <tableColumn id="2" xr3:uid="{00000000-0010-0000-0500-000002000000}" name="upi_volume_bn"/>
    <tableColumn id="3" xr3:uid="{00000000-0010-0000-0500-000003000000}" name="imps_volume_bn"/>
    <tableColumn id="4" xr3:uid="{00000000-0010-0000-0500-000004000000}" name="neft_volume_bn"/>
    <tableColumn id="5" xr3:uid="{00000000-0010-0000-0500-000005000000}" name="rtgs_volume_bn"/>
    <tableColumn id="6" xr3:uid="{00000000-0010-0000-0500-000006000000}" name="debit_card_volume_bn"/>
    <tableColumn id="7" xr3:uid="{00000000-0010-0000-0500-000007000000}" name="credit_card_volume_bn"/>
    <tableColumn id="8" xr3:uid="{00000000-0010-0000-0500-000008000000}" name="cheque_volume_bn"/>
    <tableColumn id="9" xr3:uid="{00000000-0010-0000-0500-000009000000}" name="upi_share_of_digital_p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C37"/>
  <sheetViews>
    <sheetView showGridLines="0" topLeftCell="A32" zoomScale="90" zoomScaleNormal="90" workbookViewId="0">
      <selection activeCell="B15" sqref="B15:C15"/>
    </sheetView>
  </sheetViews>
  <sheetFormatPr defaultColWidth="8.6640625" defaultRowHeight="14.4" x14ac:dyDescent="0.3"/>
  <cols>
    <col min="1" max="1" width="3" customWidth="1"/>
    <col min="2" max="2" width="34" customWidth="1"/>
    <col min="3" max="3" width="95" customWidth="1"/>
  </cols>
  <sheetData>
    <row r="2" spans="2:3" ht="30" customHeight="1" x14ac:dyDescent="0.4">
      <c r="B2" s="14" t="s">
        <v>0</v>
      </c>
      <c r="C2" s="14"/>
    </row>
    <row r="3" spans="2:3" ht="19.5" customHeight="1" x14ac:dyDescent="0.3">
      <c r="B3" s="13" t="s">
        <v>1</v>
      </c>
      <c r="C3" s="13"/>
    </row>
    <row r="5" spans="2:3" ht="21.75" customHeight="1" x14ac:dyDescent="0.3">
      <c r="B5" s="12" t="s">
        <v>2</v>
      </c>
      <c r="C5" s="12"/>
    </row>
    <row r="6" spans="2:3" ht="30" customHeight="1" x14ac:dyDescent="0.3">
      <c r="B6" s="15" t="s">
        <v>3</v>
      </c>
      <c r="C6" s="16" t="s">
        <v>4</v>
      </c>
    </row>
    <row r="8" spans="2:3" ht="21.75" customHeight="1" x14ac:dyDescent="0.3">
      <c r="B8" s="12" t="s">
        <v>5</v>
      </c>
      <c r="C8" s="12"/>
    </row>
    <row r="9" spans="2:3" ht="30" customHeight="1" x14ac:dyDescent="0.3">
      <c r="B9" s="15" t="s">
        <v>6</v>
      </c>
      <c r="C9" s="16" t="s">
        <v>7</v>
      </c>
    </row>
    <row r="10" spans="2:3" ht="30" customHeight="1" x14ac:dyDescent="0.3">
      <c r="B10" s="17" t="s">
        <v>8</v>
      </c>
      <c r="C10" s="18" t="s">
        <v>9</v>
      </c>
    </row>
    <row r="12" spans="2:3" ht="21.75" customHeight="1" x14ac:dyDescent="0.3">
      <c r="B12" s="12" t="s">
        <v>10</v>
      </c>
      <c r="C12" s="12"/>
    </row>
    <row r="13" spans="2:3" ht="30" customHeight="1" x14ac:dyDescent="0.3">
      <c r="B13" s="15" t="s">
        <v>11</v>
      </c>
      <c r="C13" s="16" t="s">
        <v>12</v>
      </c>
    </row>
    <row r="15" spans="2:3" ht="21.75" customHeight="1" x14ac:dyDescent="0.3">
      <c r="B15" s="12" t="s">
        <v>13</v>
      </c>
      <c r="C15" s="12"/>
    </row>
    <row r="16" spans="2:3" ht="30" customHeight="1" x14ac:dyDescent="0.3">
      <c r="B16" s="15" t="s">
        <v>14</v>
      </c>
      <c r="C16" s="16" t="s">
        <v>15</v>
      </c>
    </row>
    <row r="17" spans="2:3" ht="30" customHeight="1" x14ac:dyDescent="0.3">
      <c r="B17" s="17" t="s">
        <v>16</v>
      </c>
      <c r="C17" s="18" t="s">
        <v>17</v>
      </c>
    </row>
    <row r="18" spans="2:3" ht="30" customHeight="1" x14ac:dyDescent="0.3">
      <c r="B18" s="15" t="s">
        <v>18</v>
      </c>
      <c r="C18" s="16" t="s">
        <v>19</v>
      </c>
    </row>
    <row r="19" spans="2:3" ht="30" customHeight="1" x14ac:dyDescent="0.3">
      <c r="B19" s="17" t="s">
        <v>20</v>
      </c>
      <c r="C19" s="18" t="s">
        <v>21</v>
      </c>
    </row>
    <row r="20" spans="2:3" ht="30" customHeight="1" x14ac:dyDescent="0.3">
      <c r="B20" s="15" t="s">
        <v>22</v>
      </c>
      <c r="C20" s="16" t="s">
        <v>23</v>
      </c>
    </row>
    <row r="21" spans="2:3" ht="30" customHeight="1" x14ac:dyDescent="0.3">
      <c r="B21" s="17" t="s">
        <v>24</v>
      </c>
      <c r="C21" s="18" t="s">
        <v>25</v>
      </c>
    </row>
    <row r="23" spans="2:3" ht="21.75" customHeight="1" x14ac:dyDescent="0.3">
      <c r="B23" s="12" t="s">
        <v>26</v>
      </c>
      <c r="C23" s="12"/>
    </row>
    <row r="24" spans="2:3" ht="30" customHeight="1" x14ac:dyDescent="0.3">
      <c r="B24" s="15" t="s">
        <v>27</v>
      </c>
      <c r="C24" s="16" t="s">
        <v>28</v>
      </c>
    </row>
    <row r="26" spans="2:3" ht="21.75" customHeight="1" x14ac:dyDescent="0.3">
      <c r="B26" s="12" t="s">
        <v>29</v>
      </c>
      <c r="C26" s="12"/>
    </row>
    <row r="27" spans="2:3" ht="30" customHeight="1" x14ac:dyDescent="0.3">
      <c r="B27" s="15" t="s">
        <v>30</v>
      </c>
      <c r="C27" s="16" t="s">
        <v>31</v>
      </c>
    </row>
    <row r="29" spans="2:3" ht="21.75" customHeight="1" x14ac:dyDescent="0.3">
      <c r="B29" s="12" t="s">
        <v>32</v>
      </c>
      <c r="C29" s="12"/>
    </row>
    <row r="30" spans="2:3" ht="30" customHeight="1" x14ac:dyDescent="0.3">
      <c r="B30" s="15" t="s">
        <v>33</v>
      </c>
      <c r="C30" s="16" t="s">
        <v>34</v>
      </c>
    </row>
    <row r="31" spans="2:3" ht="30" customHeight="1" x14ac:dyDescent="0.3">
      <c r="B31" s="17" t="s">
        <v>35</v>
      </c>
      <c r="C31" s="18" t="s">
        <v>36</v>
      </c>
    </row>
    <row r="32" spans="2:3" ht="30" customHeight="1" x14ac:dyDescent="0.3">
      <c r="B32" s="15" t="s">
        <v>37</v>
      </c>
      <c r="C32" s="16" t="s">
        <v>38</v>
      </c>
    </row>
    <row r="33" spans="2:3" ht="30" customHeight="1" x14ac:dyDescent="0.3">
      <c r="B33" s="17" t="s">
        <v>39</v>
      </c>
      <c r="C33" s="18" t="s">
        <v>40</v>
      </c>
    </row>
    <row r="34" spans="2:3" ht="30" customHeight="1" x14ac:dyDescent="0.3">
      <c r="B34" s="15" t="s">
        <v>41</v>
      </c>
      <c r="C34" s="16" t="s">
        <v>42</v>
      </c>
    </row>
    <row r="35" spans="2:3" ht="30" customHeight="1" x14ac:dyDescent="0.3">
      <c r="B35" s="17" t="s">
        <v>43</v>
      </c>
      <c r="C35" s="18" t="s">
        <v>44</v>
      </c>
    </row>
    <row r="36" spans="2:3" ht="30" customHeight="1" x14ac:dyDescent="0.3">
      <c r="B36" s="15" t="s">
        <v>45</v>
      </c>
      <c r="C36" s="16" t="s">
        <v>46</v>
      </c>
    </row>
    <row r="37" spans="2:3" ht="30" customHeight="1" x14ac:dyDescent="0.3">
      <c r="B37" s="17" t="s">
        <v>47</v>
      </c>
      <c r="C37" s="18" t="s">
        <v>48</v>
      </c>
    </row>
  </sheetData>
  <mergeCells count="9">
    <mergeCell ref="B15:C15"/>
    <mergeCell ref="B23:C23"/>
    <mergeCell ref="B26:C26"/>
    <mergeCell ref="B29:C29"/>
    <mergeCell ref="B2:C2"/>
    <mergeCell ref="B3:C3"/>
    <mergeCell ref="B5:C5"/>
    <mergeCell ref="B8:C8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8A"/>
  </sheetPr>
  <dimension ref="A1:AD113"/>
  <sheetViews>
    <sheetView showGridLines="0" topLeftCell="F1" zoomScale="37" zoomScaleNormal="90" workbookViewId="0">
      <pane ySplit="1" topLeftCell="A2" activePane="bottomLeft" state="frozen"/>
      <selection pane="bottomLeft" activeCell="W8" sqref="W8"/>
    </sheetView>
  </sheetViews>
  <sheetFormatPr defaultColWidth="8.6640625" defaultRowHeight="14.4" x14ac:dyDescent="0.3"/>
  <cols>
    <col min="1" max="2" width="10" customWidth="1"/>
    <col min="3" max="3" width="13" customWidth="1"/>
    <col min="4" max="5" width="18" customWidth="1"/>
    <col min="6" max="6" width="15" customWidth="1"/>
    <col min="7" max="8" width="20" customWidth="1"/>
    <col min="9" max="9" width="13" customWidth="1"/>
    <col min="10" max="10" width="28" customWidth="1"/>
    <col min="11" max="11" width="14" customWidth="1"/>
    <col min="12" max="12" width="10" customWidth="1"/>
    <col min="13" max="13" width="24" customWidth="1"/>
    <col min="14" max="14" width="23" customWidth="1"/>
    <col min="15" max="15" width="24" customWidth="1"/>
    <col min="16" max="16" width="23" customWidth="1"/>
    <col min="19" max="22" width="15" customWidth="1"/>
    <col min="24" max="26" width="15" customWidth="1"/>
    <col min="28" max="30" width="15" customWidth="1"/>
  </cols>
  <sheetData>
    <row r="1" spans="1:30" ht="25.5" customHeight="1" x14ac:dyDescent="0.35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30" ht="15" customHeight="1" x14ac:dyDescent="0.3">
      <c r="A3" s="10" t="s">
        <v>50</v>
      </c>
      <c r="B3" s="10"/>
      <c r="C3" s="10"/>
      <c r="D3" s="10" t="s">
        <v>51</v>
      </c>
      <c r="E3" s="10"/>
      <c r="F3" s="10"/>
      <c r="G3" s="10" t="s">
        <v>52</v>
      </c>
      <c r="H3" s="10"/>
      <c r="I3" s="10"/>
      <c r="J3" s="10" t="s">
        <v>53</v>
      </c>
      <c r="K3" s="10"/>
      <c r="L3" s="10"/>
      <c r="M3" s="10" t="s">
        <v>54</v>
      </c>
      <c r="N3" s="10"/>
      <c r="O3" s="10"/>
      <c r="P3" s="10" t="s">
        <v>55</v>
      </c>
      <c r="Q3" s="10"/>
      <c r="R3" s="10"/>
      <c r="S3" s="10" t="s">
        <v>56</v>
      </c>
      <c r="T3" s="10"/>
      <c r="U3" s="10"/>
      <c r="V3" s="10" t="s">
        <v>57</v>
      </c>
      <c r="W3" s="10"/>
      <c r="X3" s="10"/>
      <c r="Y3" s="10" t="s">
        <v>58</v>
      </c>
      <c r="Z3" s="10"/>
      <c r="AA3" s="10"/>
    </row>
    <row r="4" spans="1:30" ht="17.25" customHeight="1" x14ac:dyDescent="0.3">
      <c r="A4" s="9">
        <f>INDEX(Tbl_Monthly[volume_millions],COUNT(Tbl_Monthly[volume_millions]))</f>
        <v>15650</v>
      </c>
      <c r="B4" s="9"/>
      <c r="C4" s="9"/>
      <c r="D4" s="9">
        <f>INDEX(Tbl_Monthly[value_crores],COUNT(Tbl_Monthly[value_crores]))</f>
        <v>536180</v>
      </c>
      <c r="E4" s="9"/>
      <c r="F4" s="9"/>
      <c r="G4" s="9">
        <f>INDEX(Tbl_Monthly[banks_live],COUNT(Tbl_Monthly[banks_live]))</f>
        <v>456</v>
      </c>
      <c r="H4" s="9"/>
      <c r="I4" s="9"/>
      <c r="J4" s="9">
        <f>AVERAGE(Tbl_Monthly[avg_transaction_value_inr])</f>
        <v>352.37699029126213</v>
      </c>
      <c r="K4" s="9"/>
      <c r="L4" s="9"/>
      <c r="M4" s="8">
        <f>(INDEX(Tbl_Monthly[volume_millions],COUNT(Tbl_Monthly[volume_millions]))/INDEX(Tbl_Monthly[volume_millions],1))^(1/((COUNT(Tbl_Monthly[volume_millions])-1)/12))-1</f>
        <v>3.1352576003184636</v>
      </c>
      <c r="N4" s="8"/>
      <c r="O4" s="8"/>
      <c r="P4" s="9">
        <f>MAX(Tbl_Monthly[volume_millions])</f>
        <v>16994</v>
      </c>
      <c r="Q4" s="9"/>
      <c r="R4" s="9"/>
      <c r="S4" s="9">
        <f>MAX(Tbl_Monthly[value_crores])</f>
        <v>582310</v>
      </c>
      <c r="T4" s="9"/>
      <c r="U4" s="9"/>
      <c r="V4" s="7">
        <f>MAX(Tbl_Monthly[mom_volume_growth_pct])</f>
        <v>300</v>
      </c>
      <c r="W4" s="7"/>
      <c r="X4" s="7"/>
      <c r="Y4" s="7">
        <f>MAX(Tbl_Monthly[yoy_volume_growth_pct])</f>
        <v>40592.31</v>
      </c>
      <c r="Z4" s="7"/>
      <c r="AA4" s="7"/>
    </row>
    <row r="9" spans="1:30" ht="15" customHeight="1" x14ac:dyDescent="0.3">
      <c r="A9" s="19" t="s">
        <v>59</v>
      </c>
      <c r="S9" s="19" t="s">
        <v>60</v>
      </c>
      <c r="X9" s="19" t="s">
        <v>61</v>
      </c>
      <c r="AB9" s="19" t="s">
        <v>62</v>
      </c>
    </row>
    <row r="10" spans="1:30" ht="24.75" customHeight="1" x14ac:dyDescent="0.3">
      <c r="A10" s="20" t="s">
        <v>63</v>
      </c>
      <c r="B10" s="20" t="s">
        <v>64</v>
      </c>
      <c r="C10" s="20" t="s">
        <v>65</v>
      </c>
      <c r="D10" s="20" t="s">
        <v>66</v>
      </c>
      <c r="E10" s="20" t="s">
        <v>67</v>
      </c>
      <c r="F10" s="20" t="s">
        <v>68</v>
      </c>
      <c r="G10" s="20" t="s">
        <v>69</v>
      </c>
      <c r="H10" s="20" t="s">
        <v>70</v>
      </c>
      <c r="I10" s="20" t="s">
        <v>71</v>
      </c>
      <c r="J10" s="20" t="s">
        <v>72</v>
      </c>
      <c r="K10" s="20" t="s">
        <v>73</v>
      </c>
      <c r="L10" s="20" t="s">
        <v>74</v>
      </c>
      <c r="M10" s="20" t="s">
        <v>75</v>
      </c>
      <c r="N10" s="20" t="s">
        <v>76</v>
      </c>
      <c r="O10" s="20" t="s">
        <v>77</v>
      </c>
      <c r="P10" s="20" t="s">
        <v>78</v>
      </c>
      <c r="S10" s="20" t="s">
        <v>79</v>
      </c>
      <c r="T10" s="20" t="s">
        <v>80</v>
      </c>
      <c r="U10" s="20" t="s">
        <v>81</v>
      </c>
      <c r="V10" s="20" t="s">
        <v>82</v>
      </c>
      <c r="X10" s="20" t="s">
        <v>83</v>
      </c>
      <c r="Y10" s="20" t="s">
        <v>80</v>
      </c>
      <c r="Z10" s="20" t="s">
        <v>81</v>
      </c>
      <c r="AB10" s="20" t="s">
        <v>84</v>
      </c>
      <c r="AC10" s="20" t="s">
        <v>80</v>
      </c>
      <c r="AD10" s="20" t="s">
        <v>81</v>
      </c>
    </row>
    <row r="11" spans="1:30" ht="15" customHeight="1" x14ac:dyDescent="0.3">
      <c r="A11" s="21">
        <v>2016</v>
      </c>
      <c r="B11" s="21">
        <v>8</v>
      </c>
      <c r="C11" s="21" t="s">
        <v>85</v>
      </c>
      <c r="D11" s="21">
        <v>0.09</v>
      </c>
      <c r="E11" s="21">
        <v>0</v>
      </c>
      <c r="F11" s="21">
        <v>3.09</v>
      </c>
      <c r="G11" s="21">
        <v>0.03</v>
      </c>
      <c r="H11" s="21">
        <v>0</v>
      </c>
      <c r="I11" s="21">
        <v>21</v>
      </c>
      <c r="J11" s="21">
        <v>343.33</v>
      </c>
      <c r="K11" s="21" t="s">
        <v>86</v>
      </c>
      <c r="L11" s="21" t="s">
        <v>87</v>
      </c>
      <c r="M11" s="21"/>
      <c r="N11" s="21"/>
      <c r="O11" s="21"/>
      <c r="P11" s="21"/>
      <c r="S11" s="22">
        <v>2016</v>
      </c>
      <c r="T11" s="23">
        <f>SUMIFS(Tbl_Monthly[volume_millions],Tbl_Monthly[year],S11)</f>
        <v>3.02</v>
      </c>
      <c r="U11" s="23">
        <f>SUMIFS(Tbl_Monthly[value_crores],Tbl_Monthly[year],S11)</f>
        <v>119.78</v>
      </c>
      <c r="V11" s="23">
        <f>AVERAGEIFS(Tbl_Monthly[banks_live],Tbl_Monthly[year],S11)</f>
        <v>21</v>
      </c>
      <c r="X11" s="22" t="s">
        <v>88</v>
      </c>
      <c r="Y11" s="23">
        <f>SUMIFS(Tbl_Monthly[volume_millions],Tbl_Monthly[quarter],X11)</f>
        <v>100396.5</v>
      </c>
      <c r="Z11" s="23">
        <f>SUMIFS(Tbl_Monthly[value_crores],Tbl_Monthly[quarter],X11)</f>
        <v>3448259</v>
      </c>
      <c r="AB11" s="22" t="s">
        <v>86</v>
      </c>
      <c r="AC11" s="23">
        <f>SUMIFS(Tbl_Monthly[volume_millions],Tbl_Monthly[fiscal_year],AB11)</f>
        <v>17.62</v>
      </c>
      <c r="AD11" s="23">
        <f>SUMIFS(Tbl_Monthly[value_crores],Tbl_Monthly[fiscal_year],AB11)</f>
        <v>715.01</v>
      </c>
    </row>
    <row r="12" spans="1:30" ht="15" customHeight="1" x14ac:dyDescent="0.3">
      <c r="A12" s="21">
        <v>2016</v>
      </c>
      <c r="B12" s="21">
        <v>9</v>
      </c>
      <c r="C12" s="21" t="s">
        <v>89</v>
      </c>
      <c r="D12" s="21">
        <v>0.13</v>
      </c>
      <c r="E12" s="21">
        <v>0</v>
      </c>
      <c r="F12" s="21">
        <v>5.28</v>
      </c>
      <c r="G12" s="21">
        <v>0.05</v>
      </c>
      <c r="H12" s="21">
        <v>0</v>
      </c>
      <c r="I12" s="21">
        <v>21</v>
      </c>
      <c r="J12" s="21">
        <v>406.15</v>
      </c>
      <c r="K12" s="21" t="s">
        <v>86</v>
      </c>
      <c r="L12" s="21" t="s">
        <v>87</v>
      </c>
      <c r="M12" s="21"/>
      <c r="N12" s="21"/>
      <c r="O12" s="21">
        <v>44.44</v>
      </c>
      <c r="P12" s="21">
        <v>70.87</v>
      </c>
      <c r="S12" s="22">
        <v>2017</v>
      </c>
      <c r="T12" s="23">
        <f>SUMIFS(Tbl_Monthly[volume_millions],Tbl_Monthly[year],S12)</f>
        <v>468.40000000000003</v>
      </c>
      <c r="U12" s="23">
        <f>SUMIFS(Tbl_Monthly[value_crores],Tbl_Monthly[year],S12)</f>
        <v>16932.23</v>
      </c>
      <c r="V12" s="23">
        <f>AVERAGEIFS(Tbl_Monthly[banks_live],Tbl_Monthly[year],S12)</f>
        <v>35.083333333333336</v>
      </c>
      <c r="X12" s="22" t="s">
        <v>87</v>
      </c>
      <c r="Y12" s="23">
        <f>SUMIFS(Tbl_Monthly[volume_millions],Tbl_Monthly[quarter],X12)</f>
        <v>114391.02</v>
      </c>
      <c r="Z12" s="23">
        <f>SUMIFS(Tbl_Monthly[value_crores],Tbl_Monthly[quarter],X12)</f>
        <v>3913847.37</v>
      </c>
      <c r="AB12" s="22" t="s">
        <v>90</v>
      </c>
      <c r="AC12" s="23">
        <f>SUMIFS(Tbl_Monthly[volume_millions],Tbl_Monthly[fiscal_year],AB12)</f>
        <v>955.1</v>
      </c>
      <c r="AD12" s="23">
        <f>SUMIFS(Tbl_Monthly[value_crores],Tbl_Monthly[fiscal_year],AB12)</f>
        <v>33607</v>
      </c>
    </row>
    <row r="13" spans="1:30" ht="15" customHeight="1" x14ac:dyDescent="0.3">
      <c r="A13" s="21">
        <v>2016</v>
      </c>
      <c r="B13" s="21">
        <v>10</v>
      </c>
      <c r="C13" s="21" t="s">
        <v>91</v>
      </c>
      <c r="D13" s="21">
        <v>0.3</v>
      </c>
      <c r="E13" s="21">
        <v>0</v>
      </c>
      <c r="F13" s="21">
        <v>16.010000000000002</v>
      </c>
      <c r="G13" s="21">
        <v>0.16</v>
      </c>
      <c r="H13" s="21">
        <v>0</v>
      </c>
      <c r="I13" s="21">
        <v>21</v>
      </c>
      <c r="J13" s="21">
        <v>533.66999999999996</v>
      </c>
      <c r="K13" s="21" t="s">
        <v>86</v>
      </c>
      <c r="L13" s="21" t="s">
        <v>92</v>
      </c>
      <c r="M13" s="21"/>
      <c r="N13" s="21"/>
      <c r="O13" s="21">
        <v>130.77000000000001</v>
      </c>
      <c r="P13" s="21">
        <v>203.22</v>
      </c>
      <c r="S13" s="22">
        <v>2018</v>
      </c>
      <c r="T13" s="23">
        <f>SUMIFS(Tbl_Monthly[volume_millions],Tbl_Monthly[year],S13)</f>
        <v>3744.2000000000007</v>
      </c>
      <c r="U13" s="23">
        <f>SUMIFS(Tbl_Monthly[value_crores],Tbl_Monthly[year],S13)</f>
        <v>129115</v>
      </c>
      <c r="V13" s="23">
        <f>AVERAGEIFS(Tbl_Monthly[banks_live],Tbl_Monthly[year],S13)</f>
        <v>89.416666666666671</v>
      </c>
      <c r="X13" s="22" t="s">
        <v>92</v>
      </c>
      <c r="Y13" s="23">
        <f>SUMIFS(Tbl_Monthly[volume_millions],Tbl_Monthly[quarter],X13)</f>
        <v>130941.3</v>
      </c>
      <c r="Z13" s="23">
        <f>SUMIFS(Tbl_Monthly[value_crores],Tbl_Monthly[quarter],X13)</f>
        <v>4484731.41</v>
      </c>
      <c r="AB13" s="22" t="s">
        <v>93</v>
      </c>
      <c r="AC13" s="23">
        <f>SUMIFS(Tbl_Monthly[volume_millions],Tbl_Monthly[fiscal_year],AB13)</f>
        <v>5389.3</v>
      </c>
      <c r="AD13" s="23">
        <f>SUMIFS(Tbl_Monthly[value_crores],Tbl_Monthly[fiscal_year],AB13)</f>
        <v>185020</v>
      </c>
    </row>
    <row r="14" spans="1:30" ht="15" customHeight="1" x14ac:dyDescent="0.3">
      <c r="A14" s="21">
        <v>2016</v>
      </c>
      <c r="B14" s="21">
        <v>11</v>
      </c>
      <c r="C14" s="21" t="s">
        <v>94</v>
      </c>
      <c r="D14" s="21">
        <v>0.5</v>
      </c>
      <c r="E14" s="21">
        <v>1E-3</v>
      </c>
      <c r="F14" s="21">
        <v>24.05</v>
      </c>
      <c r="G14" s="21">
        <v>0.24</v>
      </c>
      <c r="H14" s="21">
        <v>0</v>
      </c>
      <c r="I14" s="21">
        <v>21</v>
      </c>
      <c r="J14" s="21">
        <v>481</v>
      </c>
      <c r="K14" s="21" t="s">
        <v>86</v>
      </c>
      <c r="L14" s="21" t="s">
        <v>92</v>
      </c>
      <c r="M14" s="21"/>
      <c r="N14" s="21"/>
      <c r="O14" s="21">
        <v>66.67</v>
      </c>
      <c r="P14" s="21">
        <v>50.22</v>
      </c>
      <c r="S14" s="22">
        <v>2019</v>
      </c>
      <c r="T14" s="23">
        <f>SUMIFS(Tbl_Monthly[volume_millions],Tbl_Monthly[year],S14)</f>
        <v>10787.5</v>
      </c>
      <c r="U14" s="23">
        <f>SUMIFS(Tbl_Monthly[value_crores],Tbl_Monthly[year],S14)</f>
        <v>375249</v>
      </c>
      <c r="V14" s="23">
        <f>AVERAGEIFS(Tbl_Monthly[banks_live],Tbl_Monthly[year],S14)</f>
        <v>151.33333333333334</v>
      </c>
      <c r="X14" s="22" t="s">
        <v>95</v>
      </c>
      <c r="Y14" s="23">
        <f>SUMIFS(Tbl_Monthly[volume_millions],Tbl_Monthly[quarter],X14)</f>
        <v>122384.3</v>
      </c>
      <c r="Z14" s="23">
        <f>SUMIFS(Tbl_Monthly[value_crores],Tbl_Monthly[quarter],X14)</f>
        <v>4190415.23</v>
      </c>
      <c r="AB14" s="22" t="s">
        <v>96</v>
      </c>
      <c r="AC14" s="23">
        <f>SUMIFS(Tbl_Monthly[volume_millions],Tbl_Monthly[fiscal_year],AB14)</f>
        <v>12516</v>
      </c>
      <c r="AD14" s="23">
        <f>SUMIFS(Tbl_Monthly[value_crores],Tbl_Monthly[fiscal_year],AB14)</f>
        <v>438369</v>
      </c>
    </row>
    <row r="15" spans="1:30" ht="15" customHeight="1" x14ac:dyDescent="0.3">
      <c r="A15" s="21">
        <v>2016</v>
      </c>
      <c r="B15" s="21">
        <v>12</v>
      </c>
      <c r="C15" s="21" t="s">
        <v>97</v>
      </c>
      <c r="D15" s="21">
        <v>2</v>
      </c>
      <c r="E15" s="21">
        <v>2E-3</v>
      </c>
      <c r="F15" s="21">
        <v>71.349999999999994</v>
      </c>
      <c r="G15" s="21">
        <v>0.71</v>
      </c>
      <c r="H15" s="21">
        <v>0.01</v>
      </c>
      <c r="I15" s="21">
        <v>21</v>
      </c>
      <c r="J15" s="21">
        <v>356.75</v>
      </c>
      <c r="K15" s="21" t="s">
        <v>86</v>
      </c>
      <c r="L15" s="21" t="s">
        <v>92</v>
      </c>
      <c r="M15" s="21"/>
      <c r="N15" s="21"/>
      <c r="O15" s="21">
        <v>300</v>
      </c>
      <c r="P15" s="21">
        <v>196.67</v>
      </c>
      <c r="S15" s="22">
        <v>2020</v>
      </c>
      <c r="T15" s="23">
        <f>SUMIFS(Tbl_Monthly[volume_millions],Tbl_Monthly[year],S15)</f>
        <v>18880.5</v>
      </c>
      <c r="U15" s="23">
        <f>SUMIFS(Tbl_Monthly[value_crores],Tbl_Monthly[year],S15)</f>
        <v>656077</v>
      </c>
      <c r="V15" s="23">
        <f>AVERAGEIFS(Tbl_Monthly[banks_live],Tbl_Monthly[year],S15)</f>
        <v>194</v>
      </c>
      <c r="AB15" s="22" t="s">
        <v>98</v>
      </c>
      <c r="AC15" s="23">
        <f>SUMIFS(Tbl_Monthly[volume_millions],Tbl_Monthly[fiscal_year],AB15)</f>
        <v>22332.5</v>
      </c>
      <c r="AD15" s="23">
        <f>SUMIFS(Tbl_Monthly[value_crores],Tbl_Monthly[fiscal_year],AB15)</f>
        <v>775282</v>
      </c>
    </row>
    <row r="16" spans="1:30" ht="15" customHeight="1" x14ac:dyDescent="0.3">
      <c r="A16" s="21">
        <v>2017</v>
      </c>
      <c r="B16" s="21">
        <v>1</v>
      </c>
      <c r="C16" s="21" t="s">
        <v>99</v>
      </c>
      <c r="D16" s="21">
        <v>4.2</v>
      </c>
      <c r="E16" s="21">
        <v>4.0000000000000001E-3</v>
      </c>
      <c r="F16" s="21">
        <v>169.46</v>
      </c>
      <c r="G16" s="21">
        <v>1.69</v>
      </c>
      <c r="H16" s="21">
        <v>0.02</v>
      </c>
      <c r="I16" s="21">
        <v>21</v>
      </c>
      <c r="J16" s="21">
        <v>403.48</v>
      </c>
      <c r="K16" s="21" t="s">
        <v>86</v>
      </c>
      <c r="L16" s="21" t="s">
        <v>95</v>
      </c>
      <c r="M16" s="21"/>
      <c r="N16" s="21"/>
      <c r="O16" s="21">
        <v>110</v>
      </c>
      <c r="P16" s="21">
        <v>137.51</v>
      </c>
      <c r="S16" s="22">
        <v>2021</v>
      </c>
      <c r="T16" s="23">
        <f>SUMIFS(Tbl_Monthly[volume_millions],Tbl_Monthly[year],S16)</f>
        <v>38722.299999999996</v>
      </c>
      <c r="U16" s="23">
        <f>SUMIFS(Tbl_Monthly[value_crores],Tbl_Monthly[year],S16)</f>
        <v>1322320</v>
      </c>
      <c r="V16" s="23">
        <f>AVERAGEIFS(Tbl_Monthly[banks_live],Tbl_Monthly[year],S16)</f>
        <v>246.66666666666666</v>
      </c>
      <c r="AB16" s="22" t="s">
        <v>100</v>
      </c>
      <c r="AC16" s="23">
        <f>SUMIFS(Tbl_Monthly[volume_millions],Tbl_Monthly[fiscal_year],AB16)</f>
        <v>45949.599999999999</v>
      </c>
      <c r="AD16" s="23">
        <f>SUMIFS(Tbl_Monthly[value_crores],Tbl_Monthly[fiscal_year],AB16)</f>
        <v>1555180</v>
      </c>
    </row>
    <row r="17" spans="1:30" ht="15" customHeight="1" x14ac:dyDescent="0.3">
      <c r="A17" s="21">
        <v>2017</v>
      </c>
      <c r="B17" s="21">
        <v>2</v>
      </c>
      <c r="C17" s="21" t="s">
        <v>101</v>
      </c>
      <c r="D17" s="21">
        <v>4.2</v>
      </c>
      <c r="E17" s="21">
        <v>4.0000000000000001E-3</v>
      </c>
      <c r="F17" s="21">
        <v>190.77</v>
      </c>
      <c r="G17" s="21">
        <v>1.91</v>
      </c>
      <c r="H17" s="21">
        <v>0.02</v>
      </c>
      <c r="I17" s="21">
        <v>21</v>
      </c>
      <c r="J17" s="21">
        <v>454.21</v>
      </c>
      <c r="K17" s="21" t="s">
        <v>86</v>
      </c>
      <c r="L17" s="21" t="s">
        <v>95</v>
      </c>
      <c r="M17" s="21"/>
      <c r="N17" s="21"/>
      <c r="O17" s="21">
        <v>0</v>
      </c>
      <c r="P17" s="21">
        <v>12.58</v>
      </c>
      <c r="S17" s="22">
        <v>2022</v>
      </c>
      <c r="T17" s="23">
        <f>SUMIFS(Tbl_Monthly[volume_millions],Tbl_Monthly[year],S17)</f>
        <v>74033.2</v>
      </c>
      <c r="U17" s="23">
        <f>SUMIFS(Tbl_Monthly[value_crores],Tbl_Monthly[year],S17)</f>
        <v>2519120</v>
      </c>
      <c r="V17" s="23">
        <f>AVERAGEIFS(Tbl_Monthly[banks_live],Tbl_Monthly[year],S17)</f>
        <v>311.66666666666669</v>
      </c>
      <c r="AB17" s="22" t="s">
        <v>102</v>
      </c>
      <c r="AC17" s="23">
        <f>SUMIFS(Tbl_Monthly[volume_millions],Tbl_Monthly[fiscal_year],AB17)</f>
        <v>83714</v>
      </c>
      <c r="AD17" s="23">
        <f>SUMIFS(Tbl_Monthly[value_crores],Tbl_Monthly[fiscal_year],AB17)</f>
        <v>2860190</v>
      </c>
    </row>
    <row r="18" spans="1:30" ht="15" customHeight="1" x14ac:dyDescent="0.3">
      <c r="A18" s="21">
        <v>2017</v>
      </c>
      <c r="B18" s="21">
        <v>3</v>
      </c>
      <c r="C18" s="21" t="s">
        <v>103</v>
      </c>
      <c r="D18" s="21">
        <v>6.2</v>
      </c>
      <c r="E18" s="21">
        <v>6.0000000000000001E-3</v>
      </c>
      <c r="F18" s="21">
        <v>235</v>
      </c>
      <c r="G18" s="21">
        <v>2.35</v>
      </c>
      <c r="H18" s="21">
        <v>0.03</v>
      </c>
      <c r="I18" s="21">
        <v>26</v>
      </c>
      <c r="J18" s="21">
        <v>379.03</v>
      </c>
      <c r="K18" s="21" t="s">
        <v>86</v>
      </c>
      <c r="L18" s="21" t="s">
        <v>95</v>
      </c>
      <c r="M18" s="21"/>
      <c r="N18" s="21"/>
      <c r="O18" s="21">
        <v>47.62</v>
      </c>
      <c r="P18" s="21">
        <v>23.18</v>
      </c>
      <c r="S18" s="22">
        <v>2023</v>
      </c>
      <c r="T18" s="23">
        <f>SUMIFS(Tbl_Monthly[volume_millions],Tbl_Monthly[year],S18)</f>
        <v>117181</v>
      </c>
      <c r="U18" s="23">
        <f>SUMIFS(Tbl_Monthly[value_crores],Tbl_Monthly[year],S18)</f>
        <v>4023320</v>
      </c>
      <c r="V18" s="23">
        <f>AVERAGEIFS(Tbl_Monthly[banks_live],Tbl_Monthly[year],S18)</f>
        <v>372.58333333333331</v>
      </c>
      <c r="AB18" s="22" t="s">
        <v>104</v>
      </c>
      <c r="AC18" s="23">
        <f>SUMIFS(Tbl_Monthly[volume_millions],Tbl_Monthly[fiscal_year],AB18)</f>
        <v>130033</v>
      </c>
      <c r="AD18" s="23">
        <f>SUMIFS(Tbl_Monthly[value_crores],Tbl_Monthly[fiscal_year],AB18)</f>
        <v>4465190</v>
      </c>
    </row>
    <row r="19" spans="1:30" ht="15" customHeight="1" x14ac:dyDescent="0.3">
      <c r="A19" s="21">
        <v>2017</v>
      </c>
      <c r="B19" s="21">
        <v>4</v>
      </c>
      <c r="C19" s="21" t="s">
        <v>105</v>
      </c>
      <c r="D19" s="21">
        <v>6.9</v>
      </c>
      <c r="E19" s="21">
        <v>7.0000000000000001E-3</v>
      </c>
      <c r="F19" s="21">
        <v>270</v>
      </c>
      <c r="G19" s="21">
        <v>2.7</v>
      </c>
      <c r="H19" s="21">
        <v>0.03</v>
      </c>
      <c r="I19" s="21">
        <v>26</v>
      </c>
      <c r="J19" s="21">
        <v>391.3</v>
      </c>
      <c r="K19" s="21" t="s">
        <v>90</v>
      </c>
      <c r="L19" s="21" t="s">
        <v>88</v>
      </c>
      <c r="M19" s="21"/>
      <c r="N19" s="21"/>
      <c r="O19" s="21">
        <v>11.29</v>
      </c>
      <c r="P19" s="21">
        <v>14.89</v>
      </c>
      <c r="S19" s="22">
        <v>2024</v>
      </c>
      <c r="T19" s="23">
        <f>SUMIFS(Tbl_Monthly[volume_millions],Tbl_Monthly[year],S19)</f>
        <v>171649</v>
      </c>
      <c r="U19" s="23">
        <f>SUMIFS(Tbl_Monthly[value_crores],Tbl_Monthly[year],S19)</f>
        <v>5876510</v>
      </c>
      <c r="V19" s="23">
        <f>AVERAGEIFS(Tbl_Monthly[banks_live],Tbl_Monthly[year],S19)</f>
        <v>427.66666666666669</v>
      </c>
      <c r="AB19" s="22" t="s">
        <v>106</v>
      </c>
      <c r="AC19" s="23">
        <f>SUMIFS(Tbl_Monthly[volume_millions],Tbl_Monthly[fiscal_year],AB19)</f>
        <v>167206</v>
      </c>
      <c r="AD19" s="23">
        <f>SUMIFS(Tbl_Monthly[value_crores],Tbl_Monthly[fiscal_year],AB19)</f>
        <v>5723700</v>
      </c>
    </row>
    <row r="20" spans="1:30" ht="15" customHeight="1" x14ac:dyDescent="0.3">
      <c r="A20" s="21">
        <v>2017</v>
      </c>
      <c r="B20" s="21">
        <v>5</v>
      </c>
      <c r="C20" s="21" t="s">
        <v>107</v>
      </c>
      <c r="D20" s="21">
        <v>9.3000000000000007</v>
      </c>
      <c r="E20" s="21">
        <v>8.9999999999999993E-3</v>
      </c>
      <c r="F20" s="21">
        <v>400</v>
      </c>
      <c r="G20" s="21">
        <v>4</v>
      </c>
      <c r="H20" s="21">
        <v>0.05</v>
      </c>
      <c r="I20" s="21">
        <v>30</v>
      </c>
      <c r="J20" s="21">
        <v>430.11</v>
      </c>
      <c r="K20" s="21" t="s">
        <v>90</v>
      </c>
      <c r="L20" s="21" t="s">
        <v>88</v>
      </c>
      <c r="M20" s="21"/>
      <c r="N20" s="21"/>
      <c r="O20" s="21">
        <v>34.78</v>
      </c>
      <c r="P20" s="21">
        <v>48.15</v>
      </c>
      <c r="S20" s="22">
        <v>2025</v>
      </c>
      <c r="T20" s="23">
        <f>SUMIFS(Tbl_Monthly[volume_millions],Tbl_Monthly[year],S20)</f>
        <v>32644</v>
      </c>
      <c r="U20" s="23">
        <f>SUMIFS(Tbl_Monthly[value_crores],Tbl_Monthly[year],S20)</f>
        <v>1118490</v>
      </c>
      <c r="V20" s="23">
        <f>AVERAGEIFS(Tbl_Monthly[banks_live],Tbl_Monthly[year],S20)</f>
        <v>454</v>
      </c>
    </row>
    <row r="21" spans="1:30" ht="15" customHeight="1" x14ac:dyDescent="0.3">
      <c r="A21" s="21">
        <v>2017</v>
      </c>
      <c r="B21" s="21">
        <v>6</v>
      </c>
      <c r="C21" s="21" t="s">
        <v>108</v>
      </c>
      <c r="D21" s="21">
        <v>10.199999999999999</v>
      </c>
      <c r="E21" s="21">
        <v>0.01</v>
      </c>
      <c r="F21" s="21">
        <v>450</v>
      </c>
      <c r="G21" s="21">
        <v>4.5</v>
      </c>
      <c r="H21" s="21">
        <v>0.05</v>
      </c>
      <c r="I21" s="21">
        <v>33</v>
      </c>
      <c r="J21" s="21">
        <v>441.18</v>
      </c>
      <c r="K21" s="21" t="s">
        <v>90</v>
      </c>
      <c r="L21" s="21" t="s">
        <v>88</v>
      </c>
      <c r="M21" s="21"/>
      <c r="N21" s="21"/>
      <c r="O21" s="21">
        <v>9.68</v>
      </c>
      <c r="P21" s="21">
        <v>12.5</v>
      </c>
    </row>
    <row r="22" spans="1:30" ht="15" customHeight="1" x14ac:dyDescent="0.3">
      <c r="A22" s="21">
        <v>2017</v>
      </c>
      <c r="B22" s="21">
        <v>7</v>
      </c>
      <c r="C22" s="21" t="s">
        <v>109</v>
      </c>
      <c r="D22" s="21">
        <v>16.600000000000001</v>
      </c>
      <c r="E22" s="21">
        <v>1.7000000000000001E-2</v>
      </c>
      <c r="F22" s="21">
        <v>540</v>
      </c>
      <c r="G22" s="21">
        <v>5.4</v>
      </c>
      <c r="H22" s="21">
        <v>7.0000000000000007E-2</v>
      </c>
      <c r="I22" s="21">
        <v>38</v>
      </c>
      <c r="J22" s="21">
        <v>325.3</v>
      </c>
      <c r="K22" s="21" t="s">
        <v>90</v>
      </c>
      <c r="L22" s="21" t="s">
        <v>87</v>
      </c>
      <c r="M22" s="21"/>
      <c r="N22" s="21"/>
      <c r="O22" s="21">
        <v>62.75</v>
      </c>
      <c r="P22" s="21">
        <v>20</v>
      </c>
    </row>
    <row r="23" spans="1:30" ht="15" customHeight="1" x14ac:dyDescent="0.3">
      <c r="A23" s="21">
        <v>2017</v>
      </c>
      <c r="B23" s="21">
        <v>8</v>
      </c>
      <c r="C23" s="21" t="s">
        <v>110</v>
      </c>
      <c r="D23" s="21">
        <v>30.8</v>
      </c>
      <c r="E23" s="21">
        <v>3.1E-2</v>
      </c>
      <c r="F23" s="21">
        <v>1060</v>
      </c>
      <c r="G23" s="21">
        <v>10.6</v>
      </c>
      <c r="H23" s="21">
        <v>0.13</v>
      </c>
      <c r="I23" s="21">
        <v>40</v>
      </c>
      <c r="J23" s="21">
        <v>344.16</v>
      </c>
      <c r="K23" s="21" t="s">
        <v>90</v>
      </c>
      <c r="L23" s="21" t="s">
        <v>87</v>
      </c>
      <c r="M23" s="21">
        <v>34122.22</v>
      </c>
      <c r="N23" s="21">
        <v>34204.21</v>
      </c>
      <c r="O23" s="21">
        <v>85.54</v>
      </c>
      <c r="P23" s="21">
        <v>96.3</v>
      </c>
    </row>
    <row r="24" spans="1:30" ht="15" customHeight="1" x14ac:dyDescent="0.3">
      <c r="A24" s="21">
        <v>2017</v>
      </c>
      <c r="B24" s="21">
        <v>9</v>
      </c>
      <c r="C24" s="21" t="s">
        <v>111</v>
      </c>
      <c r="D24" s="21">
        <v>52.9</v>
      </c>
      <c r="E24" s="21">
        <v>5.2999999999999999E-2</v>
      </c>
      <c r="F24" s="21">
        <v>1963</v>
      </c>
      <c r="G24" s="21">
        <v>19.63</v>
      </c>
      <c r="H24" s="21">
        <v>0.24</v>
      </c>
      <c r="I24" s="21">
        <v>43</v>
      </c>
      <c r="J24" s="21">
        <v>371.08</v>
      </c>
      <c r="K24" s="21" t="s">
        <v>90</v>
      </c>
      <c r="L24" s="21" t="s">
        <v>87</v>
      </c>
      <c r="M24" s="21">
        <v>40592.31</v>
      </c>
      <c r="N24" s="21">
        <v>37078.03</v>
      </c>
      <c r="O24" s="21">
        <v>71.75</v>
      </c>
      <c r="P24" s="21">
        <v>85.19</v>
      </c>
    </row>
    <row r="25" spans="1:30" ht="15" customHeight="1" x14ac:dyDescent="0.3">
      <c r="A25" s="21">
        <v>2017</v>
      </c>
      <c r="B25" s="21">
        <v>10</v>
      </c>
      <c r="C25" s="21" t="s">
        <v>112</v>
      </c>
      <c r="D25" s="21">
        <v>76.8</v>
      </c>
      <c r="E25" s="21">
        <v>7.6999999999999999E-2</v>
      </c>
      <c r="F25" s="21">
        <v>2710</v>
      </c>
      <c r="G25" s="21">
        <v>27.1</v>
      </c>
      <c r="H25" s="21">
        <v>0.33</v>
      </c>
      <c r="I25" s="21">
        <v>46</v>
      </c>
      <c r="J25" s="21">
        <v>352.86</v>
      </c>
      <c r="K25" s="21" t="s">
        <v>90</v>
      </c>
      <c r="L25" s="21" t="s">
        <v>92</v>
      </c>
      <c r="M25" s="21">
        <v>25500</v>
      </c>
      <c r="N25" s="21">
        <v>16826.919999999998</v>
      </c>
      <c r="O25" s="21">
        <v>45.18</v>
      </c>
      <c r="P25" s="21">
        <v>38.049999999999997</v>
      </c>
    </row>
    <row r="26" spans="1:30" ht="15" customHeight="1" x14ac:dyDescent="0.3">
      <c r="A26" s="21">
        <v>2017</v>
      </c>
      <c r="B26" s="21">
        <v>11</v>
      </c>
      <c r="C26" s="21" t="s">
        <v>113</v>
      </c>
      <c r="D26" s="21">
        <v>104.8</v>
      </c>
      <c r="E26" s="21">
        <v>0.105</v>
      </c>
      <c r="F26" s="21">
        <v>3924</v>
      </c>
      <c r="G26" s="21">
        <v>39.24</v>
      </c>
      <c r="H26" s="21">
        <v>0.47</v>
      </c>
      <c r="I26" s="21">
        <v>48</v>
      </c>
      <c r="J26" s="21">
        <v>374.43</v>
      </c>
      <c r="K26" s="21" t="s">
        <v>90</v>
      </c>
      <c r="L26" s="21" t="s">
        <v>92</v>
      </c>
      <c r="M26" s="21">
        <v>20860</v>
      </c>
      <c r="N26" s="21">
        <v>16216.01</v>
      </c>
      <c r="O26" s="21">
        <v>36.46</v>
      </c>
      <c r="P26" s="21">
        <v>44.8</v>
      </c>
    </row>
    <row r="27" spans="1:30" ht="15" customHeight="1" x14ac:dyDescent="0.3">
      <c r="A27" s="21">
        <v>2017</v>
      </c>
      <c r="B27" s="21">
        <v>12</v>
      </c>
      <c r="C27" s="21" t="s">
        <v>114</v>
      </c>
      <c r="D27" s="21">
        <v>145.5</v>
      </c>
      <c r="E27" s="21">
        <v>0.14499999999999999</v>
      </c>
      <c r="F27" s="21">
        <v>5020</v>
      </c>
      <c r="G27" s="21">
        <v>50.2</v>
      </c>
      <c r="H27" s="21">
        <v>0.6</v>
      </c>
      <c r="I27" s="21">
        <v>49</v>
      </c>
      <c r="J27" s="21">
        <v>345.02</v>
      </c>
      <c r="K27" s="21" t="s">
        <v>90</v>
      </c>
      <c r="L27" s="21" t="s">
        <v>92</v>
      </c>
      <c r="M27" s="21">
        <v>7175</v>
      </c>
      <c r="N27" s="21">
        <v>6935.74</v>
      </c>
      <c r="O27" s="21">
        <v>38.840000000000003</v>
      </c>
      <c r="P27" s="21">
        <v>27.93</v>
      </c>
    </row>
    <row r="28" spans="1:30" ht="15" customHeight="1" x14ac:dyDescent="0.3">
      <c r="A28" s="21">
        <v>2018</v>
      </c>
      <c r="B28" s="21">
        <v>1</v>
      </c>
      <c r="C28" s="21" t="s">
        <v>115</v>
      </c>
      <c r="D28" s="21">
        <v>151.80000000000001</v>
      </c>
      <c r="E28" s="21">
        <v>0.152</v>
      </c>
      <c r="F28" s="21">
        <v>5264</v>
      </c>
      <c r="G28" s="21">
        <v>52.64</v>
      </c>
      <c r="H28" s="21">
        <v>0.63</v>
      </c>
      <c r="I28" s="21">
        <v>51</v>
      </c>
      <c r="J28" s="21">
        <v>346.77</v>
      </c>
      <c r="K28" s="21" t="s">
        <v>90</v>
      </c>
      <c r="L28" s="21" t="s">
        <v>95</v>
      </c>
      <c r="M28" s="21">
        <v>3514.29</v>
      </c>
      <c r="N28" s="21">
        <v>3006.34</v>
      </c>
      <c r="O28" s="21">
        <v>4.33</v>
      </c>
      <c r="P28" s="21">
        <v>4.8600000000000003</v>
      </c>
    </row>
    <row r="29" spans="1:30" ht="15" customHeight="1" x14ac:dyDescent="0.3">
      <c r="A29" s="21">
        <v>2018</v>
      </c>
      <c r="B29" s="21">
        <v>2</v>
      </c>
      <c r="C29" s="21" t="s">
        <v>116</v>
      </c>
      <c r="D29" s="21">
        <v>171.4</v>
      </c>
      <c r="E29" s="21">
        <v>0.17100000000000001</v>
      </c>
      <c r="F29" s="21">
        <v>5906</v>
      </c>
      <c r="G29" s="21">
        <v>59.06</v>
      </c>
      <c r="H29" s="21">
        <v>0.71</v>
      </c>
      <c r="I29" s="21">
        <v>55</v>
      </c>
      <c r="J29" s="21">
        <v>344.57</v>
      </c>
      <c r="K29" s="21" t="s">
        <v>90</v>
      </c>
      <c r="L29" s="21" t="s">
        <v>95</v>
      </c>
      <c r="M29" s="21">
        <v>3980.95</v>
      </c>
      <c r="N29" s="21">
        <v>2995.87</v>
      </c>
      <c r="O29" s="21">
        <v>12.91</v>
      </c>
      <c r="P29" s="21">
        <v>12.2</v>
      </c>
    </row>
    <row r="30" spans="1:30" ht="15" customHeight="1" x14ac:dyDescent="0.3">
      <c r="A30" s="21">
        <v>2018</v>
      </c>
      <c r="B30" s="21">
        <v>3</v>
      </c>
      <c r="C30" s="21" t="s">
        <v>117</v>
      </c>
      <c r="D30" s="21">
        <v>178.1</v>
      </c>
      <c r="E30" s="21">
        <v>0.17799999999999999</v>
      </c>
      <c r="F30" s="21">
        <v>6100</v>
      </c>
      <c r="G30" s="21">
        <v>61</v>
      </c>
      <c r="H30" s="21">
        <v>0.73</v>
      </c>
      <c r="I30" s="21">
        <v>59</v>
      </c>
      <c r="J30" s="21">
        <v>342.5</v>
      </c>
      <c r="K30" s="21" t="s">
        <v>90</v>
      </c>
      <c r="L30" s="21" t="s">
        <v>95</v>
      </c>
      <c r="M30" s="21">
        <v>2772.58</v>
      </c>
      <c r="N30" s="21">
        <v>2495.7399999999998</v>
      </c>
      <c r="O30" s="21">
        <v>3.91</v>
      </c>
      <c r="P30" s="21">
        <v>3.28</v>
      </c>
    </row>
    <row r="31" spans="1:30" ht="15" customHeight="1" x14ac:dyDescent="0.3">
      <c r="A31" s="21">
        <v>2018</v>
      </c>
      <c r="B31" s="21">
        <v>4</v>
      </c>
      <c r="C31" s="21" t="s">
        <v>118</v>
      </c>
      <c r="D31" s="21">
        <v>190</v>
      </c>
      <c r="E31" s="21">
        <v>0.19</v>
      </c>
      <c r="F31" s="21">
        <v>6434</v>
      </c>
      <c r="G31" s="21">
        <v>64.34</v>
      </c>
      <c r="H31" s="21">
        <v>0.78</v>
      </c>
      <c r="I31" s="21">
        <v>71</v>
      </c>
      <c r="J31" s="21">
        <v>338.63</v>
      </c>
      <c r="K31" s="21" t="s">
        <v>93</v>
      </c>
      <c r="L31" s="21" t="s">
        <v>88</v>
      </c>
      <c r="M31" s="21">
        <v>2653.62</v>
      </c>
      <c r="N31" s="21">
        <v>2282.96</v>
      </c>
      <c r="O31" s="21">
        <v>6.68</v>
      </c>
      <c r="P31" s="21">
        <v>5.48</v>
      </c>
    </row>
    <row r="32" spans="1:30" ht="15" customHeight="1" x14ac:dyDescent="0.3">
      <c r="A32" s="21">
        <v>2018</v>
      </c>
      <c r="B32" s="21">
        <v>5</v>
      </c>
      <c r="C32" s="21" t="s">
        <v>119</v>
      </c>
      <c r="D32" s="21">
        <v>224.6</v>
      </c>
      <c r="E32" s="21">
        <v>0.22500000000000001</v>
      </c>
      <c r="F32" s="21">
        <v>7621</v>
      </c>
      <c r="G32" s="21">
        <v>76.209999999999994</v>
      </c>
      <c r="H32" s="21">
        <v>0.92</v>
      </c>
      <c r="I32" s="21">
        <v>78</v>
      </c>
      <c r="J32" s="21">
        <v>339.31</v>
      </c>
      <c r="K32" s="21" t="s">
        <v>93</v>
      </c>
      <c r="L32" s="21" t="s">
        <v>88</v>
      </c>
      <c r="M32" s="21">
        <v>2315.0500000000002</v>
      </c>
      <c r="N32" s="21">
        <v>1805.25</v>
      </c>
      <c r="O32" s="21">
        <v>18.21</v>
      </c>
      <c r="P32" s="21">
        <v>18.45</v>
      </c>
    </row>
    <row r="33" spans="1:16" ht="15" customHeight="1" x14ac:dyDescent="0.3">
      <c r="A33" s="21">
        <v>2018</v>
      </c>
      <c r="B33" s="21">
        <v>6</v>
      </c>
      <c r="C33" s="21" t="s">
        <v>120</v>
      </c>
      <c r="D33" s="21">
        <v>246.4</v>
      </c>
      <c r="E33" s="21">
        <v>0.246</v>
      </c>
      <c r="F33" s="21">
        <v>8363</v>
      </c>
      <c r="G33" s="21">
        <v>83.63</v>
      </c>
      <c r="H33" s="21">
        <v>1.01</v>
      </c>
      <c r="I33" s="21">
        <v>87</v>
      </c>
      <c r="J33" s="21">
        <v>339.41</v>
      </c>
      <c r="K33" s="21" t="s">
        <v>93</v>
      </c>
      <c r="L33" s="21" t="s">
        <v>88</v>
      </c>
      <c r="M33" s="21">
        <v>2315.69</v>
      </c>
      <c r="N33" s="21">
        <v>1758.44</v>
      </c>
      <c r="O33" s="21">
        <v>9.7100000000000009</v>
      </c>
      <c r="P33" s="21">
        <v>9.74</v>
      </c>
    </row>
    <row r="34" spans="1:16" ht="15" customHeight="1" x14ac:dyDescent="0.3">
      <c r="A34" s="21">
        <v>2018</v>
      </c>
      <c r="B34" s="21">
        <v>7</v>
      </c>
      <c r="C34" s="21" t="s">
        <v>121</v>
      </c>
      <c r="D34" s="21">
        <v>235.7</v>
      </c>
      <c r="E34" s="21">
        <v>0.23599999999999999</v>
      </c>
      <c r="F34" s="21">
        <v>8286</v>
      </c>
      <c r="G34" s="21">
        <v>82.86</v>
      </c>
      <c r="H34" s="21">
        <v>1</v>
      </c>
      <c r="I34" s="21">
        <v>91</v>
      </c>
      <c r="J34" s="21">
        <v>351.55</v>
      </c>
      <c r="K34" s="21" t="s">
        <v>93</v>
      </c>
      <c r="L34" s="21" t="s">
        <v>87</v>
      </c>
      <c r="M34" s="21">
        <v>1319.88</v>
      </c>
      <c r="N34" s="21">
        <v>1434.44</v>
      </c>
      <c r="O34" s="21">
        <v>-4.34</v>
      </c>
      <c r="P34" s="21">
        <v>-0.92</v>
      </c>
    </row>
    <row r="35" spans="1:16" ht="15" customHeight="1" x14ac:dyDescent="0.3">
      <c r="A35" s="21">
        <v>2018</v>
      </c>
      <c r="B35" s="21">
        <v>8</v>
      </c>
      <c r="C35" s="21" t="s">
        <v>122</v>
      </c>
      <c r="D35" s="21">
        <v>312.3</v>
      </c>
      <c r="E35" s="21">
        <v>0.312</v>
      </c>
      <c r="F35" s="21">
        <v>10585</v>
      </c>
      <c r="G35" s="21">
        <v>105.85</v>
      </c>
      <c r="H35" s="21">
        <v>1.28</v>
      </c>
      <c r="I35" s="21">
        <v>100</v>
      </c>
      <c r="J35" s="21">
        <v>338.94</v>
      </c>
      <c r="K35" s="21" t="s">
        <v>93</v>
      </c>
      <c r="L35" s="21" t="s">
        <v>87</v>
      </c>
      <c r="M35" s="21">
        <v>913.96</v>
      </c>
      <c r="N35" s="21">
        <v>898.58</v>
      </c>
      <c r="O35" s="21">
        <v>32.5</v>
      </c>
      <c r="P35" s="21">
        <v>27.75</v>
      </c>
    </row>
    <row r="36" spans="1:16" ht="15" customHeight="1" x14ac:dyDescent="0.3">
      <c r="A36" s="21">
        <v>2018</v>
      </c>
      <c r="B36" s="21">
        <v>9</v>
      </c>
      <c r="C36" s="21" t="s">
        <v>123</v>
      </c>
      <c r="D36" s="21">
        <v>405.8</v>
      </c>
      <c r="E36" s="21">
        <v>0.40600000000000003</v>
      </c>
      <c r="F36" s="21">
        <v>14162</v>
      </c>
      <c r="G36" s="21">
        <v>141.62</v>
      </c>
      <c r="H36" s="21">
        <v>1.71</v>
      </c>
      <c r="I36" s="21">
        <v>114</v>
      </c>
      <c r="J36" s="21">
        <v>348.99</v>
      </c>
      <c r="K36" s="21" t="s">
        <v>93</v>
      </c>
      <c r="L36" s="21" t="s">
        <v>87</v>
      </c>
      <c r="M36" s="21">
        <v>667.11</v>
      </c>
      <c r="N36" s="21">
        <v>621.45000000000005</v>
      </c>
      <c r="O36" s="21">
        <v>29.94</v>
      </c>
      <c r="P36" s="21">
        <v>33.79</v>
      </c>
    </row>
    <row r="37" spans="1:16" ht="15" customHeight="1" x14ac:dyDescent="0.3">
      <c r="A37" s="21">
        <v>2018</v>
      </c>
      <c r="B37" s="21">
        <v>10</v>
      </c>
      <c r="C37" s="21" t="s">
        <v>124</v>
      </c>
      <c r="D37" s="21">
        <v>482.3</v>
      </c>
      <c r="E37" s="21">
        <v>0.48199999999999998</v>
      </c>
      <c r="F37" s="21">
        <v>17085</v>
      </c>
      <c r="G37" s="21">
        <v>170.85</v>
      </c>
      <c r="H37" s="21">
        <v>2.06</v>
      </c>
      <c r="I37" s="21">
        <v>117</v>
      </c>
      <c r="J37" s="21">
        <v>354.24</v>
      </c>
      <c r="K37" s="21" t="s">
        <v>93</v>
      </c>
      <c r="L37" s="21" t="s">
        <v>92</v>
      </c>
      <c r="M37" s="21">
        <v>527.99</v>
      </c>
      <c r="N37" s="21">
        <v>530.44000000000005</v>
      </c>
      <c r="O37" s="21">
        <v>18.850000000000001</v>
      </c>
      <c r="P37" s="21">
        <v>20.64</v>
      </c>
    </row>
    <row r="38" spans="1:16" ht="15" customHeight="1" x14ac:dyDescent="0.3">
      <c r="A38" s="21">
        <v>2018</v>
      </c>
      <c r="B38" s="21">
        <v>11</v>
      </c>
      <c r="C38" s="21" t="s">
        <v>125</v>
      </c>
      <c r="D38" s="21">
        <v>524.9</v>
      </c>
      <c r="E38" s="21">
        <v>0.52500000000000002</v>
      </c>
      <c r="F38" s="21">
        <v>18235</v>
      </c>
      <c r="G38" s="21">
        <v>182.35</v>
      </c>
      <c r="H38" s="21">
        <v>2.2000000000000002</v>
      </c>
      <c r="I38" s="21">
        <v>122</v>
      </c>
      <c r="J38" s="21">
        <v>347.4</v>
      </c>
      <c r="K38" s="21" t="s">
        <v>93</v>
      </c>
      <c r="L38" s="21" t="s">
        <v>92</v>
      </c>
      <c r="M38" s="21">
        <v>400.86</v>
      </c>
      <c r="N38" s="21">
        <v>364.7</v>
      </c>
      <c r="O38" s="21">
        <v>8.83</v>
      </c>
      <c r="P38" s="21">
        <v>6.73</v>
      </c>
    </row>
    <row r="39" spans="1:16" ht="15" customHeight="1" x14ac:dyDescent="0.3">
      <c r="A39" s="21">
        <v>2018</v>
      </c>
      <c r="B39" s="21">
        <v>12</v>
      </c>
      <c r="C39" s="21" t="s">
        <v>126</v>
      </c>
      <c r="D39" s="21">
        <v>620.9</v>
      </c>
      <c r="E39" s="21">
        <v>0.621</v>
      </c>
      <c r="F39" s="21">
        <v>21074</v>
      </c>
      <c r="G39" s="21">
        <v>210.74</v>
      </c>
      <c r="H39" s="21">
        <v>2.54</v>
      </c>
      <c r="I39" s="21">
        <v>128</v>
      </c>
      <c r="J39" s="21">
        <v>339.41</v>
      </c>
      <c r="K39" s="21" t="s">
        <v>93</v>
      </c>
      <c r="L39" s="21" t="s">
        <v>92</v>
      </c>
      <c r="M39" s="21">
        <v>326.74</v>
      </c>
      <c r="N39" s="21">
        <v>319.8</v>
      </c>
      <c r="O39" s="21">
        <v>18.29</v>
      </c>
      <c r="P39" s="21">
        <v>15.57</v>
      </c>
    </row>
    <row r="40" spans="1:16" ht="15" customHeight="1" x14ac:dyDescent="0.3">
      <c r="A40" s="21">
        <v>2019</v>
      </c>
      <c r="B40" s="21">
        <v>1</v>
      </c>
      <c r="C40" s="21" t="s">
        <v>127</v>
      </c>
      <c r="D40" s="21">
        <v>672.7</v>
      </c>
      <c r="E40" s="21">
        <v>0.67300000000000004</v>
      </c>
      <c r="F40" s="21">
        <v>23090</v>
      </c>
      <c r="G40" s="21">
        <v>230.9</v>
      </c>
      <c r="H40" s="21">
        <v>2.78</v>
      </c>
      <c r="I40" s="21">
        <v>133</v>
      </c>
      <c r="J40" s="21">
        <v>343.24</v>
      </c>
      <c r="K40" s="21" t="s">
        <v>93</v>
      </c>
      <c r="L40" s="21" t="s">
        <v>95</v>
      </c>
      <c r="M40" s="21">
        <v>343.15</v>
      </c>
      <c r="N40" s="21">
        <v>338.64</v>
      </c>
      <c r="O40" s="21">
        <v>8.34</v>
      </c>
      <c r="P40" s="21">
        <v>9.57</v>
      </c>
    </row>
    <row r="41" spans="1:16" ht="15" customHeight="1" x14ac:dyDescent="0.3">
      <c r="A41" s="21">
        <v>2019</v>
      </c>
      <c r="B41" s="21">
        <v>2</v>
      </c>
      <c r="C41" s="21" t="s">
        <v>128</v>
      </c>
      <c r="D41" s="21">
        <v>674.2</v>
      </c>
      <c r="E41" s="21">
        <v>0.67400000000000004</v>
      </c>
      <c r="F41" s="21">
        <v>23046</v>
      </c>
      <c r="G41" s="21">
        <v>230.46</v>
      </c>
      <c r="H41" s="21">
        <v>2.78</v>
      </c>
      <c r="I41" s="21">
        <v>139</v>
      </c>
      <c r="J41" s="21">
        <v>341.83</v>
      </c>
      <c r="K41" s="21" t="s">
        <v>93</v>
      </c>
      <c r="L41" s="21" t="s">
        <v>95</v>
      </c>
      <c r="M41" s="21">
        <v>293.35000000000002</v>
      </c>
      <c r="N41" s="21">
        <v>290.20999999999998</v>
      </c>
      <c r="O41" s="21">
        <v>0.22</v>
      </c>
      <c r="P41" s="21">
        <v>-0.19</v>
      </c>
    </row>
    <row r="42" spans="1:16" ht="15" customHeight="1" x14ac:dyDescent="0.3">
      <c r="A42" s="21">
        <v>2019</v>
      </c>
      <c r="B42" s="21">
        <v>3</v>
      </c>
      <c r="C42" s="21" t="s">
        <v>129</v>
      </c>
      <c r="D42" s="21">
        <v>799.5</v>
      </c>
      <c r="E42" s="21">
        <v>0.79900000000000004</v>
      </c>
      <c r="F42" s="21">
        <v>27039</v>
      </c>
      <c r="G42" s="21">
        <v>270.39</v>
      </c>
      <c r="H42" s="21">
        <v>3.26</v>
      </c>
      <c r="I42" s="21">
        <v>143</v>
      </c>
      <c r="J42" s="21">
        <v>338.2</v>
      </c>
      <c r="K42" s="21" t="s">
        <v>93</v>
      </c>
      <c r="L42" s="21" t="s">
        <v>95</v>
      </c>
      <c r="M42" s="21">
        <v>348.91</v>
      </c>
      <c r="N42" s="21">
        <v>343.26</v>
      </c>
      <c r="O42" s="21">
        <v>18.579999999999998</v>
      </c>
      <c r="P42" s="21">
        <v>17.329999999999998</v>
      </c>
    </row>
    <row r="43" spans="1:16" ht="15" customHeight="1" x14ac:dyDescent="0.3">
      <c r="A43" s="21">
        <v>2019</v>
      </c>
      <c r="B43" s="21">
        <v>4</v>
      </c>
      <c r="C43" s="21" t="s">
        <v>130</v>
      </c>
      <c r="D43" s="21">
        <v>782</v>
      </c>
      <c r="E43" s="21">
        <v>0.78200000000000003</v>
      </c>
      <c r="F43" s="21">
        <v>26894</v>
      </c>
      <c r="G43" s="21">
        <v>268.94</v>
      </c>
      <c r="H43" s="21">
        <v>3.24</v>
      </c>
      <c r="I43" s="21">
        <v>148</v>
      </c>
      <c r="J43" s="21">
        <v>343.91</v>
      </c>
      <c r="K43" s="21" t="s">
        <v>96</v>
      </c>
      <c r="L43" s="21" t="s">
        <v>88</v>
      </c>
      <c r="M43" s="21">
        <v>311.58</v>
      </c>
      <c r="N43" s="21">
        <v>318</v>
      </c>
      <c r="O43" s="21">
        <v>-2.19</v>
      </c>
      <c r="P43" s="21">
        <v>-0.54</v>
      </c>
    </row>
    <row r="44" spans="1:16" ht="15" customHeight="1" x14ac:dyDescent="0.3">
      <c r="A44" s="21">
        <v>2019</v>
      </c>
      <c r="B44" s="21">
        <v>5</v>
      </c>
      <c r="C44" s="21" t="s">
        <v>131</v>
      </c>
      <c r="D44" s="21">
        <v>733.4</v>
      </c>
      <c r="E44" s="21">
        <v>0.73299999999999998</v>
      </c>
      <c r="F44" s="21">
        <v>25090</v>
      </c>
      <c r="G44" s="21">
        <v>250.9</v>
      </c>
      <c r="H44" s="21">
        <v>3.02</v>
      </c>
      <c r="I44" s="21">
        <v>148</v>
      </c>
      <c r="J44" s="21">
        <v>342.11</v>
      </c>
      <c r="K44" s="21" t="s">
        <v>96</v>
      </c>
      <c r="L44" s="21" t="s">
        <v>88</v>
      </c>
      <c r="M44" s="21">
        <v>226.54</v>
      </c>
      <c r="N44" s="21">
        <v>229.22</v>
      </c>
      <c r="O44" s="21">
        <v>-6.21</v>
      </c>
      <c r="P44" s="21">
        <v>-6.71</v>
      </c>
    </row>
    <row r="45" spans="1:16" ht="15" customHeight="1" x14ac:dyDescent="0.3">
      <c r="A45" s="21">
        <v>2019</v>
      </c>
      <c r="B45" s="21">
        <v>6</v>
      </c>
      <c r="C45" s="21" t="s">
        <v>132</v>
      </c>
      <c r="D45" s="21">
        <v>754.5</v>
      </c>
      <c r="E45" s="21">
        <v>0.754</v>
      </c>
      <c r="F45" s="21">
        <v>25780</v>
      </c>
      <c r="G45" s="21">
        <v>257.8</v>
      </c>
      <c r="H45" s="21">
        <v>3.11</v>
      </c>
      <c r="I45" s="21">
        <v>149</v>
      </c>
      <c r="J45" s="21">
        <v>341.68</v>
      </c>
      <c r="K45" s="21" t="s">
        <v>96</v>
      </c>
      <c r="L45" s="21" t="s">
        <v>88</v>
      </c>
      <c r="M45" s="21">
        <v>206.21</v>
      </c>
      <c r="N45" s="21">
        <v>208.26</v>
      </c>
      <c r="O45" s="21">
        <v>2.88</v>
      </c>
      <c r="P45" s="21">
        <v>2.75</v>
      </c>
    </row>
    <row r="46" spans="1:16" ht="15" customHeight="1" x14ac:dyDescent="0.3">
      <c r="A46" s="21">
        <v>2019</v>
      </c>
      <c r="B46" s="21">
        <v>7</v>
      </c>
      <c r="C46" s="21" t="s">
        <v>133</v>
      </c>
      <c r="D46" s="21">
        <v>822.3</v>
      </c>
      <c r="E46" s="21">
        <v>0.82199999999999995</v>
      </c>
      <c r="F46" s="21">
        <v>28459</v>
      </c>
      <c r="G46" s="21">
        <v>284.58999999999997</v>
      </c>
      <c r="H46" s="21">
        <v>3.43</v>
      </c>
      <c r="I46" s="21">
        <v>152</v>
      </c>
      <c r="J46" s="21">
        <v>346.09</v>
      </c>
      <c r="K46" s="21" t="s">
        <v>96</v>
      </c>
      <c r="L46" s="21" t="s">
        <v>87</v>
      </c>
      <c r="M46" s="21">
        <v>248.88</v>
      </c>
      <c r="N46" s="21">
        <v>243.46</v>
      </c>
      <c r="O46" s="21">
        <v>8.99</v>
      </c>
      <c r="P46" s="21">
        <v>10.39</v>
      </c>
    </row>
    <row r="47" spans="1:16" ht="15" customHeight="1" x14ac:dyDescent="0.3">
      <c r="A47" s="21">
        <v>2019</v>
      </c>
      <c r="B47" s="21">
        <v>8</v>
      </c>
      <c r="C47" s="21" t="s">
        <v>134</v>
      </c>
      <c r="D47" s="21">
        <v>918.3</v>
      </c>
      <c r="E47" s="21">
        <v>0.91800000000000004</v>
      </c>
      <c r="F47" s="21">
        <v>31639</v>
      </c>
      <c r="G47" s="21">
        <v>316.39</v>
      </c>
      <c r="H47" s="21">
        <v>3.81</v>
      </c>
      <c r="I47" s="21">
        <v>155</v>
      </c>
      <c r="J47" s="21">
        <v>344.54</v>
      </c>
      <c r="K47" s="21" t="s">
        <v>96</v>
      </c>
      <c r="L47" s="21" t="s">
        <v>87</v>
      </c>
      <c r="M47" s="21">
        <v>194.04</v>
      </c>
      <c r="N47" s="21">
        <v>198.9</v>
      </c>
      <c r="O47" s="21">
        <v>11.67</v>
      </c>
      <c r="P47" s="21">
        <v>11.17</v>
      </c>
    </row>
    <row r="48" spans="1:16" ht="15" customHeight="1" x14ac:dyDescent="0.3">
      <c r="A48" s="21">
        <v>2019</v>
      </c>
      <c r="B48" s="21">
        <v>9</v>
      </c>
      <c r="C48" s="21" t="s">
        <v>135</v>
      </c>
      <c r="D48" s="21">
        <v>955</v>
      </c>
      <c r="E48" s="21">
        <v>0.95499999999999996</v>
      </c>
      <c r="F48" s="21">
        <v>33670</v>
      </c>
      <c r="G48" s="21">
        <v>336.7</v>
      </c>
      <c r="H48" s="21">
        <v>4.0599999999999996</v>
      </c>
      <c r="I48" s="21">
        <v>158</v>
      </c>
      <c r="J48" s="21">
        <v>352.57</v>
      </c>
      <c r="K48" s="21" t="s">
        <v>96</v>
      </c>
      <c r="L48" s="21" t="s">
        <v>87</v>
      </c>
      <c r="M48" s="21">
        <v>135.34</v>
      </c>
      <c r="N48" s="21">
        <v>137.75</v>
      </c>
      <c r="O48" s="21">
        <v>4</v>
      </c>
      <c r="P48" s="21">
        <v>6.42</v>
      </c>
    </row>
    <row r="49" spans="1:16" ht="15" customHeight="1" x14ac:dyDescent="0.3">
      <c r="A49" s="21">
        <v>2019</v>
      </c>
      <c r="B49" s="21">
        <v>10</v>
      </c>
      <c r="C49" s="21" t="s">
        <v>136</v>
      </c>
      <c r="D49" s="21">
        <v>1148.4000000000001</v>
      </c>
      <c r="E49" s="21">
        <v>1.1479999999999999</v>
      </c>
      <c r="F49" s="21">
        <v>40437</v>
      </c>
      <c r="G49" s="21">
        <v>404.37</v>
      </c>
      <c r="H49" s="21">
        <v>4.87</v>
      </c>
      <c r="I49" s="21">
        <v>160</v>
      </c>
      <c r="J49" s="21">
        <v>352.12</v>
      </c>
      <c r="K49" s="21" t="s">
        <v>96</v>
      </c>
      <c r="L49" s="21" t="s">
        <v>92</v>
      </c>
      <c r="M49" s="21">
        <v>138.11000000000001</v>
      </c>
      <c r="N49" s="21">
        <v>136.68</v>
      </c>
      <c r="O49" s="21">
        <v>20.25</v>
      </c>
      <c r="P49" s="21">
        <v>20.100000000000001</v>
      </c>
    </row>
    <row r="50" spans="1:16" ht="15" customHeight="1" x14ac:dyDescent="0.3">
      <c r="A50" s="21">
        <v>2019</v>
      </c>
      <c r="B50" s="21">
        <v>11</v>
      </c>
      <c r="C50" s="21" t="s">
        <v>137</v>
      </c>
      <c r="D50" s="21">
        <v>1218.8</v>
      </c>
      <c r="E50" s="21">
        <v>1.2190000000000001</v>
      </c>
      <c r="F50" s="21">
        <v>43642</v>
      </c>
      <c r="G50" s="21">
        <v>436.42</v>
      </c>
      <c r="H50" s="21">
        <v>5.26</v>
      </c>
      <c r="I50" s="21">
        <v>163</v>
      </c>
      <c r="J50" s="21">
        <v>358.07</v>
      </c>
      <c r="K50" s="21" t="s">
        <v>96</v>
      </c>
      <c r="L50" s="21" t="s">
        <v>92</v>
      </c>
      <c r="M50" s="21">
        <v>132.19999999999999</v>
      </c>
      <c r="N50" s="21">
        <v>139.33000000000001</v>
      </c>
      <c r="O50" s="21">
        <v>6.13</v>
      </c>
      <c r="P50" s="21">
        <v>7.93</v>
      </c>
    </row>
    <row r="51" spans="1:16" ht="15" customHeight="1" x14ac:dyDescent="0.3">
      <c r="A51" s="21">
        <v>2019</v>
      </c>
      <c r="B51" s="21">
        <v>12</v>
      </c>
      <c r="C51" s="21" t="s">
        <v>138</v>
      </c>
      <c r="D51" s="21">
        <v>1308.4000000000001</v>
      </c>
      <c r="E51" s="21">
        <v>1.3080000000000001</v>
      </c>
      <c r="F51" s="21">
        <v>46463</v>
      </c>
      <c r="G51" s="21">
        <v>464.63</v>
      </c>
      <c r="H51" s="21">
        <v>5.6</v>
      </c>
      <c r="I51" s="21">
        <v>168</v>
      </c>
      <c r="J51" s="21">
        <v>355.11</v>
      </c>
      <c r="K51" s="21" t="s">
        <v>96</v>
      </c>
      <c r="L51" s="21" t="s">
        <v>92</v>
      </c>
      <c r="M51" s="21">
        <v>110.73</v>
      </c>
      <c r="N51" s="21">
        <v>120.48</v>
      </c>
      <c r="O51" s="21">
        <v>7.35</v>
      </c>
      <c r="P51" s="21">
        <v>6.46</v>
      </c>
    </row>
    <row r="52" spans="1:16" ht="15" customHeight="1" x14ac:dyDescent="0.3">
      <c r="A52" s="21">
        <v>2020</v>
      </c>
      <c r="B52" s="21">
        <v>1</v>
      </c>
      <c r="C52" s="21" t="s">
        <v>139</v>
      </c>
      <c r="D52" s="21">
        <v>1302.4000000000001</v>
      </c>
      <c r="E52" s="21">
        <v>1.302</v>
      </c>
      <c r="F52" s="21">
        <v>46085</v>
      </c>
      <c r="G52" s="21">
        <v>460.85</v>
      </c>
      <c r="H52" s="21">
        <v>5.55</v>
      </c>
      <c r="I52" s="21">
        <v>172</v>
      </c>
      <c r="J52" s="21">
        <v>353.85</v>
      </c>
      <c r="K52" s="21" t="s">
        <v>96</v>
      </c>
      <c r="L52" s="21" t="s">
        <v>95</v>
      </c>
      <c r="M52" s="21">
        <v>93.61</v>
      </c>
      <c r="N52" s="21">
        <v>99.59</v>
      </c>
      <c r="O52" s="21">
        <v>-0.46</v>
      </c>
      <c r="P52" s="21">
        <v>-0.81</v>
      </c>
    </row>
    <row r="53" spans="1:16" ht="15" customHeight="1" x14ac:dyDescent="0.3">
      <c r="A53" s="21">
        <v>2020</v>
      </c>
      <c r="B53" s="21">
        <v>2</v>
      </c>
      <c r="C53" s="21" t="s">
        <v>140</v>
      </c>
      <c r="D53" s="21">
        <v>1325.7</v>
      </c>
      <c r="E53" s="21">
        <v>1.3260000000000001</v>
      </c>
      <c r="F53" s="21">
        <v>46729</v>
      </c>
      <c r="G53" s="21">
        <v>467.29</v>
      </c>
      <c r="H53" s="21">
        <v>5.63</v>
      </c>
      <c r="I53" s="21">
        <v>176</v>
      </c>
      <c r="J53" s="21">
        <v>352.49</v>
      </c>
      <c r="K53" s="21" t="s">
        <v>96</v>
      </c>
      <c r="L53" s="21" t="s">
        <v>95</v>
      </c>
      <c r="M53" s="21">
        <v>96.63</v>
      </c>
      <c r="N53" s="21">
        <v>102.76</v>
      </c>
      <c r="O53" s="21">
        <v>1.79</v>
      </c>
      <c r="P53" s="21">
        <v>1.4</v>
      </c>
    </row>
    <row r="54" spans="1:16" ht="15" customHeight="1" x14ac:dyDescent="0.3">
      <c r="A54" s="21">
        <v>2020</v>
      </c>
      <c r="B54" s="21">
        <v>3</v>
      </c>
      <c r="C54" s="21" t="s">
        <v>141</v>
      </c>
      <c r="D54" s="21">
        <v>1246.8</v>
      </c>
      <c r="E54" s="21">
        <v>1.2470000000000001</v>
      </c>
      <c r="F54" s="21">
        <v>43481</v>
      </c>
      <c r="G54" s="21">
        <v>434.81</v>
      </c>
      <c r="H54" s="21">
        <v>5.24</v>
      </c>
      <c r="I54" s="21">
        <v>179</v>
      </c>
      <c r="J54" s="21">
        <v>348.74</v>
      </c>
      <c r="K54" s="21" t="s">
        <v>96</v>
      </c>
      <c r="L54" s="21" t="s">
        <v>95</v>
      </c>
      <c r="M54" s="21">
        <v>55.95</v>
      </c>
      <c r="N54" s="21">
        <v>60.81</v>
      </c>
      <c r="O54" s="21">
        <v>-5.95</v>
      </c>
      <c r="P54" s="21">
        <v>-6.95</v>
      </c>
    </row>
    <row r="55" spans="1:16" ht="15" customHeight="1" x14ac:dyDescent="0.3">
      <c r="A55" s="21">
        <v>2020</v>
      </c>
      <c r="B55" s="21">
        <v>4</v>
      </c>
      <c r="C55" s="21" t="s">
        <v>142</v>
      </c>
      <c r="D55" s="21">
        <v>999.6</v>
      </c>
      <c r="E55" s="21">
        <v>1</v>
      </c>
      <c r="F55" s="21">
        <v>34217</v>
      </c>
      <c r="G55" s="21">
        <v>342.17</v>
      </c>
      <c r="H55" s="21">
        <v>4.12</v>
      </c>
      <c r="I55" s="21">
        <v>185</v>
      </c>
      <c r="J55" s="21">
        <v>342.31</v>
      </c>
      <c r="K55" s="21" t="s">
        <v>98</v>
      </c>
      <c r="L55" s="21" t="s">
        <v>88</v>
      </c>
      <c r="M55" s="21">
        <v>27.83</v>
      </c>
      <c r="N55" s="21">
        <v>27.23</v>
      </c>
      <c r="O55" s="21">
        <v>-19.829999999999998</v>
      </c>
      <c r="P55" s="21">
        <v>-21.31</v>
      </c>
    </row>
    <row r="56" spans="1:16" ht="15" customHeight="1" x14ac:dyDescent="0.3">
      <c r="A56" s="21">
        <v>2020</v>
      </c>
      <c r="B56" s="21">
        <v>5</v>
      </c>
      <c r="C56" s="21" t="s">
        <v>143</v>
      </c>
      <c r="D56" s="21">
        <v>1234.5</v>
      </c>
      <c r="E56" s="21">
        <v>1.234</v>
      </c>
      <c r="F56" s="21">
        <v>42090</v>
      </c>
      <c r="G56" s="21">
        <v>420.9</v>
      </c>
      <c r="H56" s="21">
        <v>5.07</v>
      </c>
      <c r="I56" s="21">
        <v>190</v>
      </c>
      <c r="J56" s="21">
        <v>340.95</v>
      </c>
      <c r="K56" s="21" t="s">
        <v>98</v>
      </c>
      <c r="L56" s="21" t="s">
        <v>88</v>
      </c>
      <c r="M56" s="21">
        <v>68.33</v>
      </c>
      <c r="N56" s="21">
        <v>67.760000000000005</v>
      </c>
      <c r="O56" s="21">
        <v>23.5</v>
      </c>
      <c r="P56" s="21">
        <v>23.01</v>
      </c>
    </row>
    <row r="57" spans="1:16" ht="15" customHeight="1" x14ac:dyDescent="0.3">
      <c r="A57" s="21">
        <v>2020</v>
      </c>
      <c r="B57" s="21">
        <v>6</v>
      </c>
      <c r="C57" s="21" t="s">
        <v>144</v>
      </c>
      <c r="D57" s="21">
        <v>1340.1</v>
      </c>
      <c r="E57" s="21">
        <v>1.34</v>
      </c>
      <c r="F57" s="21">
        <v>46050</v>
      </c>
      <c r="G57" s="21">
        <v>460.5</v>
      </c>
      <c r="H57" s="21">
        <v>5.55</v>
      </c>
      <c r="I57" s="21">
        <v>193</v>
      </c>
      <c r="J57" s="21">
        <v>343.63</v>
      </c>
      <c r="K57" s="21" t="s">
        <v>98</v>
      </c>
      <c r="L57" s="21" t="s">
        <v>88</v>
      </c>
      <c r="M57" s="21">
        <v>77.61</v>
      </c>
      <c r="N57" s="21">
        <v>78.63</v>
      </c>
      <c r="O57" s="21">
        <v>8.5500000000000007</v>
      </c>
      <c r="P57" s="21">
        <v>9.41</v>
      </c>
    </row>
    <row r="58" spans="1:16" ht="15" customHeight="1" x14ac:dyDescent="0.3">
      <c r="A58" s="21">
        <v>2020</v>
      </c>
      <c r="B58" s="21">
        <v>7</v>
      </c>
      <c r="C58" s="21" t="s">
        <v>145</v>
      </c>
      <c r="D58" s="21">
        <v>1497.4</v>
      </c>
      <c r="E58" s="21">
        <v>1.4970000000000001</v>
      </c>
      <c r="F58" s="21">
        <v>51475</v>
      </c>
      <c r="G58" s="21">
        <v>514.75</v>
      </c>
      <c r="H58" s="21">
        <v>6.2</v>
      </c>
      <c r="I58" s="21">
        <v>196</v>
      </c>
      <c r="J58" s="21">
        <v>343.76</v>
      </c>
      <c r="K58" s="21" t="s">
        <v>98</v>
      </c>
      <c r="L58" s="21" t="s">
        <v>87</v>
      </c>
      <c r="M58" s="21">
        <v>82.1</v>
      </c>
      <c r="N58" s="21">
        <v>80.87</v>
      </c>
      <c r="O58" s="21">
        <v>11.74</v>
      </c>
      <c r="P58" s="21">
        <v>11.78</v>
      </c>
    </row>
    <row r="59" spans="1:16" ht="15" customHeight="1" x14ac:dyDescent="0.3">
      <c r="A59" s="21">
        <v>2020</v>
      </c>
      <c r="B59" s="21">
        <v>8</v>
      </c>
      <c r="C59" s="21" t="s">
        <v>146</v>
      </c>
      <c r="D59" s="21">
        <v>1618.8</v>
      </c>
      <c r="E59" s="21">
        <v>1.619</v>
      </c>
      <c r="F59" s="21">
        <v>57310</v>
      </c>
      <c r="G59" s="21">
        <v>573.1</v>
      </c>
      <c r="H59" s="21">
        <v>6.9</v>
      </c>
      <c r="I59" s="21">
        <v>200</v>
      </c>
      <c r="J59" s="21">
        <v>354.03</v>
      </c>
      <c r="K59" s="21" t="s">
        <v>98</v>
      </c>
      <c r="L59" s="21" t="s">
        <v>87</v>
      </c>
      <c r="M59" s="21">
        <v>76.28</v>
      </c>
      <c r="N59" s="21">
        <v>81.14</v>
      </c>
      <c r="O59" s="21">
        <v>8.11</v>
      </c>
      <c r="P59" s="21">
        <v>11.34</v>
      </c>
    </row>
    <row r="60" spans="1:16" ht="15" customHeight="1" x14ac:dyDescent="0.3">
      <c r="A60" s="21">
        <v>2020</v>
      </c>
      <c r="B60" s="21">
        <v>9</v>
      </c>
      <c r="C60" s="21" t="s">
        <v>147</v>
      </c>
      <c r="D60" s="21">
        <v>1800.1</v>
      </c>
      <c r="E60" s="21">
        <v>1.8</v>
      </c>
      <c r="F60" s="21">
        <v>62420</v>
      </c>
      <c r="G60" s="21">
        <v>624.20000000000005</v>
      </c>
      <c r="H60" s="21">
        <v>7.52</v>
      </c>
      <c r="I60" s="21">
        <v>205</v>
      </c>
      <c r="J60" s="21">
        <v>346.76</v>
      </c>
      <c r="K60" s="21" t="s">
        <v>98</v>
      </c>
      <c r="L60" s="21" t="s">
        <v>87</v>
      </c>
      <c r="M60" s="21">
        <v>88.49</v>
      </c>
      <c r="N60" s="21">
        <v>85.39</v>
      </c>
      <c r="O60" s="21">
        <v>11.2</v>
      </c>
      <c r="P60" s="21">
        <v>8.92</v>
      </c>
    </row>
    <row r="61" spans="1:16" ht="15" customHeight="1" x14ac:dyDescent="0.3">
      <c r="A61" s="21">
        <v>2020</v>
      </c>
      <c r="B61" s="21">
        <v>10</v>
      </c>
      <c r="C61" s="21" t="s">
        <v>148</v>
      </c>
      <c r="D61" s="21">
        <v>2071.1999999999998</v>
      </c>
      <c r="E61" s="21">
        <v>2.0710000000000002</v>
      </c>
      <c r="F61" s="21">
        <v>71580</v>
      </c>
      <c r="G61" s="21">
        <v>715.8</v>
      </c>
      <c r="H61" s="21">
        <v>8.6199999999999992</v>
      </c>
      <c r="I61" s="21">
        <v>207</v>
      </c>
      <c r="J61" s="21">
        <v>345.6</v>
      </c>
      <c r="K61" s="21" t="s">
        <v>98</v>
      </c>
      <c r="L61" s="21" t="s">
        <v>92</v>
      </c>
      <c r="M61" s="21">
        <v>80.36</v>
      </c>
      <c r="N61" s="21">
        <v>77.02</v>
      </c>
      <c r="O61" s="21">
        <v>15.06</v>
      </c>
      <c r="P61" s="21">
        <v>14.67</v>
      </c>
    </row>
    <row r="62" spans="1:16" ht="15" customHeight="1" x14ac:dyDescent="0.3">
      <c r="A62" s="21">
        <v>2020</v>
      </c>
      <c r="B62" s="21">
        <v>11</v>
      </c>
      <c r="C62" s="21" t="s">
        <v>149</v>
      </c>
      <c r="D62" s="21">
        <v>2210.4</v>
      </c>
      <c r="E62" s="21">
        <v>2.21</v>
      </c>
      <c r="F62" s="21">
        <v>76580</v>
      </c>
      <c r="G62" s="21">
        <v>765.8</v>
      </c>
      <c r="H62" s="21">
        <v>9.23</v>
      </c>
      <c r="I62" s="21">
        <v>210</v>
      </c>
      <c r="J62" s="21">
        <v>346.45</v>
      </c>
      <c r="K62" s="21" t="s">
        <v>98</v>
      </c>
      <c r="L62" s="21" t="s">
        <v>92</v>
      </c>
      <c r="M62" s="21">
        <v>81.36</v>
      </c>
      <c r="N62" s="21">
        <v>75.47</v>
      </c>
      <c r="O62" s="21">
        <v>6.72</v>
      </c>
      <c r="P62" s="21">
        <v>6.99</v>
      </c>
    </row>
    <row r="63" spans="1:16" ht="15" customHeight="1" x14ac:dyDescent="0.3">
      <c r="A63" s="21">
        <v>2020</v>
      </c>
      <c r="B63" s="21">
        <v>12</v>
      </c>
      <c r="C63" s="21" t="s">
        <v>150</v>
      </c>
      <c r="D63" s="21">
        <v>2233.5</v>
      </c>
      <c r="E63" s="21">
        <v>2.2330000000000001</v>
      </c>
      <c r="F63" s="21">
        <v>78060</v>
      </c>
      <c r="G63" s="21">
        <v>780.6</v>
      </c>
      <c r="H63" s="21">
        <v>9.4</v>
      </c>
      <c r="I63" s="21">
        <v>215</v>
      </c>
      <c r="J63" s="21">
        <v>349.5</v>
      </c>
      <c r="K63" s="21" t="s">
        <v>98</v>
      </c>
      <c r="L63" s="21" t="s">
        <v>92</v>
      </c>
      <c r="M63" s="21">
        <v>70.7</v>
      </c>
      <c r="N63" s="21">
        <v>68</v>
      </c>
      <c r="O63" s="21">
        <v>1.05</v>
      </c>
      <c r="P63" s="21">
        <v>1.93</v>
      </c>
    </row>
    <row r="64" spans="1:16" ht="15" customHeight="1" x14ac:dyDescent="0.3">
      <c r="A64" s="21">
        <v>2021</v>
      </c>
      <c r="B64" s="21">
        <v>1</v>
      </c>
      <c r="C64" s="21" t="s">
        <v>151</v>
      </c>
      <c r="D64" s="21">
        <v>2302.6999999999998</v>
      </c>
      <c r="E64" s="21">
        <v>2.3029999999999999</v>
      </c>
      <c r="F64" s="21">
        <v>80750</v>
      </c>
      <c r="G64" s="21">
        <v>807.5</v>
      </c>
      <c r="H64" s="21">
        <v>9.73</v>
      </c>
      <c r="I64" s="21">
        <v>220</v>
      </c>
      <c r="J64" s="21">
        <v>350.68</v>
      </c>
      <c r="K64" s="21" t="s">
        <v>98</v>
      </c>
      <c r="L64" s="21" t="s">
        <v>95</v>
      </c>
      <c r="M64" s="21">
        <v>76.8</v>
      </c>
      <c r="N64" s="21">
        <v>75.22</v>
      </c>
      <c r="O64" s="21">
        <v>3.1</v>
      </c>
      <c r="P64" s="21">
        <v>3.45</v>
      </c>
    </row>
    <row r="65" spans="1:16" ht="15" customHeight="1" x14ac:dyDescent="0.3">
      <c r="A65" s="21">
        <v>2021</v>
      </c>
      <c r="B65" s="21">
        <v>2</v>
      </c>
      <c r="C65" s="21" t="s">
        <v>152</v>
      </c>
      <c r="D65" s="21">
        <v>2292.4</v>
      </c>
      <c r="E65" s="21">
        <v>2.2919999999999998</v>
      </c>
      <c r="F65" s="21">
        <v>80520</v>
      </c>
      <c r="G65" s="21">
        <v>805.2</v>
      </c>
      <c r="H65" s="21">
        <v>9.6999999999999993</v>
      </c>
      <c r="I65" s="21">
        <v>224</v>
      </c>
      <c r="J65" s="21">
        <v>351.25</v>
      </c>
      <c r="K65" s="21" t="s">
        <v>98</v>
      </c>
      <c r="L65" s="21" t="s">
        <v>95</v>
      </c>
      <c r="M65" s="21">
        <v>72.92</v>
      </c>
      <c r="N65" s="21">
        <v>72.31</v>
      </c>
      <c r="O65" s="21">
        <v>-0.45</v>
      </c>
      <c r="P65" s="21">
        <v>-0.28000000000000003</v>
      </c>
    </row>
    <row r="66" spans="1:16" ht="15" customHeight="1" x14ac:dyDescent="0.3">
      <c r="A66" s="21">
        <v>2021</v>
      </c>
      <c r="B66" s="21">
        <v>3</v>
      </c>
      <c r="C66" s="21" t="s">
        <v>153</v>
      </c>
      <c r="D66" s="21">
        <v>2731.8</v>
      </c>
      <c r="E66" s="21">
        <v>2.7320000000000002</v>
      </c>
      <c r="F66" s="21">
        <v>94230</v>
      </c>
      <c r="G66" s="21">
        <v>942.3</v>
      </c>
      <c r="H66" s="21">
        <v>11.35</v>
      </c>
      <c r="I66" s="21">
        <v>230</v>
      </c>
      <c r="J66" s="21">
        <v>344.94</v>
      </c>
      <c r="K66" s="21" t="s">
        <v>98</v>
      </c>
      <c r="L66" s="21" t="s">
        <v>95</v>
      </c>
      <c r="M66" s="21">
        <v>119.1</v>
      </c>
      <c r="N66" s="21">
        <v>116.72</v>
      </c>
      <c r="O66" s="21">
        <v>19.170000000000002</v>
      </c>
      <c r="P66" s="21">
        <v>17.03</v>
      </c>
    </row>
    <row r="67" spans="1:16" ht="15" customHeight="1" x14ac:dyDescent="0.3">
      <c r="A67" s="21">
        <v>2021</v>
      </c>
      <c r="B67" s="21">
        <v>4</v>
      </c>
      <c r="C67" s="21" t="s">
        <v>154</v>
      </c>
      <c r="D67" s="21">
        <v>2641.2</v>
      </c>
      <c r="E67" s="21">
        <v>2.641</v>
      </c>
      <c r="F67" s="21">
        <v>90850</v>
      </c>
      <c r="G67" s="21">
        <v>908.5</v>
      </c>
      <c r="H67" s="21">
        <v>10.95</v>
      </c>
      <c r="I67" s="21">
        <v>235</v>
      </c>
      <c r="J67" s="21">
        <v>343.97</v>
      </c>
      <c r="K67" s="21" t="s">
        <v>100</v>
      </c>
      <c r="L67" s="21" t="s">
        <v>88</v>
      </c>
      <c r="M67" s="21">
        <v>164.23</v>
      </c>
      <c r="N67" s="21">
        <v>165.51</v>
      </c>
      <c r="O67" s="21">
        <v>-3.32</v>
      </c>
      <c r="P67" s="21">
        <v>-3.59</v>
      </c>
    </row>
    <row r="68" spans="1:16" ht="15" customHeight="1" x14ac:dyDescent="0.3">
      <c r="A68" s="21">
        <v>2021</v>
      </c>
      <c r="B68" s="21">
        <v>5</v>
      </c>
      <c r="C68" s="21" t="s">
        <v>155</v>
      </c>
      <c r="D68" s="21">
        <v>2536.5</v>
      </c>
      <c r="E68" s="21">
        <v>2.5369999999999999</v>
      </c>
      <c r="F68" s="21">
        <v>87160</v>
      </c>
      <c r="G68" s="21">
        <v>871.6</v>
      </c>
      <c r="H68" s="21">
        <v>10.5</v>
      </c>
      <c r="I68" s="21">
        <v>240</v>
      </c>
      <c r="J68" s="21">
        <v>343.62</v>
      </c>
      <c r="K68" s="21" t="s">
        <v>100</v>
      </c>
      <c r="L68" s="21" t="s">
        <v>88</v>
      </c>
      <c r="M68" s="21">
        <v>105.47</v>
      </c>
      <c r="N68" s="21">
        <v>107.08</v>
      </c>
      <c r="O68" s="21">
        <v>-3.96</v>
      </c>
      <c r="P68" s="21">
        <v>-4.0599999999999996</v>
      </c>
    </row>
    <row r="69" spans="1:16" ht="15" customHeight="1" x14ac:dyDescent="0.3">
      <c r="A69" s="21">
        <v>2021</v>
      </c>
      <c r="B69" s="21">
        <v>6</v>
      </c>
      <c r="C69" s="21" t="s">
        <v>156</v>
      </c>
      <c r="D69" s="21">
        <v>2802.3</v>
      </c>
      <c r="E69" s="21">
        <v>2.802</v>
      </c>
      <c r="F69" s="21">
        <v>96190</v>
      </c>
      <c r="G69" s="21">
        <v>961.9</v>
      </c>
      <c r="H69" s="21">
        <v>11.59</v>
      </c>
      <c r="I69" s="21">
        <v>244</v>
      </c>
      <c r="J69" s="21">
        <v>343.25</v>
      </c>
      <c r="K69" s="21" t="s">
        <v>100</v>
      </c>
      <c r="L69" s="21" t="s">
        <v>88</v>
      </c>
      <c r="M69" s="21">
        <v>109.11</v>
      </c>
      <c r="N69" s="21">
        <v>108.88</v>
      </c>
      <c r="O69" s="21">
        <v>10.48</v>
      </c>
      <c r="P69" s="21">
        <v>10.36</v>
      </c>
    </row>
    <row r="70" spans="1:16" ht="15" customHeight="1" x14ac:dyDescent="0.3">
      <c r="A70" s="21">
        <v>2021</v>
      </c>
      <c r="B70" s="21">
        <v>7</v>
      </c>
      <c r="C70" s="21" t="s">
        <v>157</v>
      </c>
      <c r="D70" s="21">
        <v>3243</v>
      </c>
      <c r="E70" s="21">
        <v>3.2429999999999999</v>
      </c>
      <c r="F70" s="21">
        <v>109830</v>
      </c>
      <c r="G70" s="21">
        <v>1098.3</v>
      </c>
      <c r="H70" s="21">
        <v>13.23</v>
      </c>
      <c r="I70" s="21">
        <v>249</v>
      </c>
      <c r="J70" s="21">
        <v>338.67</v>
      </c>
      <c r="K70" s="21" t="s">
        <v>100</v>
      </c>
      <c r="L70" s="21" t="s">
        <v>87</v>
      </c>
      <c r="M70" s="21">
        <v>116.58</v>
      </c>
      <c r="N70" s="21">
        <v>113.37</v>
      </c>
      <c r="O70" s="21">
        <v>15.73</v>
      </c>
      <c r="P70" s="21">
        <v>14.18</v>
      </c>
    </row>
    <row r="71" spans="1:16" ht="15" customHeight="1" x14ac:dyDescent="0.3">
      <c r="A71" s="21">
        <v>2021</v>
      </c>
      <c r="B71" s="21">
        <v>8</v>
      </c>
      <c r="C71" s="21" t="s">
        <v>158</v>
      </c>
      <c r="D71" s="21">
        <v>3554.8</v>
      </c>
      <c r="E71" s="21">
        <v>3.5550000000000002</v>
      </c>
      <c r="F71" s="21">
        <v>120280</v>
      </c>
      <c r="G71" s="21">
        <v>1202.8</v>
      </c>
      <c r="H71" s="21">
        <v>14.49</v>
      </c>
      <c r="I71" s="21">
        <v>254</v>
      </c>
      <c r="J71" s="21">
        <v>338.36</v>
      </c>
      <c r="K71" s="21" t="s">
        <v>100</v>
      </c>
      <c r="L71" s="21" t="s">
        <v>87</v>
      </c>
      <c r="M71" s="21">
        <v>119.59</v>
      </c>
      <c r="N71" s="21">
        <v>109.88</v>
      </c>
      <c r="O71" s="21">
        <v>9.61</v>
      </c>
      <c r="P71" s="21">
        <v>9.51</v>
      </c>
    </row>
    <row r="72" spans="1:16" ht="15" customHeight="1" x14ac:dyDescent="0.3">
      <c r="A72" s="21">
        <v>2021</v>
      </c>
      <c r="B72" s="21">
        <v>9</v>
      </c>
      <c r="C72" s="21" t="s">
        <v>159</v>
      </c>
      <c r="D72" s="21">
        <v>3652</v>
      </c>
      <c r="E72" s="21">
        <v>3.6520000000000001</v>
      </c>
      <c r="F72" s="21">
        <v>123570</v>
      </c>
      <c r="G72" s="21">
        <v>1235.7</v>
      </c>
      <c r="H72" s="21">
        <v>14.89</v>
      </c>
      <c r="I72" s="21">
        <v>259</v>
      </c>
      <c r="J72" s="21">
        <v>338.36</v>
      </c>
      <c r="K72" s="21" t="s">
        <v>100</v>
      </c>
      <c r="L72" s="21" t="s">
        <v>87</v>
      </c>
      <c r="M72" s="21">
        <v>102.88</v>
      </c>
      <c r="N72" s="21">
        <v>97.97</v>
      </c>
      <c r="O72" s="21">
        <v>2.73</v>
      </c>
      <c r="P72" s="21">
        <v>2.74</v>
      </c>
    </row>
    <row r="73" spans="1:16" ht="15" customHeight="1" x14ac:dyDescent="0.3">
      <c r="A73" s="21">
        <v>2021</v>
      </c>
      <c r="B73" s="21">
        <v>10</v>
      </c>
      <c r="C73" s="21" t="s">
        <v>160</v>
      </c>
      <c r="D73" s="21">
        <v>4218.5</v>
      </c>
      <c r="E73" s="21">
        <v>4.218</v>
      </c>
      <c r="F73" s="21">
        <v>143200</v>
      </c>
      <c r="G73" s="21">
        <v>1432</v>
      </c>
      <c r="H73" s="21">
        <v>17.25</v>
      </c>
      <c r="I73" s="21">
        <v>263</v>
      </c>
      <c r="J73" s="21">
        <v>339.46</v>
      </c>
      <c r="K73" s="21" t="s">
        <v>100</v>
      </c>
      <c r="L73" s="21" t="s">
        <v>92</v>
      </c>
      <c r="M73" s="21">
        <v>103.67</v>
      </c>
      <c r="N73" s="21">
        <v>100.06</v>
      </c>
      <c r="O73" s="21">
        <v>15.51</v>
      </c>
      <c r="P73" s="21">
        <v>15.89</v>
      </c>
    </row>
    <row r="74" spans="1:16" ht="15" customHeight="1" x14ac:dyDescent="0.3">
      <c r="A74" s="21">
        <v>2021</v>
      </c>
      <c r="B74" s="21">
        <v>11</v>
      </c>
      <c r="C74" s="21" t="s">
        <v>161</v>
      </c>
      <c r="D74" s="21">
        <v>4186.3999999999996</v>
      </c>
      <c r="E74" s="21">
        <v>4.1859999999999999</v>
      </c>
      <c r="F74" s="21">
        <v>142100</v>
      </c>
      <c r="G74" s="21">
        <v>1421</v>
      </c>
      <c r="H74" s="21">
        <v>17.12</v>
      </c>
      <c r="I74" s="21">
        <v>268</v>
      </c>
      <c r="J74" s="21">
        <v>339.43</v>
      </c>
      <c r="K74" s="21" t="s">
        <v>100</v>
      </c>
      <c r="L74" s="21" t="s">
        <v>92</v>
      </c>
      <c r="M74" s="21">
        <v>89.4</v>
      </c>
      <c r="N74" s="21">
        <v>85.56</v>
      </c>
      <c r="O74" s="21">
        <v>-0.76</v>
      </c>
      <c r="P74" s="21">
        <v>-0.77</v>
      </c>
    </row>
    <row r="75" spans="1:16" ht="15" customHeight="1" x14ac:dyDescent="0.3">
      <c r="A75" s="21">
        <v>2021</v>
      </c>
      <c r="B75" s="21">
        <v>12</v>
      </c>
      <c r="C75" s="21" t="s">
        <v>162</v>
      </c>
      <c r="D75" s="21">
        <v>4560.7</v>
      </c>
      <c r="E75" s="21">
        <v>4.5609999999999999</v>
      </c>
      <c r="F75" s="21">
        <v>153640</v>
      </c>
      <c r="G75" s="21">
        <v>1536.4</v>
      </c>
      <c r="H75" s="21">
        <v>18.510000000000002</v>
      </c>
      <c r="I75" s="21">
        <v>274</v>
      </c>
      <c r="J75" s="21">
        <v>336.88</v>
      </c>
      <c r="K75" s="21" t="s">
        <v>100</v>
      </c>
      <c r="L75" s="21" t="s">
        <v>92</v>
      </c>
      <c r="M75" s="21">
        <v>104.2</v>
      </c>
      <c r="N75" s="21">
        <v>96.82</v>
      </c>
      <c r="O75" s="21">
        <v>8.94</v>
      </c>
      <c r="P75" s="21">
        <v>8.1199999999999992</v>
      </c>
    </row>
    <row r="76" spans="1:16" ht="15" customHeight="1" x14ac:dyDescent="0.3">
      <c r="A76" s="21">
        <v>2022</v>
      </c>
      <c r="B76" s="21">
        <v>1</v>
      </c>
      <c r="C76" s="21" t="s">
        <v>163</v>
      </c>
      <c r="D76" s="21">
        <v>4622.3</v>
      </c>
      <c r="E76" s="21">
        <v>4.6219999999999999</v>
      </c>
      <c r="F76" s="21">
        <v>155250</v>
      </c>
      <c r="G76" s="21">
        <v>1552.5</v>
      </c>
      <c r="H76" s="21">
        <v>18.7</v>
      </c>
      <c r="I76" s="21">
        <v>280</v>
      </c>
      <c r="J76" s="21">
        <v>335.87</v>
      </c>
      <c r="K76" s="21" t="s">
        <v>100</v>
      </c>
      <c r="L76" s="21" t="s">
        <v>95</v>
      </c>
      <c r="M76" s="21">
        <v>100.73</v>
      </c>
      <c r="N76" s="21">
        <v>92.26</v>
      </c>
      <c r="O76" s="21">
        <v>1.35</v>
      </c>
      <c r="P76" s="21">
        <v>1.05</v>
      </c>
    </row>
    <row r="77" spans="1:16" ht="15" customHeight="1" x14ac:dyDescent="0.3">
      <c r="A77" s="21">
        <v>2022</v>
      </c>
      <c r="B77" s="21">
        <v>2</v>
      </c>
      <c r="C77" s="21" t="s">
        <v>164</v>
      </c>
      <c r="D77" s="21">
        <v>4527.5</v>
      </c>
      <c r="E77" s="21">
        <v>4.5270000000000001</v>
      </c>
      <c r="F77" s="21">
        <v>152120</v>
      </c>
      <c r="G77" s="21">
        <v>1521.2</v>
      </c>
      <c r="H77" s="21">
        <v>18.329999999999998</v>
      </c>
      <c r="I77" s="21">
        <v>286</v>
      </c>
      <c r="J77" s="21">
        <v>335.99</v>
      </c>
      <c r="K77" s="21" t="s">
        <v>100</v>
      </c>
      <c r="L77" s="21" t="s">
        <v>95</v>
      </c>
      <c r="M77" s="21">
        <v>97.5</v>
      </c>
      <c r="N77" s="21">
        <v>88.92</v>
      </c>
      <c r="O77" s="21">
        <v>-2.0499999999999998</v>
      </c>
      <c r="P77" s="21">
        <v>-2.02</v>
      </c>
    </row>
    <row r="78" spans="1:16" ht="15" customHeight="1" x14ac:dyDescent="0.3">
      <c r="A78" s="21">
        <v>2022</v>
      </c>
      <c r="B78" s="21">
        <v>3</v>
      </c>
      <c r="C78" s="21" t="s">
        <v>165</v>
      </c>
      <c r="D78" s="21">
        <v>5404.4</v>
      </c>
      <c r="E78" s="21">
        <v>5.4039999999999999</v>
      </c>
      <c r="F78" s="21">
        <v>180990</v>
      </c>
      <c r="G78" s="21">
        <v>1809.9</v>
      </c>
      <c r="H78" s="21">
        <v>21.81</v>
      </c>
      <c r="I78" s="21">
        <v>292</v>
      </c>
      <c r="J78" s="21">
        <v>334.89</v>
      </c>
      <c r="K78" s="21" t="s">
        <v>100</v>
      </c>
      <c r="L78" s="21" t="s">
        <v>95</v>
      </c>
      <c r="M78" s="21">
        <v>97.83</v>
      </c>
      <c r="N78" s="21">
        <v>92.07</v>
      </c>
      <c r="O78" s="21">
        <v>19.37</v>
      </c>
      <c r="P78" s="21">
        <v>18.98</v>
      </c>
    </row>
    <row r="79" spans="1:16" ht="15" customHeight="1" x14ac:dyDescent="0.3">
      <c r="A79" s="21">
        <v>2022</v>
      </c>
      <c r="B79" s="21">
        <v>4</v>
      </c>
      <c r="C79" s="21" t="s">
        <v>166</v>
      </c>
      <c r="D79" s="21">
        <v>5580</v>
      </c>
      <c r="E79" s="21">
        <v>5.58</v>
      </c>
      <c r="F79" s="21">
        <v>191000</v>
      </c>
      <c r="G79" s="21">
        <v>1910</v>
      </c>
      <c r="H79" s="21">
        <v>23.01</v>
      </c>
      <c r="I79" s="21">
        <v>299</v>
      </c>
      <c r="J79" s="21">
        <v>342.29</v>
      </c>
      <c r="K79" s="21" t="s">
        <v>102</v>
      </c>
      <c r="L79" s="21" t="s">
        <v>88</v>
      </c>
      <c r="M79" s="21">
        <v>111.27</v>
      </c>
      <c r="N79" s="21">
        <v>110.24</v>
      </c>
      <c r="O79" s="21">
        <v>3.25</v>
      </c>
      <c r="P79" s="21">
        <v>5.53</v>
      </c>
    </row>
    <row r="80" spans="1:16" ht="15" customHeight="1" x14ac:dyDescent="0.3">
      <c r="A80" s="21">
        <v>2022</v>
      </c>
      <c r="B80" s="21">
        <v>5</v>
      </c>
      <c r="C80" s="21" t="s">
        <v>167</v>
      </c>
      <c r="D80" s="21">
        <v>5955</v>
      </c>
      <c r="E80" s="21">
        <v>5.9550000000000001</v>
      </c>
      <c r="F80" s="21">
        <v>203000</v>
      </c>
      <c r="G80" s="21">
        <v>2030</v>
      </c>
      <c r="H80" s="21">
        <v>24.46</v>
      </c>
      <c r="I80" s="21">
        <v>305</v>
      </c>
      <c r="J80" s="21">
        <v>340.89</v>
      </c>
      <c r="K80" s="21" t="s">
        <v>102</v>
      </c>
      <c r="L80" s="21" t="s">
        <v>88</v>
      </c>
      <c r="M80" s="21">
        <v>134.77000000000001</v>
      </c>
      <c r="N80" s="21">
        <v>132.91</v>
      </c>
      <c r="O80" s="21">
        <v>6.72</v>
      </c>
      <c r="P80" s="21">
        <v>6.28</v>
      </c>
    </row>
    <row r="81" spans="1:16" ht="15" customHeight="1" x14ac:dyDescent="0.3">
      <c r="A81" s="21">
        <v>2022</v>
      </c>
      <c r="B81" s="21">
        <v>6</v>
      </c>
      <c r="C81" s="21" t="s">
        <v>168</v>
      </c>
      <c r="D81" s="21">
        <v>5860</v>
      </c>
      <c r="E81" s="21">
        <v>5.86</v>
      </c>
      <c r="F81" s="21">
        <v>198000</v>
      </c>
      <c r="G81" s="21">
        <v>1980</v>
      </c>
      <c r="H81" s="21">
        <v>23.86</v>
      </c>
      <c r="I81" s="21">
        <v>310</v>
      </c>
      <c r="J81" s="21">
        <v>337.88</v>
      </c>
      <c r="K81" s="21" t="s">
        <v>102</v>
      </c>
      <c r="L81" s="21" t="s">
        <v>88</v>
      </c>
      <c r="M81" s="21">
        <v>109.11</v>
      </c>
      <c r="N81" s="21">
        <v>105.84</v>
      </c>
      <c r="O81" s="21">
        <v>-1.6</v>
      </c>
      <c r="P81" s="21">
        <v>-2.46</v>
      </c>
    </row>
    <row r="82" spans="1:16" ht="15" customHeight="1" x14ac:dyDescent="0.3">
      <c r="A82" s="21">
        <v>2022</v>
      </c>
      <c r="B82" s="21">
        <v>7</v>
      </c>
      <c r="C82" s="21" t="s">
        <v>169</v>
      </c>
      <c r="D82" s="21">
        <v>6280</v>
      </c>
      <c r="E82" s="21">
        <v>6.28</v>
      </c>
      <c r="F82" s="21">
        <v>210560</v>
      </c>
      <c r="G82" s="21">
        <v>2105.6</v>
      </c>
      <c r="H82" s="21">
        <v>25.37</v>
      </c>
      <c r="I82" s="21">
        <v>316</v>
      </c>
      <c r="J82" s="21">
        <v>335.29</v>
      </c>
      <c r="K82" s="21" t="s">
        <v>102</v>
      </c>
      <c r="L82" s="21" t="s">
        <v>87</v>
      </c>
      <c r="M82" s="21">
        <v>93.65</v>
      </c>
      <c r="N82" s="21">
        <v>91.71</v>
      </c>
      <c r="O82" s="21">
        <v>7.17</v>
      </c>
      <c r="P82" s="21">
        <v>6.34</v>
      </c>
    </row>
    <row r="83" spans="1:16" ht="15" customHeight="1" x14ac:dyDescent="0.3">
      <c r="A83" s="21">
        <v>2022</v>
      </c>
      <c r="B83" s="21">
        <v>8</v>
      </c>
      <c r="C83" s="21" t="s">
        <v>170</v>
      </c>
      <c r="D83" s="21">
        <v>6579</v>
      </c>
      <c r="E83" s="21">
        <v>6.5789999999999997</v>
      </c>
      <c r="F83" s="21">
        <v>225610</v>
      </c>
      <c r="G83" s="21">
        <v>2256.1</v>
      </c>
      <c r="H83" s="21">
        <v>27.18</v>
      </c>
      <c r="I83" s="21">
        <v>321</v>
      </c>
      <c r="J83" s="21">
        <v>342.92</v>
      </c>
      <c r="K83" s="21" t="s">
        <v>102</v>
      </c>
      <c r="L83" s="21" t="s">
        <v>87</v>
      </c>
      <c r="M83" s="21">
        <v>85.07</v>
      </c>
      <c r="N83" s="21">
        <v>87.57</v>
      </c>
      <c r="O83" s="21">
        <v>4.76</v>
      </c>
      <c r="P83" s="21">
        <v>7.15</v>
      </c>
    </row>
    <row r="84" spans="1:16" ht="15" customHeight="1" x14ac:dyDescent="0.3">
      <c r="A84" s="21">
        <v>2022</v>
      </c>
      <c r="B84" s="21">
        <v>9</v>
      </c>
      <c r="C84" s="21" t="s">
        <v>171</v>
      </c>
      <c r="D84" s="21">
        <v>6781</v>
      </c>
      <c r="E84" s="21">
        <v>6.7809999999999997</v>
      </c>
      <c r="F84" s="21">
        <v>234300</v>
      </c>
      <c r="G84" s="21">
        <v>2343</v>
      </c>
      <c r="H84" s="21">
        <v>28.23</v>
      </c>
      <c r="I84" s="21">
        <v>326</v>
      </c>
      <c r="J84" s="21">
        <v>345.52</v>
      </c>
      <c r="K84" s="21" t="s">
        <v>102</v>
      </c>
      <c r="L84" s="21" t="s">
        <v>87</v>
      </c>
      <c r="M84" s="21">
        <v>85.68</v>
      </c>
      <c r="N84" s="21">
        <v>89.61</v>
      </c>
      <c r="O84" s="21">
        <v>3.07</v>
      </c>
      <c r="P84" s="21">
        <v>3.85</v>
      </c>
    </row>
    <row r="85" spans="1:16" ht="15" customHeight="1" x14ac:dyDescent="0.3">
      <c r="A85" s="21">
        <v>2022</v>
      </c>
      <c r="B85" s="21">
        <v>10</v>
      </c>
      <c r="C85" s="21" t="s">
        <v>172</v>
      </c>
      <c r="D85" s="21">
        <v>7305</v>
      </c>
      <c r="E85" s="21">
        <v>7.3049999999999997</v>
      </c>
      <c r="F85" s="21">
        <v>251580</v>
      </c>
      <c r="G85" s="21">
        <v>2515.8000000000002</v>
      </c>
      <c r="H85" s="21">
        <v>30.31</v>
      </c>
      <c r="I85" s="21">
        <v>330</v>
      </c>
      <c r="J85" s="21">
        <v>344.39</v>
      </c>
      <c r="K85" s="21" t="s">
        <v>102</v>
      </c>
      <c r="L85" s="21" t="s">
        <v>92</v>
      </c>
      <c r="M85" s="21">
        <v>73.17</v>
      </c>
      <c r="N85" s="21">
        <v>75.680000000000007</v>
      </c>
      <c r="O85" s="21">
        <v>7.73</v>
      </c>
      <c r="P85" s="21">
        <v>7.38</v>
      </c>
    </row>
    <row r="86" spans="1:16" ht="15" customHeight="1" x14ac:dyDescent="0.3">
      <c r="A86" s="21">
        <v>2022</v>
      </c>
      <c r="B86" s="21">
        <v>11</v>
      </c>
      <c r="C86" s="21" t="s">
        <v>173</v>
      </c>
      <c r="D86" s="21">
        <v>7310</v>
      </c>
      <c r="E86" s="21">
        <v>7.31</v>
      </c>
      <c r="F86" s="21">
        <v>248530</v>
      </c>
      <c r="G86" s="21">
        <v>2485.3000000000002</v>
      </c>
      <c r="H86" s="21">
        <v>29.94</v>
      </c>
      <c r="I86" s="21">
        <v>335</v>
      </c>
      <c r="J86" s="21">
        <v>339.99</v>
      </c>
      <c r="K86" s="21" t="s">
        <v>102</v>
      </c>
      <c r="L86" s="21" t="s">
        <v>92</v>
      </c>
      <c r="M86" s="21">
        <v>74.61</v>
      </c>
      <c r="N86" s="21">
        <v>74.900000000000006</v>
      </c>
      <c r="O86" s="21">
        <v>7.0000000000000007E-2</v>
      </c>
      <c r="P86" s="21">
        <v>-1.21</v>
      </c>
    </row>
    <row r="87" spans="1:16" ht="15" customHeight="1" x14ac:dyDescent="0.3">
      <c r="A87" s="21">
        <v>2022</v>
      </c>
      <c r="B87" s="21">
        <v>12</v>
      </c>
      <c r="C87" s="21" t="s">
        <v>174</v>
      </c>
      <c r="D87" s="21">
        <v>7829</v>
      </c>
      <c r="E87" s="21">
        <v>7.8289999999999997</v>
      </c>
      <c r="F87" s="21">
        <v>268180</v>
      </c>
      <c r="G87" s="21">
        <v>2681.8</v>
      </c>
      <c r="H87" s="21">
        <v>32.31</v>
      </c>
      <c r="I87" s="21">
        <v>340</v>
      </c>
      <c r="J87" s="21">
        <v>342.55</v>
      </c>
      <c r="K87" s="21" t="s">
        <v>102</v>
      </c>
      <c r="L87" s="21" t="s">
        <v>92</v>
      </c>
      <c r="M87" s="21">
        <v>71.66</v>
      </c>
      <c r="N87" s="21">
        <v>74.55</v>
      </c>
      <c r="O87" s="21">
        <v>7.1</v>
      </c>
      <c r="P87" s="21">
        <v>7.91</v>
      </c>
    </row>
    <row r="88" spans="1:16" ht="15" customHeight="1" x14ac:dyDescent="0.3">
      <c r="A88" s="21">
        <v>2023</v>
      </c>
      <c r="B88" s="21">
        <v>1</v>
      </c>
      <c r="C88" s="21" t="s">
        <v>175</v>
      </c>
      <c r="D88" s="21">
        <v>8038</v>
      </c>
      <c r="E88" s="21">
        <v>8.0380000000000003</v>
      </c>
      <c r="F88" s="21">
        <v>275060</v>
      </c>
      <c r="G88" s="21">
        <v>2750.6</v>
      </c>
      <c r="H88" s="21">
        <v>33.14</v>
      </c>
      <c r="I88" s="21">
        <v>345</v>
      </c>
      <c r="J88" s="21">
        <v>342.2</v>
      </c>
      <c r="K88" s="21" t="s">
        <v>102</v>
      </c>
      <c r="L88" s="21" t="s">
        <v>95</v>
      </c>
      <c r="M88" s="21">
        <v>73.900000000000006</v>
      </c>
      <c r="N88" s="21">
        <v>77.17</v>
      </c>
      <c r="O88" s="21">
        <v>2.67</v>
      </c>
      <c r="P88" s="21">
        <v>2.57</v>
      </c>
    </row>
    <row r="89" spans="1:16" ht="15" customHeight="1" x14ac:dyDescent="0.3">
      <c r="A89" s="21">
        <v>2023</v>
      </c>
      <c r="B89" s="21">
        <v>2</v>
      </c>
      <c r="C89" s="21" t="s">
        <v>176</v>
      </c>
      <c r="D89" s="21">
        <v>7540</v>
      </c>
      <c r="E89" s="21">
        <v>7.54</v>
      </c>
      <c r="F89" s="21">
        <v>258000</v>
      </c>
      <c r="G89" s="21">
        <v>2580</v>
      </c>
      <c r="H89" s="21">
        <v>31.08</v>
      </c>
      <c r="I89" s="21">
        <v>350</v>
      </c>
      <c r="J89" s="21">
        <v>342.18</v>
      </c>
      <c r="K89" s="21" t="s">
        <v>102</v>
      </c>
      <c r="L89" s="21" t="s">
        <v>95</v>
      </c>
      <c r="M89" s="21">
        <v>66.540000000000006</v>
      </c>
      <c r="N89" s="21">
        <v>69.599999999999994</v>
      </c>
      <c r="O89" s="21">
        <v>-6.2</v>
      </c>
      <c r="P89" s="21">
        <v>-6.2</v>
      </c>
    </row>
    <row r="90" spans="1:16" ht="15" customHeight="1" x14ac:dyDescent="0.3">
      <c r="A90" s="21">
        <v>2023</v>
      </c>
      <c r="B90" s="21">
        <v>3</v>
      </c>
      <c r="C90" s="21" t="s">
        <v>177</v>
      </c>
      <c r="D90" s="21">
        <v>8657</v>
      </c>
      <c r="E90" s="21">
        <v>8.657</v>
      </c>
      <c r="F90" s="21">
        <v>296370</v>
      </c>
      <c r="G90" s="21">
        <v>2963.7</v>
      </c>
      <c r="H90" s="21">
        <v>35.71</v>
      </c>
      <c r="I90" s="21">
        <v>355</v>
      </c>
      <c r="J90" s="21">
        <v>342.35</v>
      </c>
      <c r="K90" s="21" t="s">
        <v>102</v>
      </c>
      <c r="L90" s="21" t="s">
        <v>95</v>
      </c>
      <c r="M90" s="21">
        <v>60.18</v>
      </c>
      <c r="N90" s="21">
        <v>63.75</v>
      </c>
      <c r="O90" s="21">
        <v>14.81</v>
      </c>
      <c r="P90" s="21">
        <v>14.87</v>
      </c>
    </row>
    <row r="91" spans="1:16" ht="15" customHeight="1" x14ac:dyDescent="0.3">
      <c r="A91" s="21">
        <v>2023</v>
      </c>
      <c r="B91" s="21">
        <v>4</v>
      </c>
      <c r="C91" s="21" t="s">
        <v>178</v>
      </c>
      <c r="D91" s="21">
        <v>8895</v>
      </c>
      <c r="E91" s="21">
        <v>8.8949999999999996</v>
      </c>
      <c r="F91" s="21">
        <v>308000</v>
      </c>
      <c r="G91" s="21">
        <v>3080</v>
      </c>
      <c r="H91" s="21">
        <v>37.11</v>
      </c>
      <c r="I91" s="21">
        <v>360</v>
      </c>
      <c r="J91" s="21">
        <v>346.26</v>
      </c>
      <c r="K91" s="21" t="s">
        <v>104</v>
      </c>
      <c r="L91" s="21" t="s">
        <v>88</v>
      </c>
      <c r="M91" s="21">
        <v>59.41</v>
      </c>
      <c r="N91" s="21">
        <v>61.26</v>
      </c>
      <c r="O91" s="21">
        <v>2.75</v>
      </c>
      <c r="P91" s="21">
        <v>3.92</v>
      </c>
    </row>
    <row r="92" spans="1:16" ht="15" customHeight="1" x14ac:dyDescent="0.3">
      <c r="A92" s="21">
        <v>2023</v>
      </c>
      <c r="B92" s="21">
        <v>5</v>
      </c>
      <c r="C92" s="21" t="s">
        <v>179</v>
      </c>
      <c r="D92" s="21">
        <v>9017</v>
      </c>
      <c r="E92" s="21">
        <v>9.0169999999999995</v>
      </c>
      <c r="F92" s="21">
        <v>313850</v>
      </c>
      <c r="G92" s="21">
        <v>3138.5</v>
      </c>
      <c r="H92" s="21">
        <v>37.81</v>
      </c>
      <c r="I92" s="21">
        <v>365</v>
      </c>
      <c r="J92" s="21">
        <v>348.06</v>
      </c>
      <c r="K92" s="21" t="s">
        <v>104</v>
      </c>
      <c r="L92" s="21" t="s">
        <v>88</v>
      </c>
      <c r="M92" s="21">
        <v>51.42</v>
      </c>
      <c r="N92" s="21">
        <v>54.61</v>
      </c>
      <c r="O92" s="21">
        <v>1.37</v>
      </c>
      <c r="P92" s="21">
        <v>1.9</v>
      </c>
    </row>
    <row r="93" spans="1:16" ht="15" customHeight="1" x14ac:dyDescent="0.3">
      <c r="A93" s="21">
        <v>2023</v>
      </c>
      <c r="B93" s="21">
        <v>6</v>
      </c>
      <c r="C93" s="21" t="s">
        <v>180</v>
      </c>
      <c r="D93" s="21">
        <v>9335</v>
      </c>
      <c r="E93" s="21">
        <v>9.3350000000000009</v>
      </c>
      <c r="F93" s="21">
        <v>324530</v>
      </c>
      <c r="G93" s="21">
        <v>3245.3</v>
      </c>
      <c r="H93" s="21">
        <v>39.1</v>
      </c>
      <c r="I93" s="21">
        <v>370</v>
      </c>
      <c r="J93" s="21">
        <v>347.65</v>
      </c>
      <c r="K93" s="21" t="s">
        <v>104</v>
      </c>
      <c r="L93" s="21" t="s">
        <v>88</v>
      </c>
      <c r="M93" s="21">
        <v>59.3</v>
      </c>
      <c r="N93" s="21">
        <v>63.9</v>
      </c>
      <c r="O93" s="21">
        <v>3.53</v>
      </c>
      <c r="P93" s="21">
        <v>3.4</v>
      </c>
    </row>
    <row r="94" spans="1:16" ht="15" customHeight="1" x14ac:dyDescent="0.3">
      <c r="A94" s="21">
        <v>2023</v>
      </c>
      <c r="B94" s="21">
        <v>7</v>
      </c>
      <c r="C94" s="21" t="s">
        <v>181</v>
      </c>
      <c r="D94" s="21">
        <v>9964</v>
      </c>
      <c r="E94" s="21">
        <v>9.9640000000000004</v>
      </c>
      <c r="F94" s="21">
        <v>340000</v>
      </c>
      <c r="G94" s="21">
        <v>3400</v>
      </c>
      <c r="H94" s="21">
        <v>40.96</v>
      </c>
      <c r="I94" s="21">
        <v>376</v>
      </c>
      <c r="J94" s="21">
        <v>341.23</v>
      </c>
      <c r="K94" s="21" t="s">
        <v>104</v>
      </c>
      <c r="L94" s="21" t="s">
        <v>87</v>
      </c>
      <c r="M94" s="21">
        <v>58.66</v>
      </c>
      <c r="N94" s="21">
        <v>61.47</v>
      </c>
      <c r="O94" s="21">
        <v>6.74</v>
      </c>
      <c r="P94" s="21">
        <v>4.7699999999999996</v>
      </c>
    </row>
    <row r="95" spans="1:16" ht="15" customHeight="1" x14ac:dyDescent="0.3">
      <c r="A95" s="21">
        <v>2023</v>
      </c>
      <c r="B95" s="21">
        <v>8</v>
      </c>
      <c r="C95" s="21" t="s">
        <v>182</v>
      </c>
      <c r="D95" s="21">
        <v>10584</v>
      </c>
      <c r="E95" s="21">
        <v>10.584</v>
      </c>
      <c r="F95" s="21">
        <v>362710</v>
      </c>
      <c r="G95" s="21">
        <v>3627.1</v>
      </c>
      <c r="H95" s="21">
        <v>43.7</v>
      </c>
      <c r="I95" s="21">
        <v>380</v>
      </c>
      <c r="J95" s="21">
        <v>342.7</v>
      </c>
      <c r="K95" s="21" t="s">
        <v>104</v>
      </c>
      <c r="L95" s="21" t="s">
        <v>87</v>
      </c>
      <c r="M95" s="21">
        <v>60.88</v>
      </c>
      <c r="N95" s="21">
        <v>60.77</v>
      </c>
      <c r="O95" s="21">
        <v>6.22</v>
      </c>
      <c r="P95" s="21">
        <v>6.68</v>
      </c>
    </row>
    <row r="96" spans="1:16" ht="15" customHeight="1" x14ac:dyDescent="0.3">
      <c r="A96" s="21">
        <v>2023</v>
      </c>
      <c r="B96" s="21">
        <v>9</v>
      </c>
      <c r="C96" s="21" t="s">
        <v>183</v>
      </c>
      <c r="D96" s="21">
        <v>10566</v>
      </c>
      <c r="E96" s="21">
        <v>10.566000000000001</v>
      </c>
      <c r="F96" s="21">
        <v>362800</v>
      </c>
      <c r="G96" s="21">
        <v>3628</v>
      </c>
      <c r="H96" s="21">
        <v>43.71</v>
      </c>
      <c r="I96" s="21">
        <v>385</v>
      </c>
      <c r="J96" s="21">
        <v>343.37</v>
      </c>
      <c r="K96" s="21" t="s">
        <v>104</v>
      </c>
      <c r="L96" s="21" t="s">
        <v>87</v>
      </c>
      <c r="M96" s="21">
        <v>55.82</v>
      </c>
      <c r="N96" s="21">
        <v>54.84</v>
      </c>
      <c r="O96" s="21">
        <v>-0.17</v>
      </c>
      <c r="P96" s="21">
        <v>0.02</v>
      </c>
    </row>
    <row r="97" spans="1:16" ht="15" customHeight="1" x14ac:dyDescent="0.3">
      <c r="A97" s="21">
        <v>2023</v>
      </c>
      <c r="B97" s="21">
        <v>10</v>
      </c>
      <c r="C97" s="21" t="s">
        <v>184</v>
      </c>
      <c r="D97" s="21">
        <v>11400</v>
      </c>
      <c r="E97" s="21">
        <v>11.4</v>
      </c>
      <c r="F97" s="21">
        <v>389010</v>
      </c>
      <c r="G97" s="21">
        <v>3890.1</v>
      </c>
      <c r="H97" s="21">
        <v>46.87</v>
      </c>
      <c r="I97" s="21">
        <v>390</v>
      </c>
      <c r="J97" s="21">
        <v>341.24</v>
      </c>
      <c r="K97" s="21" t="s">
        <v>104</v>
      </c>
      <c r="L97" s="21" t="s">
        <v>92</v>
      </c>
      <c r="M97" s="21">
        <v>56.06</v>
      </c>
      <c r="N97" s="21">
        <v>54.63</v>
      </c>
      <c r="O97" s="21">
        <v>7.89</v>
      </c>
      <c r="P97" s="21">
        <v>7.22</v>
      </c>
    </row>
    <row r="98" spans="1:16" ht="15" customHeight="1" x14ac:dyDescent="0.3">
      <c r="A98" s="21">
        <v>2023</v>
      </c>
      <c r="B98" s="21">
        <v>11</v>
      </c>
      <c r="C98" s="21" t="s">
        <v>185</v>
      </c>
      <c r="D98" s="21">
        <v>11165</v>
      </c>
      <c r="E98" s="21">
        <v>11.164999999999999</v>
      </c>
      <c r="F98" s="21">
        <v>382740</v>
      </c>
      <c r="G98" s="21">
        <v>3827.4</v>
      </c>
      <c r="H98" s="21">
        <v>46.11</v>
      </c>
      <c r="I98" s="21">
        <v>395</v>
      </c>
      <c r="J98" s="21">
        <v>342.8</v>
      </c>
      <c r="K98" s="21" t="s">
        <v>104</v>
      </c>
      <c r="L98" s="21" t="s">
        <v>92</v>
      </c>
      <c r="M98" s="21">
        <v>52.74</v>
      </c>
      <c r="N98" s="21">
        <v>54</v>
      </c>
      <c r="O98" s="21">
        <v>-2.06</v>
      </c>
      <c r="P98" s="21">
        <v>-1.61</v>
      </c>
    </row>
    <row r="99" spans="1:16" ht="15" customHeight="1" x14ac:dyDescent="0.3">
      <c r="A99" s="21">
        <v>2023</v>
      </c>
      <c r="B99" s="21">
        <v>12</v>
      </c>
      <c r="C99" s="21" t="s">
        <v>186</v>
      </c>
      <c r="D99" s="21">
        <v>12020</v>
      </c>
      <c r="E99" s="21">
        <v>12.02</v>
      </c>
      <c r="F99" s="21">
        <v>410250</v>
      </c>
      <c r="G99" s="21">
        <v>4102.5</v>
      </c>
      <c r="H99" s="21">
        <v>49.43</v>
      </c>
      <c r="I99" s="21">
        <v>400</v>
      </c>
      <c r="J99" s="21">
        <v>341.31</v>
      </c>
      <c r="K99" s="21" t="s">
        <v>104</v>
      </c>
      <c r="L99" s="21" t="s">
        <v>92</v>
      </c>
      <c r="M99" s="21">
        <v>53.53</v>
      </c>
      <c r="N99" s="21">
        <v>52.98</v>
      </c>
      <c r="O99" s="21">
        <v>7.66</v>
      </c>
      <c r="P99" s="21">
        <v>7.19</v>
      </c>
    </row>
    <row r="100" spans="1:16" ht="15" customHeight="1" x14ac:dyDescent="0.3">
      <c r="A100" s="21">
        <v>2024</v>
      </c>
      <c r="B100" s="21">
        <v>1</v>
      </c>
      <c r="C100" s="21" t="s">
        <v>187</v>
      </c>
      <c r="D100" s="21">
        <v>12203</v>
      </c>
      <c r="E100" s="21">
        <v>12.202999999999999</v>
      </c>
      <c r="F100" s="21">
        <v>418440</v>
      </c>
      <c r="G100" s="21">
        <v>4184.3999999999996</v>
      </c>
      <c r="H100" s="21">
        <v>50.41</v>
      </c>
      <c r="I100" s="21">
        <v>405</v>
      </c>
      <c r="J100" s="21">
        <v>342.9</v>
      </c>
      <c r="K100" s="21" t="s">
        <v>104</v>
      </c>
      <c r="L100" s="21" t="s">
        <v>95</v>
      </c>
      <c r="M100" s="21">
        <v>51.82</v>
      </c>
      <c r="N100" s="21">
        <v>52.13</v>
      </c>
      <c r="O100" s="21">
        <v>1.52</v>
      </c>
      <c r="P100" s="21">
        <v>2</v>
      </c>
    </row>
    <row r="101" spans="1:16" ht="15" customHeight="1" x14ac:dyDescent="0.3">
      <c r="A101" s="21">
        <v>2024</v>
      </c>
      <c r="B101" s="21">
        <v>2</v>
      </c>
      <c r="C101" s="21" t="s">
        <v>188</v>
      </c>
      <c r="D101" s="21">
        <v>11439</v>
      </c>
      <c r="E101" s="21">
        <v>11.439</v>
      </c>
      <c r="F101" s="21">
        <v>392430</v>
      </c>
      <c r="G101" s="21">
        <v>3924.3</v>
      </c>
      <c r="H101" s="21">
        <v>47.28</v>
      </c>
      <c r="I101" s="21">
        <v>409</v>
      </c>
      <c r="J101" s="21">
        <v>343.06</v>
      </c>
      <c r="K101" s="21" t="s">
        <v>104</v>
      </c>
      <c r="L101" s="21" t="s">
        <v>95</v>
      </c>
      <c r="M101" s="21">
        <v>51.71</v>
      </c>
      <c r="N101" s="21">
        <v>52.1</v>
      </c>
      <c r="O101" s="21">
        <v>-6.26</v>
      </c>
      <c r="P101" s="21">
        <v>-6.22</v>
      </c>
    </row>
    <row r="102" spans="1:16" ht="15" customHeight="1" x14ac:dyDescent="0.3">
      <c r="A102" s="21">
        <v>2024</v>
      </c>
      <c r="B102" s="21">
        <v>3</v>
      </c>
      <c r="C102" s="21" t="s">
        <v>189</v>
      </c>
      <c r="D102" s="21">
        <v>13445</v>
      </c>
      <c r="E102" s="21">
        <v>13.445</v>
      </c>
      <c r="F102" s="21">
        <v>460430</v>
      </c>
      <c r="G102" s="21">
        <v>4604.3</v>
      </c>
      <c r="H102" s="21">
        <v>55.47</v>
      </c>
      <c r="I102" s="21">
        <v>414</v>
      </c>
      <c r="J102" s="21">
        <v>342.45</v>
      </c>
      <c r="K102" s="21" t="s">
        <v>104</v>
      </c>
      <c r="L102" s="21" t="s">
        <v>95</v>
      </c>
      <c r="M102" s="21">
        <v>55.31</v>
      </c>
      <c r="N102" s="21">
        <v>55.36</v>
      </c>
      <c r="O102" s="21">
        <v>17.54</v>
      </c>
      <c r="P102" s="21">
        <v>17.329999999999998</v>
      </c>
    </row>
    <row r="103" spans="1:16" ht="15" customHeight="1" x14ac:dyDescent="0.3">
      <c r="A103" s="21">
        <v>2024</v>
      </c>
      <c r="B103" s="21">
        <v>4</v>
      </c>
      <c r="C103" s="21" t="s">
        <v>190</v>
      </c>
      <c r="D103" s="21">
        <v>13322</v>
      </c>
      <c r="E103" s="21">
        <v>13.321999999999999</v>
      </c>
      <c r="F103" s="21">
        <v>456380</v>
      </c>
      <c r="G103" s="21">
        <v>4563.8</v>
      </c>
      <c r="H103" s="21">
        <v>54.99</v>
      </c>
      <c r="I103" s="21">
        <v>418</v>
      </c>
      <c r="J103" s="21">
        <v>342.58</v>
      </c>
      <c r="K103" s="21" t="s">
        <v>106</v>
      </c>
      <c r="L103" s="21" t="s">
        <v>88</v>
      </c>
      <c r="M103" s="21">
        <v>49.77</v>
      </c>
      <c r="N103" s="21">
        <v>48.18</v>
      </c>
      <c r="O103" s="21">
        <v>-0.91</v>
      </c>
      <c r="P103" s="21">
        <v>-0.88</v>
      </c>
    </row>
    <row r="104" spans="1:16" ht="15" customHeight="1" x14ac:dyDescent="0.3">
      <c r="A104" s="21">
        <v>2024</v>
      </c>
      <c r="B104" s="21">
        <v>5</v>
      </c>
      <c r="C104" s="21" t="s">
        <v>191</v>
      </c>
      <c r="D104" s="21">
        <v>14036</v>
      </c>
      <c r="E104" s="21">
        <v>14.036</v>
      </c>
      <c r="F104" s="21">
        <v>480400</v>
      </c>
      <c r="G104" s="21">
        <v>4804</v>
      </c>
      <c r="H104" s="21">
        <v>57.88</v>
      </c>
      <c r="I104" s="21">
        <v>422</v>
      </c>
      <c r="J104" s="21">
        <v>342.26</v>
      </c>
      <c r="K104" s="21" t="s">
        <v>106</v>
      </c>
      <c r="L104" s="21" t="s">
        <v>88</v>
      </c>
      <c r="M104" s="21">
        <v>55.66</v>
      </c>
      <c r="N104" s="21">
        <v>53.07</v>
      </c>
      <c r="O104" s="21">
        <v>5.36</v>
      </c>
      <c r="P104" s="21">
        <v>5.26</v>
      </c>
    </row>
    <row r="105" spans="1:16" ht="15" customHeight="1" x14ac:dyDescent="0.3">
      <c r="A105" s="21">
        <v>2024</v>
      </c>
      <c r="B105" s="21">
        <v>6</v>
      </c>
      <c r="C105" s="21" t="s">
        <v>192</v>
      </c>
      <c r="D105" s="21">
        <v>13885</v>
      </c>
      <c r="E105" s="21">
        <v>13.885</v>
      </c>
      <c r="F105" s="21">
        <v>475240</v>
      </c>
      <c r="G105" s="21">
        <v>4752.3999999999996</v>
      </c>
      <c r="H105" s="21">
        <v>57.26</v>
      </c>
      <c r="I105" s="21">
        <v>426</v>
      </c>
      <c r="J105" s="21">
        <v>342.27</v>
      </c>
      <c r="K105" s="21" t="s">
        <v>106</v>
      </c>
      <c r="L105" s="21" t="s">
        <v>88</v>
      </c>
      <c r="M105" s="21">
        <v>48.74</v>
      </c>
      <c r="N105" s="21">
        <v>46.44</v>
      </c>
      <c r="O105" s="21">
        <v>-1.08</v>
      </c>
      <c r="P105" s="21">
        <v>-1.07</v>
      </c>
    </row>
    <row r="106" spans="1:16" ht="15" customHeight="1" x14ac:dyDescent="0.3">
      <c r="A106" s="21">
        <v>2024</v>
      </c>
      <c r="B106" s="21">
        <v>7</v>
      </c>
      <c r="C106" s="21" t="s">
        <v>193</v>
      </c>
      <c r="D106" s="21">
        <v>14437</v>
      </c>
      <c r="E106" s="21">
        <v>14.436999999999999</v>
      </c>
      <c r="F106" s="21">
        <v>493430</v>
      </c>
      <c r="G106" s="21">
        <v>4934.3</v>
      </c>
      <c r="H106" s="21">
        <v>59.45</v>
      </c>
      <c r="I106" s="21">
        <v>430</v>
      </c>
      <c r="J106" s="21">
        <v>341.78</v>
      </c>
      <c r="K106" s="21" t="s">
        <v>106</v>
      </c>
      <c r="L106" s="21" t="s">
        <v>87</v>
      </c>
      <c r="M106" s="21">
        <v>44.89</v>
      </c>
      <c r="N106" s="21">
        <v>45.13</v>
      </c>
      <c r="O106" s="21">
        <v>3.98</v>
      </c>
      <c r="P106" s="21">
        <v>3.83</v>
      </c>
    </row>
    <row r="107" spans="1:16" ht="15" customHeight="1" x14ac:dyDescent="0.3">
      <c r="A107" s="21">
        <v>2024</v>
      </c>
      <c r="B107" s="21">
        <v>8</v>
      </c>
      <c r="C107" s="21" t="s">
        <v>194</v>
      </c>
      <c r="D107" s="21">
        <v>15044</v>
      </c>
      <c r="E107" s="21">
        <v>15.044</v>
      </c>
      <c r="F107" s="21">
        <v>514890</v>
      </c>
      <c r="G107" s="21">
        <v>5148.8999999999996</v>
      </c>
      <c r="H107" s="21">
        <v>62.03</v>
      </c>
      <c r="I107" s="21">
        <v>434</v>
      </c>
      <c r="J107" s="21">
        <v>342.26</v>
      </c>
      <c r="K107" s="21" t="s">
        <v>106</v>
      </c>
      <c r="L107" s="21" t="s">
        <v>87</v>
      </c>
      <c r="M107" s="21">
        <v>42.14</v>
      </c>
      <c r="N107" s="21">
        <v>41.96</v>
      </c>
      <c r="O107" s="21">
        <v>4.2</v>
      </c>
      <c r="P107" s="21">
        <v>4.3499999999999996</v>
      </c>
    </row>
    <row r="108" spans="1:16" ht="15" customHeight="1" x14ac:dyDescent="0.3">
      <c r="A108" s="21">
        <v>2024</v>
      </c>
      <c r="B108" s="21">
        <v>9</v>
      </c>
      <c r="C108" s="21" t="s">
        <v>195</v>
      </c>
      <c r="D108" s="21">
        <v>15040</v>
      </c>
      <c r="E108" s="21">
        <v>15.04</v>
      </c>
      <c r="F108" s="21">
        <v>514290</v>
      </c>
      <c r="G108" s="21">
        <v>5142.8999999999996</v>
      </c>
      <c r="H108" s="21">
        <v>61.96</v>
      </c>
      <c r="I108" s="21">
        <v>438</v>
      </c>
      <c r="J108" s="21">
        <v>341.95</v>
      </c>
      <c r="K108" s="21" t="s">
        <v>106</v>
      </c>
      <c r="L108" s="21" t="s">
        <v>87</v>
      </c>
      <c r="M108" s="21">
        <v>42.34</v>
      </c>
      <c r="N108" s="21">
        <v>41.76</v>
      </c>
      <c r="O108" s="21">
        <v>-0.03</v>
      </c>
      <c r="P108" s="21">
        <v>-0.12</v>
      </c>
    </row>
    <row r="109" spans="1:16" ht="15" customHeight="1" x14ac:dyDescent="0.3">
      <c r="A109" s="21">
        <v>2024</v>
      </c>
      <c r="B109" s="21">
        <v>10</v>
      </c>
      <c r="C109" s="21" t="s">
        <v>196</v>
      </c>
      <c r="D109" s="21">
        <v>16584</v>
      </c>
      <c r="E109" s="21">
        <v>16.584</v>
      </c>
      <c r="F109" s="21">
        <v>567570</v>
      </c>
      <c r="G109" s="21">
        <v>5675.7</v>
      </c>
      <c r="H109" s="21">
        <v>68.38</v>
      </c>
      <c r="I109" s="21">
        <v>442</v>
      </c>
      <c r="J109" s="21">
        <v>342.24</v>
      </c>
      <c r="K109" s="21" t="s">
        <v>106</v>
      </c>
      <c r="L109" s="21" t="s">
        <v>92</v>
      </c>
      <c r="M109" s="21">
        <v>45.47</v>
      </c>
      <c r="N109" s="21">
        <v>45.9</v>
      </c>
      <c r="O109" s="21">
        <v>10.27</v>
      </c>
      <c r="P109" s="21">
        <v>10.36</v>
      </c>
    </row>
    <row r="110" spans="1:16" ht="15" customHeight="1" x14ac:dyDescent="0.3">
      <c r="A110" s="21">
        <v>2024</v>
      </c>
      <c r="B110" s="21">
        <v>11</v>
      </c>
      <c r="C110" s="21" t="s">
        <v>197</v>
      </c>
      <c r="D110" s="21">
        <v>15487</v>
      </c>
      <c r="E110" s="21">
        <v>15.487</v>
      </c>
      <c r="F110" s="21">
        <v>530240</v>
      </c>
      <c r="G110" s="21">
        <v>5302.4</v>
      </c>
      <c r="H110" s="21">
        <v>63.88</v>
      </c>
      <c r="I110" s="21">
        <v>445</v>
      </c>
      <c r="J110" s="21">
        <v>342.38</v>
      </c>
      <c r="K110" s="21" t="s">
        <v>106</v>
      </c>
      <c r="L110" s="21" t="s">
        <v>92</v>
      </c>
      <c r="M110" s="21">
        <v>38.71</v>
      </c>
      <c r="N110" s="21">
        <v>38.54</v>
      </c>
      <c r="O110" s="21">
        <v>-6.61</v>
      </c>
      <c r="P110" s="21">
        <v>-6.58</v>
      </c>
    </row>
    <row r="111" spans="1:16" ht="15" customHeight="1" x14ac:dyDescent="0.3">
      <c r="A111" s="21">
        <v>2024</v>
      </c>
      <c r="B111" s="21">
        <v>12</v>
      </c>
      <c r="C111" s="21" t="s">
        <v>198</v>
      </c>
      <c r="D111" s="21">
        <v>16727</v>
      </c>
      <c r="E111" s="21">
        <v>16.727</v>
      </c>
      <c r="F111" s="21">
        <v>572770</v>
      </c>
      <c r="G111" s="21">
        <v>5727.7</v>
      </c>
      <c r="H111" s="21">
        <v>69.010000000000005</v>
      </c>
      <c r="I111" s="21">
        <v>449</v>
      </c>
      <c r="J111" s="21">
        <v>342.42</v>
      </c>
      <c r="K111" s="21" t="s">
        <v>106</v>
      </c>
      <c r="L111" s="21" t="s">
        <v>92</v>
      </c>
      <c r="M111" s="21">
        <v>39.159999999999997</v>
      </c>
      <c r="N111" s="21">
        <v>39.61</v>
      </c>
      <c r="O111" s="21">
        <v>8.01</v>
      </c>
      <c r="P111" s="21">
        <v>8.02</v>
      </c>
    </row>
    <row r="112" spans="1:16" ht="15" customHeight="1" x14ac:dyDescent="0.3">
      <c r="A112" s="21">
        <v>2025</v>
      </c>
      <c r="B112" s="21">
        <v>1</v>
      </c>
      <c r="C112" s="21" t="s">
        <v>199</v>
      </c>
      <c r="D112" s="21">
        <v>16994</v>
      </c>
      <c r="E112" s="21">
        <v>16.994</v>
      </c>
      <c r="F112" s="21">
        <v>582310</v>
      </c>
      <c r="G112" s="21">
        <v>5823.1</v>
      </c>
      <c r="H112" s="21">
        <v>70.16</v>
      </c>
      <c r="I112" s="21">
        <v>452</v>
      </c>
      <c r="J112" s="21">
        <v>342.66</v>
      </c>
      <c r="K112" s="21" t="s">
        <v>106</v>
      </c>
      <c r="L112" s="21" t="s">
        <v>95</v>
      </c>
      <c r="M112" s="21">
        <v>39.26</v>
      </c>
      <c r="N112" s="21">
        <v>39.159999999999997</v>
      </c>
      <c r="O112" s="21">
        <v>1.6</v>
      </c>
      <c r="P112" s="21">
        <v>1.67</v>
      </c>
    </row>
    <row r="113" spans="1:16" ht="15" customHeight="1" x14ac:dyDescent="0.3">
      <c r="A113" s="21">
        <v>2025</v>
      </c>
      <c r="B113" s="21">
        <v>2</v>
      </c>
      <c r="C113" s="21" t="s">
        <v>200</v>
      </c>
      <c r="D113" s="21">
        <v>15650</v>
      </c>
      <c r="E113" s="21">
        <v>15.65</v>
      </c>
      <c r="F113" s="21">
        <v>536180</v>
      </c>
      <c r="G113" s="21">
        <v>5361.8</v>
      </c>
      <c r="H113" s="21">
        <v>64.599999999999994</v>
      </c>
      <c r="I113" s="21">
        <v>456</v>
      </c>
      <c r="J113" s="21">
        <v>342.61</v>
      </c>
      <c r="K113" s="21" t="s">
        <v>106</v>
      </c>
      <c r="L113" s="21" t="s">
        <v>95</v>
      </c>
      <c r="M113" s="21">
        <v>36.81</v>
      </c>
      <c r="N113" s="21">
        <v>36.630000000000003</v>
      </c>
      <c r="O113" s="21">
        <v>-7.91</v>
      </c>
      <c r="P113" s="21">
        <v>-7.92</v>
      </c>
    </row>
  </sheetData>
  <mergeCells count="19">
    <mergeCell ref="S3:U3"/>
    <mergeCell ref="V3:X3"/>
    <mergeCell ref="Y3:AA3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1:P1"/>
    <mergeCell ref="A3:C3"/>
    <mergeCell ref="D3:F3"/>
    <mergeCell ref="G3:I3"/>
    <mergeCell ref="J3:L3"/>
    <mergeCell ref="M3:O3"/>
    <mergeCell ref="P3:R3"/>
  </mergeCells>
  <conditionalFormatting sqref="M11:M113">
    <cfRule type="colorScale" priority="3">
      <colorScale>
        <cfvo type="min"/>
        <cfvo type="max"/>
        <color rgb="FFDEEBF7"/>
        <color rgb="FF1F4E79"/>
      </colorScale>
    </cfRule>
  </conditionalFormatting>
  <conditionalFormatting sqref="O11:O113">
    <cfRule type="colorScale" priority="2">
      <colorScale>
        <cfvo type="min"/>
        <cfvo type="max"/>
        <color rgb="FFDEEBF7"/>
        <color rgb="FF1F4E7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8A"/>
  </sheetPr>
  <dimension ref="A1:AC596"/>
  <sheetViews>
    <sheetView showGridLines="0" zoomScale="27" zoomScaleNormal="90" workbookViewId="0">
      <pane ySplit="1" topLeftCell="A2" activePane="bottomLeft" state="frozen"/>
      <selection pane="bottomLeft" sqref="A1:N1"/>
    </sheetView>
  </sheetViews>
  <sheetFormatPr defaultColWidth="8.6640625" defaultRowHeight="14.4" x14ac:dyDescent="0.3"/>
  <cols>
    <col min="1" max="1" width="13" customWidth="1"/>
    <col min="2" max="3" width="10" customWidth="1"/>
    <col min="4" max="4" width="15" customWidth="1"/>
    <col min="5" max="5" width="19" customWidth="1"/>
    <col min="6" max="6" width="28" customWidth="1"/>
    <col min="7" max="7" width="25" customWidth="1"/>
    <col min="10" max="13" width="17" customWidth="1"/>
    <col min="15" max="21" width="13" customWidth="1"/>
    <col min="23" max="25" width="17" customWidth="1"/>
    <col min="27" max="29" width="17" customWidth="1"/>
  </cols>
  <sheetData>
    <row r="1" spans="1:29" ht="25.5" customHeight="1" x14ac:dyDescent="0.35">
      <c r="A1" s="11" t="s">
        <v>201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29" ht="15" customHeight="1" x14ac:dyDescent="0.3">
      <c r="A3" s="10" t="s">
        <v>202</v>
      </c>
      <c r="B3" s="10"/>
      <c r="C3" s="10"/>
      <c r="D3" s="10" t="s">
        <v>203</v>
      </c>
      <c r="E3" s="10"/>
      <c r="F3" s="10"/>
      <c r="G3" s="10" t="s">
        <v>204</v>
      </c>
      <c r="H3" s="10"/>
      <c r="I3" s="10"/>
      <c r="J3" s="10" t="s">
        <v>205</v>
      </c>
      <c r="K3" s="10"/>
      <c r="L3" s="10"/>
    </row>
    <row r="4" spans="1:29" ht="17.25" customHeight="1" x14ac:dyDescent="0.3">
      <c r="A4" s="6" t="str">
        <f>INDEX(Tbl_Bank[bank_app],MATCH(MAX(Tbl_Bank[volume_share_pct]),Tbl_Bank[volume_share_pct],0))</f>
        <v>PhonePe</v>
      </c>
      <c r="B4" s="6"/>
      <c r="C4" s="6"/>
      <c r="D4" s="7">
        <f>MAX(Tbl_Bank[volume_share_pct])</f>
        <v>48.5</v>
      </c>
      <c r="E4" s="7"/>
      <c r="F4" s="7"/>
      <c r="G4" s="9">
        <f>7</f>
        <v>7</v>
      </c>
      <c r="H4" s="9"/>
      <c r="I4" s="9"/>
      <c r="J4" s="7">
        <f>AVERAGE(Tbl_Bank[volume_share_pct])</f>
        <v>16.698641765704579</v>
      </c>
      <c r="K4" s="7"/>
      <c r="L4" s="7"/>
    </row>
    <row r="6" spans="1:29" ht="15" customHeight="1" x14ac:dyDescent="0.3">
      <c r="A6" s="19" t="s">
        <v>206</v>
      </c>
      <c r="J6" s="19" t="s">
        <v>207</v>
      </c>
      <c r="O6" s="19" t="s">
        <v>208</v>
      </c>
      <c r="W6" s="19" t="s">
        <v>209</v>
      </c>
      <c r="AA6" s="19" t="s">
        <v>210</v>
      </c>
    </row>
    <row r="7" spans="1:29" ht="24.75" customHeight="1" x14ac:dyDescent="0.3">
      <c r="A7" s="20" t="s">
        <v>65</v>
      </c>
      <c r="B7" s="20" t="s">
        <v>63</v>
      </c>
      <c r="C7" s="20" t="s">
        <v>64</v>
      </c>
      <c r="D7" s="20" t="s">
        <v>211</v>
      </c>
      <c r="E7" s="20" t="s">
        <v>212</v>
      </c>
      <c r="F7" s="20" t="s">
        <v>213</v>
      </c>
      <c r="G7" s="20" t="s">
        <v>214</v>
      </c>
      <c r="J7" s="20" t="s">
        <v>215</v>
      </c>
      <c r="K7" s="20" t="s">
        <v>216</v>
      </c>
      <c r="L7" s="20" t="s">
        <v>217</v>
      </c>
      <c r="M7" s="20" t="s">
        <v>218</v>
      </c>
      <c r="O7" s="20" t="s">
        <v>79</v>
      </c>
      <c r="P7" s="20" t="s">
        <v>219</v>
      </c>
      <c r="Q7" s="20" t="s">
        <v>220</v>
      </c>
      <c r="R7" s="20" t="s">
        <v>221</v>
      </c>
      <c r="S7" s="20" t="s">
        <v>222</v>
      </c>
      <c r="T7" s="20" t="s">
        <v>223</v>
      </c>
      <c r="U7" s="20" t="s">
        <v>224</v>
      </c>
      <c r="W7" s="20" t="s">
        <v>225</v>
      </c>
      <c r="X7" s="20" t="s">
        <v>215</v>
      </c>
      <c r="Y7" s="20" t="s">
        <v>226</v>
      </c>
      <c r="AA7" s="20" t="s">
        <v>225</v>
      </c>
      <c r="AB7" s="20" t="s">
        <v>215</v>
      </c>
      <c r="AC7" s="20" t="s">
        <v>217</v>
      </c>
    </row>
    <row r="8" spans="1:29" ht="15" customHeight="1" x14ac:dyDescent="0.3">
      <c r="A8" s="21" t="s">
        <v>85</v>
      </c>
      <c r="B8" s="21">
        <v>2016</v>
      </c>
      <c r="C8" s="21">
        <v>8</v>
      </c>
      <c r="D8" s="21" t="s">
        <v>219</v>
      </c>
      <c r="E8" s="21">
        <v>30</v>
      </c>
      <c r="F8" s="21">
        <v>0.03</v>
      </c>
      <c r="G8" s="21">
        <v>0.93</v>
      </c>
      <c r="J8" s="22" t="s">
        <v>224</v>
      </c>
      <c r="K8" s="23">
        <f>SUMIFS(Tbl_Bank[estimated_volume_millions],Tbl_Bank[bank_app],J8)</f>
        <v>4712.1099999999997</v>
      </c>
      <c r="L8" s="23">
        <f>SUMIFS(Tbl_Bank[estimated_value_crores],Tbl_Bank[bank_app],J8)</f>
        <v>161424.05000000002</v>
      </c>
      <c r="M8" s="24">
        <f>AVERAGEIFS(Tbl_Bank[volume_share_pct],Tbl_Bank[bank_app],J8)</f>
        <v>0.7329113924050632</v>
      </c>
      <c r="O8" s="22">
        <v>2016</v>
      </c>
      <c r="P8" s="24">
        <f>IFERROR(AVERAGEIFS(Tbl_Bank[volume_share_pct],Tbl_Bank[year],O8,Tbl_Bank[bank_app],"PhonePe"),0)</f>
        <v>30.419999999999998</v>
      </c>
      <c r="Q8" s="24">
        <f>IFERROR(AVERAGEIFS(Tbl_Bank[volume_share_pct],Tbl_Bank[year],O8,Tbl_Bank[bank_app],"Google Pay"),0)</f>
        <v>25.459999999999997</v>
      </c>
      <c r="R8" s="24">
        <f>IFERROR(AVERAGEIFS(Tbl_Bank[volume_share_pct],Tbl_Bank[year],O8,Tbl_Bank[bank_app],"Paytm"),0)</f>
        <v>34.42</v>
      </c>
      <c r="S8" s="24">
        <f>IFERROR(AVERAGEIFS(Tbl_Bank[volume_share_pct],Tbl_Bank[year],O8,Tbl_Bank[bank_app],"BHIM"),0)</f>
        <v>7.88</v>
      </c>
      <c r="T8" s="24">
        <f>IFERROR(AVERAGEIFS(Tbl_Bank[volume_share_pct],Tbl_Bank[year],O8,Tbl_Bank[bank_app],"CRED"),0)</f>
        <v>0</v>
      </c>
      <c r="U8" s="24">
        <f>IFERROR(AVERAGEIFS(Tbl_Bank[volume_share_pct],Tbl_Bank[year],O8,Tbl_Bank[bank_app],"Amazon Pay"),0)</f>
        <v>0</v>
      </c>
      <c r="W8" s="22">
        <v>1</v>
      </c>
      <c r="X8" s="22" t="str">
        <f>INDEX($J$8:$J$14,MATCH(LARGE($K$8:$K$14,1),$K$8:$K$14,0))</f>
        <v>PhonePe</v>
      </c>
      <c r="Y8" s="23">
        <f>LARGE($K$8:$K$14,1)</f>
        <v>208055.86999999997</v>
      </c>
      <c r="AA8" s="22">
        <v>1</v>
      </c>
      <c r="AB8" s="22" t="str">
        <f>INDEX($J$8:$J$14,MATCH(LARGE($L$8:$L$14,1),$L$8:$L$14,0))</f>
        <v>PhonePe</v>
      </c>
      <c r="AC8" s="23">
        <f>LARGE($L$8:$L$14,1)</f>
        <v>7127102.1300000018</v>
      </c>
    </row>
    <row r="9" spans="1:29" ht="15" customHeight="1" x14ac:dyDescent="0.3">
      <c r="A9" s="21" t="s">
        <v>89</v>
      </c>
      <c r="B9" s="21">
        <v>2016</v>
      </c>
      <c r="C9" s="21">
        <v>9</v>
      </c>
      <c r="D9" s="21" t="s">
        <v>219</v>
      </c>
      <c r="E9" s="21">
        <v>30.4</v>
      </c>
      <c r="F9" s="21">
        <v>0.04</v>
      </c>
      <c r="G9" s="21">
        <v>1.61</v>
      </c>
      <c r="J9" s="22" t="s">
        <v>222</v>
      </c>
      <c r="K9" s="23">
        <f>SUMIFS(Tbl_Bank[estimated_volume_millions],Tbl_Bank[bank_app],J9)</f>
        <v>10076.510000000004</v>
      </c>
      <c r="L9" s="23">
        <f>SUMIFS(Tbl_Bank[estimated_value_crores],Tbl_Bank[bank_app],J9)</f>
        <v>345501.25</v>
      </c>
      <c r="M9" s="24">
        <f>AVERAGEIFS(Tbl_Bank[volume_share_pct],Tbl_Bank[bank_app],J9)</f>
        <v>4.285436893203884</v>
      </c>
      <c r="O9" s="22">
        <v>2017</v>
      </c>
      <c r="P9" s="24">
        <f>IFERROR(AVERAGEIFS(Tbl_Bank[volume_share_pct],Tbl_Bank[year],O9,Tbl_Bank[bank_app],"PhonePe"),0)</f>
        <v>31.733333333333331</v>
      </c>
      <c r="Q9" s="24">
        <f>IFERROR(AVERAGEIFS(Tbl_Bank[volume_share_pct],Tbl_Bank[year],O9,Tbl_Bank[bank_app],"Google Pay"),0)</f>
        <v>25.941666666666666</v>
      </c>
      <c r="R9" s="24">
        <f>IFERROR(AVERAGEIFS(Tbl_Bank[volume_share_pct],Tbl_Bank[year],O9,Tbl_Bank[bank_app],"Paytm"),0)</f>
        <v>32.216666666666669</v>
      </c>
      <c r="S9" s="24">
        <f>IFERROR(AVERAGEIFS(Tbl_Bank[volume_share_pct],Tbl_Bank[year],O9,Tbl_Bank[bank_app],"BHIM"),0)</f>
        <v>7.0583333333333336</v>
      </c>
      <c r="T9" s="24">
        <f>IFERROR(AVERAGEIFS(Tbl_Bank[volume_share_pct],Tbl_Bank[year],O9,Tbl_Bank[bank_app],"CRED"),0)</f>
        <v>0</v>
      </c>
      <c r="U9" s="24">
        <f>IFERROR(AVERAGEIFS(Tbl_Bank[volume_share_pct],Tbl_Bank[year],O9,Tbl_Bank[bank_app],"Amazon Pay"),0)</f>
        <v>0</v>
      </c>
      <c r="W9" s="22">
        <v>2</v>
      </c>
      <c r="X9" s="22" t="str">
        <f>INDEX($J$8:$J$14,MATCH(LARGE($K$8:$K$14,2),$K$8:$K$14,0))</f>
        <v>Google Pay</v>
      </c>
      <c r="Y9" s="23">
        <f>LARGE($K$8:$K$14,2)</f>
        <v>151107.59</v>
      </c>
      <c r="AA9" s="22">
        <v>2</v>
      </c>
      <c r="AB9" s="22" t="str">
        <f>INDEX($J$8:$J$14,MATCH(LARGE($L$8:$L$14,2),$L$8:$L$14,0))</f>
        <v>Google Pay</v>
      </c>
      <c r="AC9" s="23">
        <f>LARGE($L$8:$L$14,2)</f>
        <v>5176416.76</v>
      </c>
    </row>
    <row r="10" spans="1:29" ht="15" customHeight="1" x14ac:dyDescent="0.3">
      <c r="A10" s="21" t="s">
        <v>91</v>
      </c>
      <c r="B10" s="21">
        <v>2016</v>
      </c>
      <c r="C10" s="21">
        <v>10</v>
      </c>
      <c r="D10" s="21" t="s">
        <v>219</v>
      </c>
      <c r="E10" s="21">
        <v>30.8</v>
      </c>
      <c r="F10" s="21">
        <v>0.09</v>
      </c>
      <c r="G10" s="21">
        <v>4.9400000000000004</v>
      </c>
      <c r="J10" s="22" t="s">
        <v>223</v>
      </c>
      <c r="K10" s="23">
        <f>SUMIFS(Tbl_Bank[estimated_volume_millions],Tbl_Bank[bank_app],J10)</f>
        <v>9488.9100000000017</v>
      </c>
      <c r="L10" s="23">
        <f>SUMIFS(Tbl_Bank[estimated_value_crores],Tbl_Bank[bank_app],J10)</f>
        <v>324938.21000000002</v>
      </c>
      <c r="M10" s="24">
        <f>AVERAGEIFS(Tbl_Bank[volume_share_pct],Tbl_Bank[bank_app],J10)</f>
        <v>1.5836363636363637</v>
      </c>
      <c r="O10" s="22">
        <v>2018</v>
      </c>
      <c r="P10" s="24">
        <f>IFERROR(AVERAGEIFS(Tbl_Bank[volume_share_pct],Tbl_Bank[year],O10,Tbl_Bank[bank_app],"PhonePe"),0)</f>
        <v>33.708333333333336</v>
      </c>
      <c r="Q10" s="24">
        <f>IFERROR(AVERAGEIFS(Tbl_Bank[volume_share_pct],Tbl_Bank[year],O10,Tbl_Bank[bank_app],"Google Pay"),0)</f>
        <v>27.158333333333331</v>
      </c>
      <c r="R10" s="24">
        <f>IFERROR(AVERAGEIFS(Tbl_Bank[volume_share_pct],Tbl_Bank[year],O10,Tbl_Bank[bank_app],"Paytm"),0)</f>
        <v>28.525000000000002</v>
      </c>
      <c r="S10" s="24">
        <f>IFERROR(AVERAGEIFS(Tbl_Bank[volume_share_pct],Tbl_Bank[year],O10,Tbl_Bank[bank_app],"BHIM"),0)</f>
        <v>6.4666666666666677</v>
      </c>
      <c r="T10" s="24">
        <f>IFERROR(AVERAGEIFS(Tbl_Bank[volume_share_pct],Tbl_Bank[year],O10,Tbl_Bank[bank_app],"CRED"),0)</f>
        <v>0</v>
      </c>
      <c r="U10" s="24">
        <f>IFERROR(AVERAGEIFS(Tbl_Bank[volume_share_pct],Tbl_Bank[year],O10,Tbl_Bank[bank_app],"Amazon Pay"),0)</f>
        <v>0.2</v>
      </c>
      <c r="W10" s="22">
        <v>3</v>
      </c>
      <c r="X10" s="22" t="str">
        <f>INDEX($J$8:$J$14,MATCH(LARGE($K$8:$K$14,3),$K$8:$K$14,0))</f>
        <v>Paytm</v>
      </c>
      <c r="Y10" s="23">
        <f>LARGE($K$8:$K$14,3)</f>
        <v>59264.87000000001</v>
      </c>
      <c r="AA10" s="22">
        <v>3</v>
      </c>
      <c r="AB10" s="22" t="str">
        <f>INDEX($J$8:$J$14,MATCH(LARGE($L$8:$L$14,3),$L$8:$L$14,0))</f>
        <v>Paytm</v>
      </c>
      <c r="AC10" s="23">
        <f>LARGE($L$8:$L$14,3)</f>
        <v>2031721.7699999996</v>
      </c>
    </row>
    <row r="11" spans="1:29" ht="15" customHeight="1" x14ac:dyDescent="0.3">
      <c r="A11" s="21" t="s">
        <v>94</v>
      </c>
      <c r="B11" s="21">
        <v>2016</v>
      </c>
      <c r="C11" s="21">
        <v>11</v>
      </c>
      <c r="D11" s="21" t="s">
        <v>219</v>
      </c>
      <c r="E11" s="21">
        <v>30</v>
      </c>
      <c r="F11" s="21">
        <v>0.15</v>
      </c>
      <c r="G11" s="21">
        <v>7.22</v>
      </c>
      <c r="J11" s="22" t="s">
        <v>220</v>
      </c>
      <c r="K11" s="23">
        <f>SUMIFS(Tbl_Bank[estimated_volume_millions],Tbl_Bank[bank_app],J11)</f>
        <v>151107.59</v>
      </c>
      <c r="L11" s="23">
        <f>SUMIFS(Tbl_Bank[estimated_value_crores],Tbl_Bank[bank_app],J11)</f>
        <v>5176416.76</v>
      </c>
      <c r="M11" s="24">
        <f>AVERAGEIFS(Tbl_Bank[volume_share_pct],Tbl_Bank[bank_app],J11)</f>
        <v>29.563106796116497</v>
      </c>
      <c r="O11" s="22">
        <v>2019</v>
      </c>
      <c r="P11" s="24">
        <f>IFERROR(AVERAGEIFS(Tbl_Bank[volume_share_pct],Tbl_Bank[year],O11,Tbl_Bank[bank_app],"PhonePe"),0)</f>
        <v>35.841666666666669</v>
      </c>
      <c r="Q11" s="24">
        <f>IFERROR(AVERAGEIFS(Tbl_Bank[volume_share_pct],Tbl_Bank[year],O11,Tbl_Bank[bank_app],"Google Pay"),0)</f>
        <v>28.116666666666671</v>
      </c>
      <c r="R11" s="24">
        <f>IFERROR(AVERAGEIFS(Tbl_Bank[volume_share_pct],Tbl_Bank[year],O11,Tbl_Bank[bank_app],"Paytm"),0)</f>
        <v>25.525000000000002</v>
      </c>
      <c r="S11" s="24">
        <f>IFERROR(AVERAGEIFS(Tbl_Bank[volume_share_pct],Tbl_Bank[year],O11,Tbl_Bank[bank_app],"BHIM"),0)</f>
        <v>5.291666666666667</v>
      </c>
      <c r="T11" s="24">
        <f>IFERROR(AVERAGEIFS(Tbl_Bank[volume_share_pct],Tbl_Bank[year],O11,Tbl_Bank[bank_app],"CRED"),0)</f>
        <v>0</v>
      </c>
      <c r="U11" s="24">
        <f>IFERROR(AVERAGEIFS(Tbl_Bank[volume_share_pct],Tbl_Bank[year],O11,Tbl_Bank[bank_app],"Amazon Pay"),0)</f>
        <v>0.24166666666666667</v>
      </c>
      <c r="W11" s="22">
        <v>4</v>
      </c>
      <c r="X11" s="22" t="str">
        <f>INDEX($J$8:$J$14,MATCH(LARGE($K$8:$K$14,4),$K$8:$K$14,0))</f>
        <v>BHIM</v>
      </c>
      <c r="Y11" s="23">
        <f>LARGE($K$8:$K$14,4)</f>
        <v>10076.510000000004</v>
      </c>
      <c r="AA11" s="22">
        <v>4</v>
      </c>
      <c r="AB11" s="22" t="str">
        <f>INDEX($J$8:$J$14,MATCH(LARGE($L$8:$L$14,4),$L$8:$L$14,0))</f>
        <v>BHIM</v>
      </c>
      <c r="AC11" s="23">
        <f>LARGE($L$8:$L$14,4)</f>
        <v>345501.25</v>
      </c>
    </row>
    <row r="12" spans="1:29" ht="15" customHeight="1" x14ac:dyDescent="0.3">
      <c r="A12" s="21" t="s">
        <v>97</v>
      </c>
      <c r="B12" s="21">
        <v>2016</v>
      </c>
      <c r="C12" s="21">
        <v>12</v>
      </c>
      <c r="D12" s="21" t="s">
        <v>219</v>
      </c>
      <c r="E12" s="21">
        <v>30.9</v>
      </c>
      <c r="F12" s="21">
        <v>0.62</v>
      </c>
      <c r="G12" s="21">
        <v>22.08</v>
      </c>
      <c r="J12" s="22" t="s">
        <v>221</v>
      </c>
      <c r="K12" s="23">
        <f>SUMIFS(Tbl_Bank[estimated_volume_millions],Tbl_Bank[bank_app],J12)</f>
        <v>59264.87000000001</v>
      </c>
      <c r="L12" s="23">
        <f>SUMIFS(Tbl_Bank[estimated_value_crores],Tbl_Bank[bank_app],J12)</f>
        <v>2031721.7699999996</v>
      </c>
      <c r="M12" s="24">
        <f>AVERAGEIFS(Tbl_Bank[volume_share_pct],Tbl_Bank[bank_app],J12)</f>
        <v>21.029126213592232</v>
      </c>
      <c r="O12" s="22">
        <v>2020</v>
      </c>
      <c r="P12" s="24">
        <f>IFERROR(AVERAGEIFS(Tbl_Bank[volume_share_pct],Tbl_Bank[year],O12,Tbl_Bank[bank_app],"PhonePe"),0)</f>
        <v>38.141666666666659</v>
      </c>
      <c r="Q12" s="24">
        <f>IFERROR(AVERAGEIFS(Tbl_Bank[volume_share_pct],Tbl_Bank[year],O12,Tbl_Bank[bank_app],"Google Pay"),0)</f>
        <v>28.991666666666664</v>
      </c>
      <c r="R12" s="24">
        <f>IFERROR(AVERAGEIFS(Tbl_Bank[volume_share_pct],Tbl_Bank[year],O12,Tbl_Bank[bank_app],"Paytm"),0)</f>
        <v>22.275000000000002</v>
      </c>
      <c r="S12" s="24">
        <f>IFERROR(AVERAGEIFS(Tbl_Bank[volume_share_pct],Tbl_Bank[year],O12,Tbl_Bank[bank_app],"BHIM"),0)</f>
        <v>4.6250000000000009</v>
      </c>
      <c r="T12" s="24">
        <f>IFERROR(AVERAGEIFS(Tbl_Bank[volume_share_pct],Tbl_Bank[year],O12,Tbl_Bank[bank_app],"CRED"),0)</f>
        <v>0.1</v>
      </c>
      <c r="U12" s="24">
        <f>IFERROR(AVERAGEIFS(Tbl_Bank[volume_share_pct],Tbl_Bank[year],O12,Tbl_Bank[bank_app],"Amazon Pay"),0)</f>
        <v>0.59166666666666667</v>
      </c>
      <c r="W12" s="22">
        <v>5</v>
      </c>
      <c r="X12" s="22" t="str">
        <f>INDEX($J$8:$J$14,MATCH(LARGE($K$8:$K$14,5),$K$8:$K$14,0))</f>
        <v>CRED</v>
      </c>
      <c r="Y12" s="23">
        <f>LARGE($K$8:$K$14,5)</f>
        <v>9488.9100000000017</v>
      </c>
      <c r="AA12" s="22">
        <v>5</v>
      </c>
      <c r="AB12" s="22" t="str">
        <f>INDEX($J$8:$J$14,MATCH(LARGE($L$8:$L$14,5),$L$8:$L$14,0))</f>
        <v>CRED</v>
      </c>
      <c r="AC12" s="23">
        <f>LARGE($L$8:$L$14,5)</f>
        <v>324938.21000000002</v>
      </c>
    </row>
    <row r="13" spans="1:29" ht="15" customHeight="1" x14ac:dyDescent="0.3">
      <c r="A13" s="21" t="s">
        <v>99</v>
      </c>
      <c r="B13" s="21">
        <v>2017</v>
      </c>
      <c r="C13" s="21">
        <v>1</v>
      </c>
      <c r="D13" s="21" t="s">
        <v>219</v>
      </c>
      <c r="E13" s="21">
        <v>30.7</v>
      </c>
      <c r="F13" s="21">
        <v>1.29</v>
      </c>
      <c r="G13" s="21">
        <v>52.11</v>
      </c>
      <c r="J13" s="22" t="s">
        <v>219</v>
      </c>
      <c r="K13" s="23">
        <f>SUMIFS(Tbl_Bank[estimated_volume_millions],Tbl_Bank[bank_app],J13)</f>
        <v>208055.86999999997</v>
      </c>
      <c r="L13" s="23">
        <f>SUMIFS(Tbl_Bank[estimated_value_crores],Tbl_Bank[bank_app],J13)</f>
        <v>7127102.1300000018</v>
      </c>
      <c r="M13" s="24">
        <f>AVERAGEIFS(Tbl_Bank[volume_share_pct],Tbl_Bank[bank_app],J13)</f>
        <v>38.95631067961164</v>
      </c>
      <c r="O13" s="22">
        <v>2021</v>
      </c>
      <c r="P13" s="24">
        <f>IFERROR(AVERAGEIFS(Tbl_Bank[volume_share_pct],Tbl_Bank[year],O13,Tbl_Bank[bank_app],"PhonePe"),0)</f>
        <v>40.350000000000009</v>
      </c>
      <c r="Q13" s="24">
        <f>IFERROR(AVERAGEIFS(Tbl_Bank[volume_share_pct],Tbl_Bank[year],O13,Tbl_Bank[bank_app],"Google Pay"),0)</f>
        <v>30.083333333333332</v>
      </c>
      <c r="R13" s="24">
        <f>IFERROR(AVERAGEIFS(Tbl_Bank[volume_share_pct],Tbl_Bank[year],O13,Tbl_Bank[bank_app],"Paytm"),0)</f>
        <v>19.191666666666666</v>
      </c>
      <c r="S13" s="24">
        <f>IFERROR(AVERAGEIFS(Tbl_Bank[volume_share_pct],Tbl_Bank[year],O13,Tbl_Bank[bank_app],"BHIM"),0)</f>
        <v>3.7333333333333325</v>
      </c>
      <c r="T13" s="24">
        <f>IFERROR(AVERAGEIFS(Tbl_Bank[volume_share_pct],Tbl_Bank[year],O13,Tbl_Bank[bank_app],"CRED"),0)</f>
        <v>0.6333333333333333</v>
      </c>
      <c r="U13" s="24">
        <f>IFERROR(AVERAGEIFS(Tbl_Bank[volume_share_pct],Tbl_Bank[year],O13,Tbl_Bank[bank_app],"Amazon Pay"),0)</f>
        <v>0.53333333333333333</v>
      </c>
      <c r="W13" s="22">
        <v>6</v>
      </c>
      <c r="X13" s="22" t="str">
        <f>INDEX($J$8:$J$14,MATCH(LARGE($K$8:$K$14,6),$K$8:$K$14,0))</f>
        <v>Amazon Pay</v>
      </c>
      <c r="Y13" s="23">
        <f>LARGE($K$8:$K$14,6)</f>
        <v>4712.1099999999997</v>
      </c>
      <c r="AA13" s="22">
        <v>6</v>
      </c>
      <c r="AB13" s="22" t="str">
        <f>INDEX($J$8:$J$14,MATCH(LARGE($L$8:$L$14,6),$L$8:$L$14,0))</f>
        <v>Amazon Pay</v>
      </c>
      <c r="AC13" s="23">
        <f>LARGE($L$8:$L$14,6)</f>
        <v>161424.05000000002</v>
      </c>
    </row>
    <row r="14" spans="1:29" ht="15" customHeight="1" x14ac:dyDescent="0.3">
      <c r="A14" s="21" t="s">
        <v>101</v>
      </c>
      <c r="B14" s="21">
        <v>2017</v>
      </c>
      <c r="C14" s="21">
        <v>2</v>
      </c>
      <c r="D14" s="21" t="s">
        <v>219</v>
      </c>
      <c r="E14" s="21">
        <v>31.5</v>
      </c>
      <c r="F14" s="21">
        <v>1.32</v>
      </c>
      <c r="G14" s="21">
        <v>60.06</v>
      </c>
      <c r="J14" s="22" t="s">
        <v>227</v>
      </c>
      <c r="K14" s="23">
        <f>SUMIFS(Tbl_Bank[estimated_volume_millions],Tbl_Bank[bank_app],J14)</f>
        <v>2817.41</v>
      </c>
      <c r="L14" s="23">
        <f>SUMIFS(Tbl_Bank[estimated_value_crores],Tbl_Bank[bank_app],J14)</f>
        <v>96456.35</v>
      </c>
      <c r="M14" s="24">
        <f>AVERAGEIFS(Tbl_Bank[volume_share_pct],Tbl_Bank[bank_app],J14)</f>
        <v>0.59534883720930232</v>
      </c>
      <c r="O14" s="22">
        <v>2022</v>
      </c>
      <c r="P14" s="24">
        <f>IFERROR(AVERAGEIFS(Tbl_Bank[volume_share_pct],Tbl_Bank[year],O14,Tbl_Bank[bank_app],"PhonePe"),0)</f>
        <v>42.583333333333336</v>
      </c>
      <c r="Q14" s="24">
        <f>IFERROR(AVERAGEIFS(Tbl_Bank[volume_share_pct],Tbl_Bank[year],O14,Tbl_Bank[bank_app],"Google Pay"),0)</f>
        <v>31.416666666666668</v>
      </c>
      <c r="R14" s="24">
        <f>IFERROR(AVERAGEIFS(Tbl_Bank[volume_share_pct],Tbl_Bank[year],O14,Tbl_Bank[bank_app],"Paytm"),0)</f>
        <v>15.65</v>
      </c>
      <c r="S14" s="24">
        <f>IFERROR(AVERAGEIFS(Tbl_Bank[volume_share_pct],Tbl_Bank[year],O14,Tbl_Bank[bank_app],"BHIM"),0)</f>
        <v>2.8666666666666671</v>
      </c>
      <c r="T14" s="24">
        <f>IFERROR(AVERAGEIFS(Tbl_Bank[volume_share_pct],Tbl_Bank[year],O14,Tbl_Bank[bank_app],"CRED"),0)</f>
        <v>1.2333333333333334</v>
      </c>
      <c r="U14" s="24">
        <f>IFERROR(AVERAGEIFS(Tbl_Bank[volume_share_pct],Tbl_Bank[year],O14,Tbl_Bank[bank_app],"Amazon Pay"),0)</f>
        <v>0.9833333333333335</v>
      </c>
      <c r="W14" s="22">
        <v>7</v>
      </c>
      <c r="X14" s="22" t="str">
        <f>INDEX($J$8:$J$14,MATCH(LARGE($K$8:$K$14,7),$K$8:$K$14,0))</f>
        <v>WhatsApp Pay</v>
      </c>
      <c r="Y14" s="23">
        <f>LARGE($K$8:$K$14,7)</f>
        <v>2817.41</v>
      </c>
      <c r="AA14" s="22">
        <v>7</v>
      </c>
      <c r="AB14" s="22" t="str">
        <f>INDEX($J$8:$J$14,MATCH(LARGE($L$8:$L$14,7),$L$8:$L$14,0))</f>
        <v>WhatsApp Pay</v>
      </c>
      <c r="AC14" s="23">
        <f>LARGE($L$8:$L$14,7)</f>
        <v>96456.35</v>
      </c>
    </row>
    <row r="15" spans="1:29" ht="15" customHeight="1" x14ac:dyDescent="0.3">
      <c r="A15" s="21" t="s">
        <v>103</v>
      </c>
      <c r="B15" s="21">
        <v>2017</v>
      </c>
      <c r="C15" s="21">
        <v>3</v>
      </c>
      <c r="D15" s="21" t="s">
        <v>219</v>
      </c>
      <c r="E15" s="21">
        <v>30.2</v>
      </c>
      <c r="F15" s="21">
        <v>1.87</v>
      </c>
      <c r="G15" s="21">
        <v>70.900000000000006</v>
      </c>
      <c r="O15" s="22">
        <v>2023</v>
      </c>
      <c r="P15" s="24">
        <f>IFERROR(AVERAGEIFS(Tbl_Bank[volume_share_pct],Tbl_Bank[year],O15,Tbl_Bank[bank_app],"PhonePe"),0)</f>
        <v>44.708333333333336</v>
      </c>
      <c r="Q15" s="24">
        <f>IFERROR(AVERAGEIFS(Tbl_Bank[volume_share_pct],Tbl_Bank[year],O15,Tbl_Bank[bank_app],"Google Pay"),0)</f>
        <v>32.358333333333327</v>
      </c>
      <c r="R15" s="24">
        <f>IFERROR(AVERAGEIFS(Tbl_Bank[volume_share_pct],Tbl_Bank[year],O15,Tbl_Bank[bank_app],"Paytm"),0)</f>
        <v>12.341666666666667</v>
      </c>
      <c r="S15" s="24">
        <f>IFERROR(AVERAGEIFS(Tbl_Bank[volume_share_pct],Tbl_Bank[year],O15,Tbl_Bank[bank_app],"BHIM"),0)</f>
        <v>1.9749999999999999</v>
      </c>
      <c r="T15" s="24">
        <f>IFERROR(AVERAGEIFS(Tbl_Bank[volume_share_pct],Tbl_Bank[year],O15,Tbl_Bank[bank_app],"CRED"),0)</f>
        <v>1.9916666666666665</v>
      </c>
      <c r="U15" s="24">
        <f>IFERROR(AVERAGEIFS(Tbl_Bank[volume_share_pct],Tbl_Bank[year],O15,Tbl_Bank[bank_app],"Amazon Pay"),0)</f>
        <v>0.95000000000000007</v>
      </c>
      <c r="W15" s="22">
        <v>8</v>
      </c>
      <c r="X15" s="22" t="str">
        <f>IFERROR(INDEX($J$8:$J$14,MATCH(LARGE($K$8:$K$14,8),$K$8:$K$14,0)),"")</f>
        <v/>
      </c>
      <c r="Y15" s="23" t="str">
        <f>IFERROR(LARGE($K$8:$K$14,8),"")</f>
        <v/>
      </c>
      <c r="AA15" s="22">
        <v>8</v>
      </c>
      <c r="AB15" s="22" t="str">
        <f>IFERROR(INDEX($J$8:$J$14,MATCH(LARGE($L$8:$L$14,8),$L$8:$L$14,0)),"")</f>
        <v/>
      </c>
      <c r="AC15" s="23" t="str">
        <f>IFERROR(LARGE($L$8:$L$14,8),"")</f>
        <v/>
      </c>
    </row>
    <row r="16" spans="1:29" ht="15" customHeight="1" x14ac:dyDescent="0.3">
      <c r="A16" s="21" t="s">
        <v>105</v>
      </c>
      <c r="B16" s="21">
        <v>2017</v>
      </c>
      <c r="C16" s="21">
        <v>4</v>
      </c>
      <c r="D16" s="21" t="s">
        <v>219</v>
      </c>
      <c r="E16" s="21">
        <v>31.4</v>
      </c>
      <c r="F16" s="21">
        <v>2.16</v>
      </c>
      <c r="G16" s="21">
        <v>84.68</v>
      </c>
      <c r="O16" s="22">
        <v>2024</v>
      </c>
      <c r="P16" s="24">
        <f>IFERROR(AVERAGEIFS(Tbl_Bank[volume_share_pct],Tbl_Bank[year],O16,Tbl_Bank[bank_app],"PhonePe"),0)</f>
        <v>46.6</v>
      </c>
      <c r="Q16" s="24">
        <f>IFERROR(AVERAGEIFS(Tbl_Bank[volume_share_pct],Tbl_Bank[year],O16,Tbl_Bank[bank_app],"Google Pay"),0)</f>
        <v>33.31666666666667</v>
      </c>
      <c r="R16" s="24">
        <f>IFERROR(AVERAGEIFS(Tbl_Bank[volume_share_pct],Tbl_Bank[year],O16,Tbl_Bank[bank_app],"Paytm"),0)</f>
        <v>9.2583333333333346</v>
      </c>
      <c r="S16" s="24">
        <f>IFERROR(AVERAGEIFS(Tbl_Bank[volume_share_pct],Tbl_Bank[year],O16,Tbl_Bank[bank_app],"BHIM"),0)</f>
        <v>1.3</v>
      </c>
      <c r="T16" s="24">
        <f>IFERROR(AVERAGEIFS(Tbl_Bank[volume_share_pct],Tbl_Bank[year],O16,Tbl_Bank[bank_app],"CRED"),0)</f>
        <v>2.8000000000000003</v>
      </c>
      <c r="U16" s="24">
        <f>IFERROR(AVERAGEIFS(Tbl_Bank[volume_share_pct],Tbl_Bank[year],O16,Tbl_Bank[bank_app],"Amazon Pay"),0)</f>
        <v>1.1500000000000001</v>
      </c>
      <c r="W16" s="22">
        <v>9</v>
      </c>
      <c r="X16" s="22" t="str">
        <f>IFERROR(INDEX($J$8:$J$14,MATCH(LARGE($K$8:$K$14,9),$K$8:$K$14,0)),"")</f>
        <v/>
      </c>
      <c r="Y16" s="23" t="str">
        <f>IFERROR(LARGE($K$8:$K$14,9),"")</f>
        <v/>
      </c>
      <c r="AA16" s="22">
        <v>9</v>
      </c>
      <c r="AB16" s="22" t="str">
        <f>IFERROR(INDEX($J$8:$J$14,MATCH(LARGE($L$8:$L$14,9),$L$8:$L$14,0)),"")</f>
        <v/>
      </c>
      <c r="AC16" s="23" t="str">
        <f>IFERROR(LARGE($L$8:$L$14,9),"")</f>
        <v/>
      </c>
    </row>
    <row r="17" spans="1:29" ht="15" customHeight="1" x14ac:dyDescent="0.3">
      <c r="A17" s="21" t="s">
        <v>107</v>
      </c>
      <c r="B17" s="21">
        <v>2017</v>
      </c>
      <c r="C17" s="21">
        <v>5</v>
      </c>
      <c r="D17" s="21" t="s">
        <v>219</v>
      </c>
      <c r="E17" s="21">
        <v>31.3</v>
      </c>
      <c r="F17" s="21">
        <v>2.91</v>
      </c>
      <c r="G17" s="21">
        <v>125.15</v>
      </c>
      <c r="O17" s="22">
        <v>2025</v>
      </c>
      <c r="P17" s="24">
        <f>IFERROR(AVERAGEIFS(Tbl_Bank[volume_share_pct],Tbl_Bank[year],O17,Tbl_Bank[bank_app],"PhonePe"),0)</f>
        <v>48.2</v>
      </c>
      <c r="Q17" s="24">
        <f>IFERROR(AVERAGEIFS(Tbl_Bank[volume_share_pct],Tbl_Bank[year],O17,Tbl_Bank[bank_app],"Google Pay"),0)</f>
        <v>34.549999999999997</v>
      </c>
      <c r="R17" s="24">
        <f>IFERROR(AVERAGEIFS(Tbl_Bank[volume_share_pct],Tbl_Bank[year],O17,Tbl_Bank[bank_app],"Paytm"),0)</f>
        <v>7.05</v>
      </c>
      <c r="S17" s="24">
        <f>IFERROR(AVERAGEIFS(Tbl_Bank[volume_share_pct],Tbl_Bank[year],O17,Tbl_Bank[bank_app],"BHIM"),0)</f>
        <v>1.1000000000000001</v>
      </c>
      <c r="T17" s="24">
        <f>IFERROR(AVERAGEIFS(Tbl_Bank[volume_share_pct],Tbl_Bank[year],O17,Tbl_Bank[bank_app],"CRED"),0)</f>
        <v>3.35</v>
      </c>
      <c r="U17" s="24">
        <f>IFERROR(AVERAGEIFS(Tbl_Bank[volume_share_pct],Tbl_Bank[year],O17,Tbl_Bank[bank_app],"Amazon Pay"),0)</f>
        <v>1.75</v>
      </c>
      <c r="W17" s="22">
        <v>10</v>
      </c>
      <c r="X17" s="22" t="str">
        <f>IFERROR(INDEX($J$8:$J$14,MATCH(LARGE($K$8:$K$14,10),$K$8:$K$14,0)),"")</f>
        <v/>
      </c>
      <c r="Y17" s="23" t="str">
        <f>IFERROR(LARGE($K$8:$K$14,10),"")</f>
        <v/>
      </c>
      <c r="AA17" s="22">
        <v>10</v>
      </c>
      <c r="AB17" s="22" t="str">
        <f>IFERROR(INDEX($J$8:$J$14,MATCH(LARGE($L$8:$L$14,10),$L$8:$L$14,0)),"")</f>
        <v/>
      </c>
      <c r="AC17" s="23" t="str">
        <f>IFERROR(LARGE($L$8:$L$14,10),"")</f>
        <v/>
      </c>
    </row>
    <row r="18" spans="1:29" ht="15" customHeight="1" x14ac:dyDescent="0.3">
      <c r="A18" s="21" t="s">
        <v>108</v>
      </c>
      <c r="B18" s="21">
        <v>2017</v>
      </c>
      <c r="C18" s="21">
        <v>6</v>
      </c>
      <c r="D18" s="21" t="s">
        <v>219</v>
      </c>
      <c r="E18" s="21">
        <v>32</v>
      </c>
      <c r="F18" s="21">
        <v>3.26</v>
      </c>
      <c r="G18" s="21">
        <v>143.91</v>
      </c>
    </row>
    <row r="19" spans="1:29" ht="15" customHeight="1" x14ac:dyDescent="0.3">
      <c r="A19" s="21" t="s">
        <v>109</v>
      </c>
      <c r="B19" s="21">
        <v>2017</v>
      </c>
      <c r="C19" s="21">
        <v>7</v>
      </c>
      <c r="D19" s="21" t="s">
        <v>219</v>
      </c>
      <c r="E19" s="21">
        <v>32.200000000000003</v>
      </c>
      <c r="F19" s="21">
        <v>5.34</v>
      </c>
      <c r="G19" s="21">
        <v>173.75</v>
      </c>
    </row>
    <row r="20" spans="1:29" ht="15" customHeight="1" x14ac:dyDescent="0.3">
      <c r="A20" s="21" t="s">
        <v>110</v>
      </c>
      <c r="B20" s="21">
        <v>2017</v>
      </c>
      <c r="C20" s="21">
        <v>8</v>
      </c>
      <c r="D20" s="21" t="s">
        <v>219</v>
      </c>
      <c r="E20" s="21">
        <v>31.8</v>
      </c>
      <c r="F20" s="21">
        <v>9.7799999999999994</v>
      </c>
      <c r="G20" s="21">
        <v>336.7</v>
      </c>
    </row>
    <row r="21" spans="1:29" ht="15" customHeight="1" x14ac:dyDescent="0.3">
      <c r="A21" s="21" t="s">
        <v>111</v>
      </c>
      <c r="B21" s="21">
        <v>2017</v>
      </c>
      <c r="C21" s="21">
        <v>9</v>
      </c>
      <c r="D21" s="21" t="s">
        <v>219</v>
      </c>
      <c r="E21" s="21">
        <v>31.9</v>
      </c>
      <c r="F21" s="21">
        <v>16.899999999999999</v>
      </c>
      <c r="G21" s="21">
        <v>626.94000000000005</v>
      </c>
    </row>
    <row r="22" spans="1:29" ht="15" customHeight="1" x14ac:dyDescent="0.3">
      <c r="A22" s="21" t="s">
        <v>112</v>
      </c>
      <c r="B22" s="21">
        <v>2017</v>
      </c>
      <c r="C22" s="21">
        <v>10</v>
      </c>
      <c r="D22" s="21" t="s">
        <v>219</v>
      </c>
      <c r="E22" s="21">
        <v>32.4</v>
      </c>
      <c r="F22" s="21">
        <v>24.89</v>
      </c>
      <c r="G22" s="21">
        <v>878.45</v>
      </c>
    </row>
    <row r="23" spans="1:29" ht="15" customHeight="1" x14ac:dyDescent="0.3">
      <c r="A23" s="21" t="s">
        <v>113</v>
      </c>
      <c r="B23" s="21">
        <v>2017</v>
      </c>
      <c r="C23" s="21">
        <v>11</v>
      </c>
      <c r="D23" s="21" t="s">
        <v>219</v>
      </c>
      <c r="E23" s="21">
        <v>32.200000000000003</v>
      </c>
      <c r="F23" s="21">
        <v>33.74</v>
      </c>
      <c r="G23" s="21">
        <v>1263.48</v>
      </c>
    </row>
    <row r="24" spans="1:29" ht="15" customHeight="1" x14ac:dyDescent="0.3">
      <c r="A24" s="21" t="s">
        <v>114</v>
      </c>
      <c r="B24" s="21">
        <v>2017</v>
      </c>
      <c r="C24" s="21">
        <v>12</v>
      </c>
      <c r="D24" s="21" t="s">
        <v>219</v>
      </c>
      <c r="E24" s="21">
        <v>33.200000000000003</v>
      </c>
      <c r="F24" s="21">
        <v>48.37</v>
      </c>
      <c r="G24" s="21">
        <v>1668.87</v>
      </c>
    </row>
    <row r="25" spans="1:29" ht="15" customHeight="1" x14ac:dyDescent="0.3">
      <c r="A25" s="21" t="s">
        <v>115</v>
      </c>
      <c r="B25" s="21">
        <v>2018</v>
      </c>
      <c r="C25" s="21">
        <v>1</v>
      </c>
      <c r="D25" s="21" t="s">
        <v>219</v>
      </c>
      <c r="E25" s="21">
        <v>32.799999999999997</v>
      </c>
      <c r="F25" s="21">
        <v>49.81</v>
      </c>
      <c r="G25" s="21">
        <v>1727.4</v>
      </c>
    </row>
    <row r="26" spans="1:29" ht="15" customHeight="1" x14ac:dyDescent="0.3">
      <c r="A26" s="21" t="s">
        <v>116</v>
      </c>
      <c r="B26" s="21">
        <v>2018</v>
      </c>
      <c r="C26" s="21">
        <v>2</v>
      </c>
      <c r="D26" s="21" t="s">
        <v>219</v>
      </c>
      <c r="E26" s="21">
        <v>31.7</v>
      </c>
      <c r="F26" s="21">
        <v>54.37</v>
      </c>
      <c r="G26" s="21">
        <v>1873.56</v>
      </c>
    </row>
    <row r="27" spans="1:29" ht="15" customHeight="1" x14ac:dyDescent="0.3">
      <c r="A27" s="21" t="s">
        <v>117</v>
      </c>
      <c r="B27" s="21">
        <v>2018</v>
      </c>
      <c r="C27" s="21">
        <v>3</v>
      </c>
      <c r="D27" s="21" t="s">
        <v>219</v>
      </c>
      <c r="E27" s="21">
        <v>33.200000000000003</v>
      </c>
      <c r="F27" s="21">
        <v>59.07</v>
      </c>
      <c r="G27" s="21">
        <v>2023.1</v>
      </c>
    </row>
    <row r="28" spans="1:29" ht="15" customHeight="1" x14ac:dyDescent="0.3">
      <c r="A28" s="21" t="s">
        <v>118</v>
      </c>
      <c r="B28" s="21">
        <v>2018</v>
      </c>
      <c r="C28" s="21">
        <v>4</v>
      </c>
      <c r="D28" s="21" t="s">
        <v>219</v>
      </c>
      <c r="E28" s="21">
        <v>33</v>
      </c>
      <c r="F28" s="21">
        <v>62.72</v>
      </c>
      <c r="G28" s="21">
        <v>2123.87</v>
      </c>
    </row>
    <row r="29" spans="1:29" ht="15" customHeight="1" x14ac:dyDescent="0.3">
      <c r="A29" s="21" t="s">
        <v>119</v>
      </c>
      <c r="B29" s="21">
        <v>2018</v>
      </c>
      <c r="C29" s="21">
        <v>5</v>
      </c>
      <c r="D29" s="21" t="s">
        <v>219</v>
      </c>
      <c r="E29" s="21">
        <v>32.9</v>
      </c>
      <c r="F29" s="21">
        <v>73.87</v>
      </c>
      <c r="G29" s="21">
        <v>2506.5700000000002</v>
      </c>
    </row>
    <row r="30" spans="1:29" ht="15" customHeight="1" x14ac:dyDescent="0.3">
      <c r="A30" s="21" t="s">
        <v>120</v>
      </c>
      <c r="B30" s="21">
        <v>2018</v>
      </c>
      <c r="C30" s="21">
        <v>6</v>
      </c>
      <c r="D30" s="21" t="s">
        <v>219</v>
      </c>
      <c r="E30" s="21">
        <v>33.299999999999997</v>
      </c>
      <c r="F30" s="21">
        <v>81.96</v>
      </c>
      <c r="G30" s="21">
        <v>2781.84</v>
      </c>
    </row>
    <row r="31" spans="1:29" ht="15" customHeight="1" x14ac:dyDescent="0.3">
      <c r="A31" s="21" t="s">
        <v>121</v>
      </c>
      <c r="B31" s="21">
        <v>2018</v>
      </c>
      <c r="C31" s="21">
        <v>7</v>
      </c>
      <c r="D31" s="21" t="s">
        <v>219</v>
      </c>
      <c r="E31" s="21">
        <v>34.1</v>
      </c>
      <c r="F31" s="21">
        <v>80.41</v>
      </c>
      <c r="G31" s="21">
        <v>2826.65</v>
      </c>
    </row>
    <row r="32" spans="1:29" ht="15" customHeight="1" x14ac:dyDescent="0.3">
      <c r="A32" s="21" t="s">
        <v>122</v>
      </c>
      <c r="B32" s="21">
        <v>2018</v>
      </c>
      <c r="C32" s="21">
        <v>8</v>
      </c>
      <c r="D32" s="21" t="s">
        <v>219</v>
      </c>
      <c r="E32" s="21">
        <v>34.9</v>
      </c>
      <c r="F32" s="21">
        <v>108.99</v>
      </c>
      <c r="G32" s="21">
        <v>3694.12</v>
      </c>
    </row>
    <row r="33" spans="1:7" ht="15" customHeight="1" x14ac:dyDescent="0.3">
      <c r="A33" s="21" t="s">
        <v>123</v>
      </c>
      <c r="B33" s="21">
        <v>2018</v>
      </c>
      <c r="C33" s="21">
        <v>9</v>
      </c>
      <c r="D33" s="21" t="s">
        <v>219</v>
      </c>
      <c r="E33" s="21">
        <v>34.6</v>
      </c>
      <c r="F33" s="21">
        <v>140.28</v>
      </c>
      <c r="G33" s="21">
        <v>4895.57</v>
      </c>
    </row>
    <row r="34" spans="1:7" ht="15" customHeight="1" x14ac:dyDescent="0.3">
      <c r="A34" s="21" t="s">
        <v>124</v>
      </c>
      <c r="B34" s="21">
        <v>2018</v>
      </c>
      <c r="C34" s="21">
        <v>10</v>
      </c>
      <c r="D34" s="21" t="s">
        <v>219</v>
      </c>
      <c r="E34" s="21">
        <v>34.299999999999997</v>
      </c>
      <c r="F34" s="21">
        <v>165.36</v>
      </c>
      <c r="G34" s="21">
        <v>5857.59</v>
      </c>
    </row>
    <row r="35" spans="1:7" ht="15" customHeight="1" x14ac:dyDescent="0.3">
      <c r="A35" s="21" t="s">
        <v>125</v>
      </c>
      <c r="B35" s="21">
        <v>2018</v>
      </c>
      <c r="C35" s="21">
        <v>11</v>
      </c>
      <c r="D35" s="21" t="s">
        <v>219</v>
      </c>
      <c r="E35" s="21">
        <v>35</v>
      </c>
      <c r="F35" s="21">
        <v>183.68</v>
      </c>
      <c r="G35" s="21">
        <v>6380.91</v>
      </c>
    </row>
    <row r="36" spans="1:7" ht="15" customHeight="1" x14ac:dyDescent="0.3">
      <c r="A36" s="21" t="s">
        <v>126</v>
      </c>
      <c r="B36" s="21">
        <v>2018</v>
      </c>
      <c r="C36" s="21">
        <v>12</v>
      </c>
      <c r="D36" s="21" t="s">
        <v>219</v>
      </c>
      <c r="E36" s="21">
        <v>34.700000000000003</v>
      </c>
      <c r="F36" s="21">
        <v>215.52</v>
      </c>
      <c r="G36" s="21">
        <v>7315.13</v>
      </c>
    </row>
    <row r="37" spans="1:7" ht="15" customHeight="1" x14ac:dyDescent="0.3">
      <c r="A37" s="21" t="s">
        <v>127</v>
      </c>
      <c r="B37" s="21">
        <v>2019</v>
      </c>
      <c r="C37" s="21">
        <v>1</v>
      </c>
      <c r="D37" s="21" t="s">
        <v>219</v>
      </c>
      <c r="E37" s="21">
        <v>34.799999999999997</v>
      </c>
      <c r="F37" s="21">
        <v>233.9</v>
      </c>
      <c r="G37" s="21">
        <v>8028.47</v>
      </c>
    </row>
    <row r="38" spans="1:7" ht="15" customHeight="1" x14ac:dyDescent="0.3">
      <c r="A38" s="21" t="s">
        <v>128</v>
      </c>
      <c r="B38" s="21">
        <v>2019</v>
      </c>
      <c r="C38" s="21">
        <v>2</v>
      </c>
      <c r="D38" s="21" t="s">
        <v>219</v>
      </c>
      <c r="E38" s="21">
        <v>34.700000000000003</v>
      </c>
      <c r="F38" s="21">
        <v>234.06</v>
      </c>
      <c r="G38" s="21">
        <v>8000.87</v>
      </c>
    </row>
    <row r="39" spans="1:7" ht="15" customHeight="1" x14ac:dyDescent="0.3">
      <c r="A39" s="21" t="s">
        <v>129</v>
      </c>
      <c r="B39" s="21">
        <v>2019</v>
      </c>
      <c r="C39" s="21">
        <v>3</v>
      </c>
      <c r="D39" s="21" t="s">
        <v>219</v>
      </c>
      <c r="E39" s="21">
        <v>34.6</v>
      </c>
      <c r="F39" s="21">
        <v>276.58</v>
      </c>
      <c r="G39" s="21">
        <v>9354.0499999999993</v>
      </c>
    </row>
    <row r="40" spans="1:7" ht="15" customHeight="1" x14ac:dyDescent="0.3">
      <c r="A40" s="21" t="s">
        <v>130</v>
      </c>
      <c r="B40" s="21">
        <v>2019</v>
      </c>
      <c r="C40" s="21">
        <v>4</v>
      </c>
      <c r="D40" s="21" t="s">
        <v>219</v>
      </c>
      <c r="E40" s="21">
        <v>35.5</v>
      </c>
      <c r="F40" s="21">
        <v>277.24</v>
      </c>
      <c r="G40" s="21">
        <v>9534.49</v>
      </c>
    </row>
    <row r="41" spans="1:7" ht="15" customHeight="1" x14ac:dyDescent="0.3">
      <c r="A41" s="21" t="s">
        <v>131</v>
      </c>
      <c r="B41" s="21">
        <v>2019</v>
      </c>
      <c r="C41" s="21">
        <v>5</v>
      </c>
      <c r="D41" s="21" t="s">
        <v>219</v>
      </c>
      <c r="E41" s="21">
        <v>35.9</v>
      </c>
      <c r="F41" s="21">
        <v>263.31</v>
      </c>
      <c r="G41" s="21">
        <v>9007.9500000000007</v>
      </c>
    </row>
    <row r="42" spans="1:7" ht="15" customHeight="1" x14ac:dyDescent="0.3">
      <c r="A42" s="21" t="s">
        <v>132</v>
      </c>
      <c r="B42" s="21">
        <v>2019</v>
      </c>
      <c r="C42" s="21">
        <v>6</v>
      </c>
      <c r="D42" s="21" t="s">
        <v>219</v>
      </c>
      <c r="E42" s="21">
        <v>36</v>
      </c>
      <c r="F42" s="21">
        <v>271.26</v>
      </c>
      <c r="G42" s="21">
        <v>9268.35</v>
      </c>
    </row>
    <row r="43" spans="1:7" ht="15" customHeight="1" x14ac:dyDescent="0.3">
      <c r="A43" s="21" t="s">
        <v>133</v>
      </c>
      <c r="B43" s="21">
        <v>2019</v>
      </c>
      <c r="C43" s="21">
        <v>7</v>
      </c>
      <c r="D43" s="21" t="s">
        <v>219</v>
      </c>
      <c r="E43" s="21">
        <v>36</v>
      </c>
      <c r="F43" s="21">
        <v>295.77</v>
      </c>
      <c r="G43" s="21">
        <v>10236.27</v>
      </c>
    </row>
    <row r="44" spans="1:7" ht="15" customHeight="1" x14ac:dyDescent="0.3">
      <c r="A44" s="21" t="s">
        <v>134</v>
      </c>
      <c r="B44" s="21">
        <v>2019</v>
      </c>
      <c r="C44" s="21">
        <v>8</v>
      </c>
      <c r="D44" s="21" t="s">
        <v>219</v>
      </c>
      <c r="E44" s="21">
        <v>35.9</v>
      </c>
      <c r="F44" s="21">
        <v>329.49</v>
      </c>
      <c r="G44" s="21">
        <v>11352.09</v>
      </c>
    </row>
    <row r="45" spans="1:7" ht="15" customHeight="1" x14ac:dyDescent="0.3">
      <c r="A45" s="21" t="s">
        <v>135</v>
      </c>
      <c r="B45" s="21">
        <v>2019</v>
      </c>
      <c r="C45" s="21">
        <v>9</v>
      </c>
      <c r="D45" s="21" t="s">
        <v>219</v>
      </c>
      <c r="E45" s="21">
        <v>36.799999999999997</v>
      </c>
      <c r="F45" s="21">
        <v>351.76</v>
      </c>
      <c r="G45" s="21">
        <v>12401.85</v>
      </c>
    </row>
    <row r="46" spans="1:7" ht="15" customHeight="1" x14ac:dyDescent="0.3">
      <c r="A46" s="21" t="s">
        <v>136</v>
      </c>
      <c r="B46" s="21">
        <v>2019</v>
      </c>
      <c r="C46" s="21">
        <v>10</v>
      </c>
      <c r="D46" s="21" t="s">
        <v>219</v>
      </c>
      <c r="E46" s="21">
        <v>36</v>
      </c>
      <c r="F46" s="21">
        <v>413.97</v>
      </c>
      <c r="G46" s="21">
        <v>14576.45</v>
      </c>
    </row>
    <row r="47" spans="1:7" ht="15" customHeight="1" x14ac:dyDescent="0.3">
      <c r="A47" s="21" t="s">
        <v>137</v>
      </c>
      <c r="B47" s="21">
        <v>2019</v>
      </c>
      <c r="C47" s="21">
        <v>11</v>
      </c>
      <c r="D47" s="21" t="s">
        <v>219</v>
      </c>
      <c r="E47" s="21">
        <v>37.299999999999997</v>
      </c>
      <c r="F47" s="21">
        <v>454.25</v>
      </c>
      <c r="G47" s="21">
        <v>16265.53</v>
      </c>
    </row>
    <row r="48" spans="1:7" ht="15" customHeight="1" x14ac:dyDescent="0.3">
      <c r="A48" s="21" t="s">
        <v>138</v>
      </c>
      <c r="B48" s="21">
        <v>2019</v>
      </c>
      <c r="C48" s="21">
        <v>12</v>
      </c>
      <c r="D48" s="21" t="s">
        <v>219</v>
      </c>
      <c r="E48" s="21">
        <v>36.6</v>
      </c>
      <c r="F48" s="21">
        <v>478.32</v>
      </c>
      <c r="G48" s="21">
        <v>16985.810000000001</v>
      </c>
    </row>
    <row r="49" spans="1:7" ht="15" customHeight="1" x14ac:dyDescent="0.3">
      <c r="A49" s="21" t="s">
        <v>139</v>
      </c>
      <c r="B49" s="21">
        <v>2020</v>
      </c>
      <c r="C49" s="21">
        <v>1</v>
      </c>
      <c r="D49" s="21" t="s">
        <v>219</v>
      </c>
      <c r="E49" s="21">
        <v>36.9</v>
      </c>
      <c r="F49" s="21">
        <v>480.05</v>
      </c>
      <c r="G49" s="21">
        <v>16986.509999999998</v>
      </c>
    </row>
    <row r="50" spans="1:7" ht="15" customHeight="1" x14ac:dyDescent="0.3">
      <c r="A50" s="21" t="s">
        <v>140</v>
      </c>
      <c r="B50" s="21">
        <v>2020</v>
      </c>
      <c r="C50" s="21">
        <v>2</v>
      </c>
      <c r="D50" s="21" t="s">
        <v>219</v>
      </c>
      <c r="E50" s="21">
        <v>36.700000000000003</v>
      </c>
      <c r="F50" s="21">
        <v>486.25</v>
      </c>
      <c r="G50" s="21">
        <v>17139.439999999999</v>
      </c>
    </row>
    <row r="51" spans="1:7" ht="15" customHeight="1" x14ac:dyDescent="0.3">
      <c r="A51" s="21" t="s">
        <v>141</v>
      </c>
      <c r="B51" s="21">
        <v>2020</v>
      </c>
      <c r="C51" s="21">
        <v>3</v>
      </c>
      <c r="D51" s="21" t="s">
        <v>219</v>
      </c>
      <c r="E51" s="21">
        <v>37.299999999999997</v>
      </c>
      <c r="F51" s="21">
        <v>465.52</v>
      </c>
      <c r="G51" s="21">
        <v>16234.73</v>
      </c>
    </row>
    <row r="52" spans="1:7" ht="15" customHeight="1" x14ac:dyDescent="0.3">
      <c r="A52" s="21" t="s">
        <v>142</v>
      </c>
      <c r="B52" s="21">
        <v>2020</v>
      </c>
      <c r="C52" s="21">
        <v>4</v>
      </c>
      <c r="D52" s="21" t="s">
        <v>219</v>
      </c>
      <c r="E52" s="21">
        <v>38.299999999999997</v>
      </c>
      <c r="F52" s="21">
        <v>382.37</v>
      </c>
      <c r="G52" s="21">
        <v>13088.81</v>
      </c>
    </row>
    <row r="53" spans="1:7" ht="15" customHeight="1" x14ac:dyDescent="0.3">
      <c r="A53" s="21" t="s">
        <v>143</v>
      </c>
      <c r="B53" s="21">
        <v>2020</v>
      </c>
      <c r="C53" s="21">
        <v>5</v>
      </c>
      <c r="D53" s="21" t="s">
        <v>219</v>
      </c>
      <c r="E53" s="21">
        <v>38.200000000000003</v>
      </c>
      <c r="F53" s="21">
        <v>471.57</v>
      </c>
      <c r="G53" s="21">
        <v>16077.96</v>
      </c>
    </row>
    <row r="54" spans="1:7" ht="15" customHeight="1" x14ac:dyDescent="0.3">
      <c r="A54" s="21" t="s">
        <v>144</v>
      </c>
      <c r="B54" s="21">
        <v>2020</v>
      </c>
      <c r="C54" s="21">
        <v>6</v>
      </c>
      <c r="D54" s="21" t="s">
        <v>219</v>
      </c>
      <c r="E54" s="21">
        <v>38.6</v>
      </c>
      <c r="F54" s="21">
        <v>517.37</v>
      </c>
      <c r="G54" s="21">
        <v>17778.46</v>
      </c>
    </row>
    <row r="55" spans="1:7" ht="15" customHeight="1" x14ac:dyDescent="0.3">
      <c r="A55" s="21" t="s">
        <v>145</v>
      </c>
      <c r="B55" s="21">
        <v>2020</v>
      </c>
      <c r="C55" s="21">
        <v>7</v>
      </c>
      <c r="D55" s="21" t="s">
        <v>219</v>
      </c>
      <c r="E55" s="21">
        <v>38.6</v>
      </c>
      <c r="F55" s="21">
        <v>577.33000000000004</v>
      </c>
      <c r="G55" s="21">
        <v>19846.28</v>
      </c>
    </row>
    <row r="56" spans="1:7" ht="15" customHeight="1" x14ac:dyDescent="0.3">
      <c r="A56" s="21" t="s">
        <v>146</v>
      </c>
      <c r="B56" s="21">
        <v>2020</v>
      </c>
      <c r="C56" s="21">
        <v>8</v>
      </c>
      <c r="D56" s="21" t="s">
        <v>219</v>
      </c>
      <c r="E56" s="21">
        <v>37.9</v>
      </c>
      <c r="F56" s="21">
        <v>613.83000000000004</v>
      </c>
      <c r="G56" s="21">
        <v>21731.24</v>
      </c>
    </row>
    <row r="57" spans="1:7" ht="15" customHeight="1" x14ac:dyDescent="0.3">
      <c r="A57" s="21" t="s">
        <v>147</v>
      </c>
      <c r="B57" s="21">
        <v>2020</v>
      </c>
      <c r="C57" s="21">
        <v>9</v>
      </c>
      <c r="D57" s="21" t="s">
        <v>219</v>
      </c>
      <c r="E57" s="21">
        <v>38.5</v>
      </c>
      <c r="F57" s="21">
        <v>692.71</v>
      </c>
      <c r="G57" s="21">
        <v>24020.25</v>
      </c>
    </row>
    <row r="58" spans="1:7" ht="15" customHeight="1" x14ac:dyDescent="0.3">
      <c r="A58" s="21" t="s">
        <v>148</v>
      </c>
      <c r="B58" s="21">
        <v>2020</v>
      </c>
      <c r="C58" s="21">
        <v>10</v>
      </c>
      <c r="D58" s="21" t="s">
        <v>219</v>
      </c>
      <c r="E58" s="21">
        <v>38.4</v>
      </c>
      <c r="F58" s="21">
        <v>796.03</v>
      </c>
      <c r="G58" s="21">
        <v>27510.65</v>
      </c>
    </row>
    <row r="59" spans="1:7" ht="15" customHeight="1" x14ac:dyDescent="0.3">
      <c r="A59" s="21" t="s">
        <v>149</v>
      </c>
      <c r="B59" s="21">
        <v>2020</v>
      </c>
      <c r="C59" s="21">
        <v>11</v>
      </c>
      <c r="D59" s="21" t="s">
        <v>219</v>
      </c>
      <c r="E59" s="21">
        <v>39.700000000000003</v>
      </c>
      <c r="F59" s="21">
        <v>876.76</v>
      </c>
      <c r="G59" s="21">
        <v>30375.68</v>
      </c>
    </row>
    <row r="60" spans="1:7" ht="15" customHeight="1" x14ac:dyDescent="0.3">
      <c r="A60" s="21" t="s">
        <v>150</v>
      </c>
      <c r="B60" s="21">
        <v>2020</v>
      </c>
      <c r="C60" s="21">
        <v>12</v>
      </c>
      <c r="D60" s="21" t="s">
        <v>219</v>
      </c>
      <c r="E60" s="21">
        <v>38.6</v>
      </c>
      <c r="F60" s="21">
        <v>861.64</v>
      </c>
      <c r="G60" s="21">
        <v>30114.05</v>
      </c>
    </row>
    <row r="61" spans="1:7" ht="15" customHeight="1" x14ac:dyDescent="0.3">
      <c r="A61" s="21" t="s">
        <v>151</v>
      </c>
      <c r="B61" s="21">
        <v>2021</v>
      </c>
      <c r="C61" s="21">
        <v>1</v>
      </c>
      <c r="D61" s="21" t="s">
        <v>219</v>
      </c>
      <c r="E61" s="21">
        <v>39.799999999999997</v>
      </c>
      <c r="F61" s="21">
        <v>916.47</v>
      </c>
      <c r="G61" s="21">
        <v>32138.33</v>
      </c>
    </row>
    <row r="62" spans="1:7" ht="15" customHeight="1" x14ac:dyDescent="0.3">
      <c r="A62" s="21" t="s">
        <v>152</v>
      </c>
      <c r="B62" s="21">
        <v>2021</v>
      </c>
      <c r="C62" s="21">
        <v>2</v>
      </c>
      <c r="D62" s="21" t="s">
        <v>219</v>
      </c>
      <c r="E62" s="21">
        <v>40</v>
      </c>
      <c r="F62" s="21">
        <v>916.41</v>
      </c>
      <c r="G62" s="21">
        <v>32188.59</v>
      </c>
    </row>
    <row r="63" spans="1:7" ht="15" customHeight="1" x14ac:dyDescent="0.3">
      <c r="A63" s="21" t="s">
        <v>153</v>
      </c>
      <c r="B63" s="21">
        <v>2021</v>
      </c>
      <c r="C63" s="21">
        <v>3</v>
      </c>
      <c r="D63" s="21" t="s">
        <v>219</v>
      </c>
      <c r="E63" s="21">
        <v>40.6</v>
      </c>
      <c r="F63" s="21">
        <v>1109.68</v>
      </c>
      <c r="G63" s="21">
        <v>38276.879999999997</v>
      </c>
    </row>
    <row r="64" spans="1:7" ht="15" customHeight="1" x14ac:dyDescent="0.3">
      <c r="A64" s="21" t="s">
        <v>154</v>
      </c>
      <c r="B64" s="21">
        <v>2021</v>
      </c>
      <c r="C64" s="21">
        <v>4</v>
      </c>
      <c r="D64" s="21" t="s">
        <v>219</v>
      </c>
      <c r="E64" s="21">
        <v>39.700000000000003</v>
      </c>
      <c r="F64" s="21">
        <v>1047.96</v>
      </c>
      <c r="G64" s="21">
        <v>36047.019999999997</v>
      </c>
    </row>
    <row r="65" spans="1:7" ht="15" customHeight="1" x14ac:dyDescent="0.3">
      <c r="A65" s="21" t="s">
        <v>155</v>
      </c>
      <c r="B65" s="21">
        <v>2021</v>
      </c>
      <c r="C65" s="21">
        <v>5</v>
      </c>
      <c r="D65" s="21" t="s">
        <v>219</v>
      </c>
      <c r="E65" s="21">
        <v>40.4</v>
      </c>
      <c r="F65" s="21">
        <v>1025.1300000000001</v>
      </c>
      <c r="G65" s="21">
        <v>35225.699999999997</v>
      </c>
    </row>
    <row r="66" spans="1:7" ht="15" customHeight="1" x14ac:dyDescent="0.3">
      <c r="A66" s="21" t="s">
        <v>156</v>
      </c>
      <c r="B66" s="21">
        <v>2021</v>
      </c>
      <c r="C66" s="21">
        <v>6</v>
      </c>
      <c r="D66" s="21" t="s">
        <v>219</v>
      </c>
      <c r="E66" s="21">
        <v>41.4</v>
      </c>
      <c r="F66" s="21">
        <v>1159.48</v>
      </c>
      <c r="G66" s="21">
        <v>39799.69</v>
      </c>
    </row>
    <row r="67" spans="1:7" ht="15" customHeight="1" x14ac:dyDescent="0.3">
      <c r="A67" s="21" t="s">
        <v>157</v>
      </c>
      <c r="B67" s="21">
        <v>2021</v>
      </c>
      <c r="C67" s="21">
        <v>7</v>
      </c>
      <c r="D67" s="21" t="s">
        <v>219</v>
      </c>
      <c r="E67" s="21">
        <v>40.1</v>
      </c>
      <c r="F67" s="21">
        <v>1300.54</v>
      </c>
      <c r="G67" s="21">
        <v>44045.06</v>
      </c>
    </row>
    <row r="68" spans="1:7" ht="15" customHeight="1" x14ac:dyDescent="0.3">
      <c r="A68" s="21" t="s">
        <v>158</v>
      </c>
      <c r="B68" s="21">
        <v>2021</v>
      </c>
      <c r="C68" s="21">
        <v>8</v>
      </c>
      <c r="D68" s="21" t="s">
        <v>219</v>
      </c>
      <c r="E68" s="21">
        <v>39.799999999999997</v>
      </c>
      <c r="F68" s="21">
        <v>1415.55</v>
      </c>
      <c r="G68" s="21">
        <v>47896.36</v>
      </c>
    </row>
    <row r="69" spans="1:7" ht="15" customHeight="1" x14ac:dyDescent="0.3">
      <c r="A69" s="21" t="s">
        <v>159</v>
      </c>
      <c r="B69" s="21">
        <v>2021</v>
      </c>
      <c r="C69" s="21">
        <v>9</v>
      </c>
      <c r="D69" s="21" t="s">
        <v>219</v>
      </c>
      <c r="E69" s="21">
        <v>39.799999999999997</v>
      </c>
      <c r="F69" s="21">
        <v>1454.4</v>
      </c>
      <c r="G69" s="21">
        <v>49211.38</v>
      </c>
    </row>
    <row r="70" spans="1:7" ht="15" customHeight="1" x14ac:dyDescent="0.3">
      <c r="A70" s="21" t="s">
        <v>160</v>
      </c>
      <c r="B70" s="21">
        <v>2021</v>
      </c>
      <c r="C70" s="21">
        <v>10</v>
      </c>
      <c r="D70" s="21" t="s">
        <v>219</v>
      </c>
      <c r="E70" s="21">
        <v>41.3</v>
      </c>
      <c r="F70" s="21">
        <v>1742.14</v>
      </c>
      <c r="G70" s="21">
        <v>59138.07</v>
      </c>
    </row>
    <row r="71" spans="1:7" ht="15" customHeight="1" x14ac:dyDescent="0.3">
      <c r="A71" s="21" t="s">
        <v>161</v>
      </c>
      <c r="B71" s="21">
        <v>2021</v>
      </c>
      <c r="C71" s="21">
        <v>11</v>
      </c>
      <c r="D71" s="21" t="s">
        <v>219</v>
      </c>
      <c r="E71" s="21">
        <v>40.200000000000003</v>
      </c>
      <c r="F71" s="21">
        <v>1681.93</v>
      </c>
      <c r="G71" s="21">
        <v>57090.2</v>
      </c>
    </row>
    <row r="72" spans="1:7" ht="15" customHeight="1" x14ac:dyDescent="0.3">
      <c r="A72" s="21" t="s">
        <v>162</v>
      </c>
      <c r="B72" s="21">
        <v>2021</v>
      </c>
      <c r="C72" s="21">
        <v>12</v>
      </c>
      <c r="D72" s="21" t="s">
        <v>219</v>
      </c>
      <c r="E72" s="21">
        <v>41.1</v>
      </c>
      <c r="F72" s="21">
        <v>1874.81</v>
      </c>
      <c r="G72" s="21">
        <v>63158.27</v>
      </c>
    </row>
    <row r="73" spans="1:7" ht="15" customHeight="1" x14ac:dyDescent="0.3">
      <c r="A73" s="21" t="s">
        <v>163</v>
      </c>
      <c r="B73" s="21">
        <v>2022</v>
      </c>
      <c r="C73" s="21">
        <v>1</v>
      </c>
      <c r="D73" s="21" t="s">
        <v>219</v>
      </c>
      <c r="E73" s="21">
        <v>41.7</v>
      </c>
      <c r="F73" s="21">
        <v>1927</v>
      </c>
      <c r="G73" s="21">
        <v>64722.55</v>
      </c>
    </row>
    <row r="74" spans="1:7" ht="15" customHeight="1" x14ac:dyDescent="0.3">
      <c r="A74" s="21" t="s">
        <v>164</v>
      </c>
      <c r="B74" s="21">
        <v>2022</v>
      </c>
      <c r="C74" s="21">
        <v>2</v>
      </c>
      <c r="D74" s="21" t="s">
        <v>219</v>
      </c>
      <c r="E74" s="21">
        <v>41.7</v>
      </c>
      <c r="F74" s="21">
        <v>1889.76</v>
      </c>
      <c r="G74" s="21">
        <v>63494.35</v>
      </c>
    </row>
    <row r="75" spans="1:7" ht="15" customHeight="1" x14ac:dyDescent="0.3">
      <c r="A75" s="21" t="s">
        <v>165</v>
      </c>
      <c r="B75" s="21">
        <v>2022</v>
      </c>
      <c r="C75" s="21">
        <v>3</v>
      </c>
      <c r="D75" s="21" t="s">
        <v>219</v>
      </c>
      <c r="E75" s="21">
        <v>42</v>
      </c>
      <c r="F75" s="21">
        <v>2271.81</v>
      </c>
      <c r="G75" s="21">
        <v>76081.41</v>
      </c>
    </row>
    <row r="76" spans="1:7" ht="15" customHeight="1" x14ac:dyDescent="0.3">
      <c r="A76" s="21" t="s">
        <v>166</v>
      </c>
      <c r="B76" s="21">
        <v>2022</v>
      </c>
      <c r="C76" s="21">
        <v>4</v>
      </c>
      <c r="D76" s="21" t="s">
        <v>219</v>
      </c>
      <c r="E76" s="21">
        <v>42.1</v>
      </c>
      <c r="F76" s="21">
        <v>2349.8000000000002</v>
      </c>
      <c r="G76" s="21">
        <v>80432.289999999994</v>
      </c>
    </row>
    <row r="77" spans="1:7" ht="15" customHeight="1" x14ac:dyDescent="0.3">
      <c r="A77" s="21" t="s">
        <v>167</v>
      </c>
      <c r="B77" s="21">
        <v>2022</v>
      </c>
      <c r="C77" s="21">
        <v>5</v>
      </c>
      <c r="D77" s="21" t="s">
        <v>219</v>
      </c>
      <c r="E77" s="21">
        <v>42.8</v>
      </c>
      <c r="F77" s="21">
        <v>2549.69</v>
      </c>
      <c r="G77" s="21">
        <v>86916.28</v>
      </c>
    </row>
    <row r="78" spans="1:7" ht="15" customHeight="1" x14ac:dyDescent="0.3">
      <c r="A78" s="21" t="s">
        <v>168</v>
      </c>
      <c r="B78" s="21">
        <v>2022</v>
      </c>
      <c r="C78" s="21">
        <v>6</v>
      </c>
      <c r="D78" s="21" t="s">
        <v>219</v>
      </c>
      <c r="E78" s="21">
        <v>41.9</v>
      </c>
      <c r="F78" s="21">
        <v>2453.98</v>
      </c>
      <c r="G78" s="21">
        <v>82916.03</v>
      </c>
    </row>
    <row r="79" spans="1:7" ht="15" customHeight="1" x14ac:dyDescent="0.3">
      <c r="A79" s="21" t="s">
        <v>169</v>
      </c>
      <c r="B79" s="21">
        <v>2022</v>
      </c>
      <c r="C79" s="21">
        <v>7</v>
      </c>
      <c r="D79" s="21" t="s">
        <v>219</v>
      </c>
      <c r="E79" s="21">
        <v>42.2</v>
      </c>
      <c r="F79" s="21">
        <v>2649.59</v>
      </c>
      <c r="G79" s="21">
        <v>88837.19</v>
      </c>
    </row>
    <row r="80" spans="1:7" ht="15" customHeight="1" x14ac:dyDescent="0.3">
      <c r="A80" s="21" t="s">
        <v>170</v>
      </c>
      <c r="B80" s="21">
        <v>2022</v>
      </c>
      <c r="C80" s="21">
        <v>8</v>
      </c>
      <c r="D80" s="21" t="s">
        <v>219</v>
      </c>
      <c r="E80" s="21">
        <v>42.3</v>
      </c>
      <c r="F80" s="21">
        <v>2784.2</v>
      </c>
      <c r="G80" s="21">
        <v>95477.14</v>
      </c>
    </row>
    <row r="81" spans="1:7" ht="15" customHeight="1" x14ac:dyDescent="0.3">
      <c r="A81" s="21" t="s">
        <v>171</v>
      </c>
      <c r="B81" s="21">
        <v>2022</v>
      </c>
      <c r="C81" s="21">
        <v>9</v>
      </c>
      <c r="D81" s="21" t="s">
        <v>219</v>
      </c>
      <c r="E81" s="21">
        <v>43.3</v>
      </c>
      <c r="F81" s="21">
        <v>2936</v>
      </c>
      <c r="G81" s="21">
        <v>101445.92</v>
      </c>
    </row>
    <row r="82" spans="1:7" ht="15" customHeight="1" x14ac:dyDescent="0.3">
      <c r="A82" s="21" t="s">
        <v>172</v>
      </c>
      <c r="B82" s="21">
        <v>2022</v>
      </c>
      <c r="C82" s="21">
        <v>10</v>
      </c>
      <c r="D82" s="21" t="s">
        <v>219</v>
      </c>
      <c r="E82" s="21">
        <v>43.5</v>
      </c>
      <c r="F82" s="21">
        <v>3178.33</v>
      </c>
      <c r="G82" s="21">
        <v>109460</v>
      </c>
    </row>
    <row r="83" spans="1:7" ht="15" customHeight="1" x14ac:dyDescent="0.3">
      <c r="A83" s="21" t="s">
        <v>173</v>
      </c>
      <c r="B83" s="21">
        <v>2022</v>
      </c>
      <c r="C83" s="21">
        <v>11</v>
      </c>
      <c r="D83" s="21" t="s">
        <v>219</v>
      </c>
      <c r="E83" s="21">
        <v>43.5</v>
      </c>
      <c r="F83" s="21">
        <v>3176.99</v>
      </c>
      <c r="G83" s="21">
        <v>108013.39</v>
      </c>
    </row>
    <row r="84" spans="1:7" ht="15" customHeight="1" x14ac:dyDescent="0.3">
      <c r="A84" s="21" t="s">
        <v>174</v>
      </c>
      <c r="B84" s="21">
        <v>2022</v>
      </c>
      <c r="C84" s="21">
        <v>12</v>
      </c>
      <c r="D84" s="21" t="s">
        <v>219</v>
      </c>
      <c r="E84" s="21">
        <v>44</v>
      </c>
      <c r="F84" s="21">
        <v>3445.03</v>
      </c>
      <c r="G84" s="21">
        <v>118008.62</v>
      </c>
    </row>
    <row r="85" spans="1:7" ht="15" customHeight="1" x14ac:dyDescent="0.3">
      <c r="A85" s="21" t="s">
        <v>175</v>
      </c>
      <c r="B85" s="21">
        <v>2023</v>
      </c>
      <c r="C85" s="21">
        <v>1</v>
      </c>
      <c r="D85" s="21" t="s">
        <v>219</v>
      </c>
      <c r="E85" s="21">
        <v>43</v>
      </c>
      <c r="F85" s="21">
        <v>3456.28</v>
      </c>
      <c r="G85" s="21">
        <v>118273.64</v>
      </c>
    </row>
    <row r="86" spans="1:7" ht="15" customHeight="1" x14ac:dyDescent="0.3">
      <c r="A86" s="21" t="s">
        <v>176</v>
      </c>
      <c r="B86" s="21">
        <v>2023</v>
      </c>
      <c r="C86" s="21">
        <v>2</v>
      </c>
      <c r="D86" s="21" t="s">
        <v>219</v>
      </c>
      <c r="E86" s="21">
        <v>44.6</v>
      </c>
      <c r="F86" s="21">
        <v>3362.71</v>
      </c>
      <c r="G86" s="21">
        <v>115063.66</v>
      </c>
    </row>
    <row r="87" spans="1:7" ht="15" customHeight="1" x14ac:dyDescent="0.3">
      <c r="A87" s="21" t="s">
        <v>177</v>
      </c>
      <c r="B87" s="21">
        <v>2023</v>
      </c>
      <c r="C87" s="21">
        <v>3</v>
      </c>
      <c r="D87" s="21" t="s">
        <v>219</v>
      </c>
      <c r="E87" s="21">
        <v>44.7</v>
      </c>
      <c r="F87" s="21">
        <v>3869.92</v>
      </c>
      <c r="G87" s="21">
        <v>132485.68</v>
      </c>
    </row>
    <row r="88" spans="1:7" ht="15" customHeight="1" x14ac:dyDescent="0.3">
      <c r="A88" s="21" t="s">
        <v>178</v>
      </c>
      <c r="B88" s="21">
        <v>2023</v>
      </c>
      <c r="C88" s="21">
        <v>4</v>
      </c>
      <c r="D88" s="21" t="s">
        <v>219</v>
      </c>
      <c r="E88" s="21">
        <v>44.5</v>
      </c>
      <c r="F88" s="21">
        <v>3956.98</v>
      </c>
      <c r="G88" s="21">
        <v>137015.21</v>
      </c>
    </row>
    <row r="89" spans="1:7" ht="15" customHeight="1" x14ac:dyDescent="0.3">
      <c r="A89" s="21" t="s">
        <v>179</v>
      </c>
      <c r="B89" s="21">
        <v>2023</v>
      </c>
      <c r="C89" s="21">
        <v>5</v>
      </c>
      <c r="D89" s="21" t="s">
        <v>219</v>
      </c>
      <c r="E89" s="21">
        <v>45.2</v>
      </c>
      <c r="F89" s="21">
        <v>4074.33</v>
      </c>
      <c r="G89" s="21">
        <v>141813.18</v>
      </c>
    </row>
    <row r="90" spans="1:7" ht="15" customHeight="1" x14ac:dyDescent="0.3">
      <c r="A90" s="21" t="s">
        <v>180</v>
      </c>
      <c r="B90" s="21">
        <v>2023</v>
      </c>
      <c r="C90" s="21">
        <v>6</v>
      </c>
      <c r="D90" s="21" t="s">
        <v>219</v>
      </c>
      <c r="E90" s="21">
        <v>43.6</v>
      </c>
      <c r="F90" s="21">
        <v>4074.01</v>
      </c>
      <c r="G90" s="21">
        <v>141632.28</v>
      </c>
    </row>
    <row r="91" spans="1:7" ht="15" customHeight="1" x14ac:dyDescent="0.3">
      <c r="A91" s="21" t="s">
        <v>181</v>
      </c>
      <c r="B91" s="21">
        <v>2023</v>
      </c>
      <c r="C91" s="21">
        <v>7</v>
      </c>
      <c r="D91" s="21" t="s">
        <v>219</v>
      </c>
      <c r="E91" s="21">
        <v>44.4</v>
      </c>
      <c r="F91" s="21">
        <v>4422.5</v>
      </c>
      <c r="G91" s="21">
        <v>150908.44</v>
      </c>
    </row>
    <row r="92" spans="1:7" ht="15" customHeight="1" x14ac:dyDescent="0.3">
      <c r="A92" s="21" t="s">
        <v>182</v>
      </c>
      <c r="B92" s="21">
        <v>2023</v>
      </c>
      <c r="C92" s="21">
        <v>8</v>
      </c>
      <c r="D92" s="21" t="s">
        <v>219</v>
      </c>
      <c r="E92" s="21">
        <v>44.5</v>
      </c>
      <c r="F92" s="21">
        <v>4705.21</v>
      </c>
      <c r="G92" s="21">
        <v>161245.91</v>
      </c>
    </row>
    <row r="93" spans="1:7" ht="15" customHeight="1" x14ac:dyDescent="0.3">
      <c r="A93" s="21" t="s">
        <v>183</v>
      </c>
      <c r="B93" s="21">
        <v>2023</v>
      </c>
      <c r="C93" s="21">
        <v>9</v>
      </c>
      <c r="D93" s="21" t="s">
        <v>219</v>
      </c>
      <c r="E93" s="21">
        <v>45.4</v>
      </c>
      <c r="F93" s="21">
        <v>4792.82</v>
      </c>
      <c r="G93" s="21">
        <v>164568.76</v>
      </c>
    </row>
    <row r="94" spans="1:7" ht="15" customHeight="1" x14ac:dyDescent="0.3">
      <c r="A94" s="21" t="s">
        <v>184</v>
      </c>
      <c r="B94" s="21">
        <v>2023</v>
      </c>
      <c r="C94" s="21">
        <v>10</v>
      </c>
      <c r="D94" s="21" t="s">
        <v>219</v>
      </c>
      <c r="E94" s="21">
        <v>44.7</v>
      </c>
      <c r="F94" s="21">
        <v>5090.26</v>
      </c>
      <c r="G94" s="21">
        <v>173698.41</v>
      </c>
    </row>
    <row r="95" spans="1:7" ht="15" customHeight="1" x14ac:dyDescent="0.3">
      <c r="A95" s="21" t="s">
        <v>185</v>
      </c>
      <c r="B95" s="21">
        <v>2023</v>
      </c>
      <c r="C95" s="21">
        <v>11</v>
      </c>
      <c r="D95" s="21" t="s">
        <v>219</v>
      </c>
      <c r="E95" s="21">
        <v>45.7</v>
      </c>
      <c r="F95" s="21">
        <v>5105.9399999999996</v>
      </c>
      <c r="G95" s="21">
        <v>175033.47</v>
      </c>
    </row>
    <row r="96" spans="1:7" ht="15" customHeight="1" x14ac:dyDescent="0.3">
      <c r="A96" s="21" t="s">
        <v>186</v>
      </c>
      <c r="B96" s="21">
        <v>2023</v>
      </c>
      <c r="C96" s="21">
        <v>12</v>
      </c>
      <c r="D96" s="21" t="s">
        <v>219</v>
      </c>
      <c r="E96" s="21">
        <v>46.2</v>
      </c>
      <c r="F96" s="21">
        <v>5555</v>
      </c>
      <c r="G96" s="21">
        <v>189595.72</v>
      </c>
    </row>
    <row r="97" spans="1:7" ht="15" customHeight="1" x14ac:dyDescent="0.3">
      <c r="A97" s="21" t="s">
        <v>187</v>
      </c>
      <c r="B97" s="21">
        <v>2024</v>
      </c>
      <c r="C97" s="21">
        <v>1</v>
      </c>
      <c r="D97" s="21" t="s">
        <v>219</v>
      </c>
      <c r="E97" s="21">
        <v>46.1</v>
      </c>
      <c r="F97" s="21">
        <v>5619.91</v>
      </c>
      <c r="G97" s="21">
        <v>192706.2</v>
      </c>
    </row>
    <row r="98" spans="1:7" ht="15" customHeight="1" x14ac:dyDescent="0.3">
      <c r="A98" s="21" t="s">
        <v>188</v>
      </c>
      <c r="B98" s="21">
        <v>2024</v>
      </c>
      <c r="C98" s="21">
        <v>2</v>
      </c>
      <c r="D98" s="21" t="s">
        <v>219</v>
      </c>
      <c r="E98" s="21">
        <v>46</v>
      </c>
      <c r="F98" s="21">
        <v>5264.71</v>
      </c>
      <c r="G98" s="21">
        <v>180612.88</v>
      </c>
    </row>
    <row r="99" spans="1:7" ht="15" customHeight="1" x14ac:dyDescent="0.3">
      <c r="A99" s="21" t="s">
        <v>189</v>
      </c>
      <c r="B99" s="21">
        <v>2024</v>
      </c>
      <c r="C99" s="21">
        <v>3</v>
      </c>
      <c r="D99" s="21" t="s">
        <v>219</v>
      </c>
      <c r="E99" s="21">
        <v>45.6</v>
      </c>
      <c r="F99" s="21">
        <v>6126.2</v>
      </c>
      <c r="G99" s="21">
        <v>209794.41</v>
      </c>
    </row>
    <row r="100" spans="1:7" ht="15" customHeight="1" x14ac:dyDescent="0.3">
      <c r="A100" s="21" t="s">
        <v>190</v>
      </c>
      <c r="B100" s="21">
        <v>2024</v>
      </c>
      <c r="C100" s="21">
        <v>4</v>
      </c>
      <c r="D100" s="21" t="s">
        <v>219</v>
      </c>
      <c r="E100" s="21">
        <v>45.8</v>
      </c>
      <c r="F100" s="21">
        <v>6103.06</v>
      </c>
      <c r="G100" s="21">
        <v>209076.21</v>
      </c>
    </row>
    <row r="101" spans="1:7" ht="15" customHeight="1" x14ac:dyDescent="0.3">
      <c r="A101" s="21" t="s">
        <v>191</v>
      </c>
      <c r="B101" s="21">
        <v>2024</v>
      </c>
      <c r="C101" s="21">
        <v>5</v>
      </c>
      <c r="D101" s="21" t="s">
        <v>219</v>
      </c>
      <c r="E101" s="21">
        <v>47</v>
      </c>
      <c r="F101" s="21">
        <v>6602.05</v>
      </c>
      <c r="G101" s="21">
        <v>225963.7</v>
      </c>
    </row>
    <row r="102" spans="1:7" ht="15" customHeight="1" x14ac:dyDescent="0.3">
      <c r="A102" s="21" t="s">
        <v>192</v>
      </c>
      <c r="B102" s="21">
        <v>2024</v>
      </c>
      <c r="C102" s="21">
        <v>6</v>
      </c>
      <c r="D102" s="21" t="s">
        <v>219</v>
      </c>
      <c r="E102" s="21">
        <v>47</v>
      </c>
      <c r="F102" s="21">
        <v>6522.88</v>
      </c>
      <c r="G102" s="21">
        <v>223257.82</v>
      </c>
    </row>
    <row r="103" spans="1:7" ht="15" customHeight="1" x14ac:dyDescent="0.3">
      <c r="A103" s="21" t="s">
        <v>193</v>
      </c>
      <c r="B103" s="21">
        <v>2024</v>
      </c>
      <c r="C103" s="21">
        <v>7</v>
      </c>
      <c r="D103" s="21" t="s">
        <v>219</v>
      </c>
      <c r="E103" s="21">
        <v>46.7</v>
      </c>
      <c r="F103" s="21">
        <v>6748.6</v>
      </c>
      <c r="G103" s="21">
        <v>230654.82</v>
      </c>
    </row>
    <row r="104" spans="1:7" ht="15" customHeight="1" x14ac:dyDescent="0.3">
      <c r="A104" s="21" t="s">
        <v>194</v>
      </c>
      <c r="B104" s="21">
        <v>2024</v>
      </c>
      <c r="C104" s="21">
        <v>8</v>
      </c>
      <c r="D104" s="21" t="s">
        <v>219</v>
      </c>
      <c r="E104" s="21">
        <v>46.7</v>
      </c>
      <c r="F104" s="21">
        <v>7030.4</v>
      </c>
      <c r="G104" s="21">
        <v>240619.54</v>
      </c>
    </row>
    <row r="105" spans="1:7" ht="15" customHeight="1" x14ac:dyDescent="0.3">
      <c r="A105" s="21" t="s">
        <v>195</v>
      </c>
      <c r="B105" s="21">
        <v>2024</v>
      </c>
      <c r="C105" s="21">
        <v>9</v>
      </c>
      <c r="D105" s="21" t="s">
        <v>219</v>
      </c>
      <c r="E105" s="21">
        <v>46.1</v>
      </c>
      <c r="F105" s="21">
        <v>6934.15</v>
      </c>
      <c r="G105" s="21">
        <v>237112.08</v>
      </c>
    </row>
    <row r="106" spans="1:7" ht="15" customHeight="1" x14ac:dyDescent="0.3">
      <c r="A106" s="21" t="s">
        <v>196</v>
      </c>
      <c r="B106" s="21">
        <v>2024</v>
      </c>
      <c r="C106" s="21">
        <v>10</v>
      </c>
      <c r="D106" s="21" t="s">
        <v>219</v>
      </c>
      <c r="E106" s="21">
        <v>46.8</v>
      </c>
      <c r="F106" s="21">
        <v>7754.46</v>
      </c>
      <c r="G106" s="21">
        <v>265388.3</v>
      </c>
    </row>
    <row r="107" spans="1:7" ht="15" customHeight="1" x14ac:dyDescent="0.3">
      <c r="A107" s="21" t="s">
        <v>197</v>
      </c>
      <c r="B107" s="21">
        <v>2024</v>
      </c>
      <c r="C107" s="21">
        <v>11</v>
      </c>
      <c r="D107" s="21" t="s">
        <v>219</v>
      </c>
      <c r="E107" s="21">
        <v>48.4</v>
      </c>
      <c r="F107" s="21">
        <v>7499.78</v>
      </c>
      <c r="G107" s="21">
        <v>256775.6</v>
      </c>
    </row>
    <row r="108" spans="1:7" ht="15" customHeight="1" x14ac:dyDescent="0.3">
      <c r="A108" s="21" t="s">
        <v>198</v>
      </c>
      <c r="B108" s="21">
        <v>2024</v>
      </c>
      <c r="C108" s="21">
        <v>12</v>
      </c>
      <c r="D108" s="21" t="s">
        <v>219</v>
      </c>
      <c r="E108" s="21">
        <v>47</v>
      </c>
      <c r="F108" s="21">
        <v>7862.83</v>
      </c>
      <c r="G108" s="21">
        <v>269241.03000000003</v>
      </c>
    </row>
    <row r="109" spans="1:7" ht="15" customHeight="1" x14ac:dyDescent="0.3">
      <c r="A109" s="21" t="s">
        <v>199</v>
      </c>
      <c r="B109" s="21">
        <v>2025</v>
      </c>
      <c r="C109" s="21">
        <v>1</v>
      </c>
      <c r="D109" s="21" t="s">
        <v>219</v>
      </c>
      <c r="E109" s="21">
        <v>47.9</v>
      </c>
      <c r="F109" s="21">
        <v>8143.23</v>
      </c>
      <c r="G109" s="21">
        <v>279032.87</v>
      </c>
    </row>
    <row r="110" spans="1:7" ht="15" customHeight="1" x14ac:dyDescent="0.3">
      <c r="A110" s="21" t="s">
        <v>200</v>
      </c>
      <c r="B110" s="21">
        <v>2025</v>
      </c>
      <c r="C110" s="21">
        <v>2</v>
      </c>
      <c r="D110" s="21" t="s">
        <v>219</v>
      </c>
      <c r="E110" s="21">
        <v>48.5</v>
      </c>
      <c r="F110" s="21">
        <v>7590.83</v>
      </c>
      <c r="G110" s="21">
        <v>260067.26</v>
      </c>
    </row>
    <row r="111" spans="1:7" ht="15" customHeight="1" x14ac:dyDescent="0.3">
      <c r="A111" s="21" t="s">
        <v>85</v>
      </c>
      <c r="B111" s="21">
        <v>2016</v>
      </c>
      <c r="C111" s="21">
        <v>8</v>
      </c>
      <c r="D111" s="21" t="s">
        <v>220</v>
      </c>
      <c r="E111" s="21">
        <v>24.4</v>
      </c>
      <c r="F111" s="21">
        <v>0.02</v>
      </c>
      <c r="G111" s="21">
        <v>0.75</v>
      </c>
    </row>
    <row r="112" spans="1:7" ht="15" customHeight="1" x14ac:dyDescent="0.3">
      <c r="A112" s="21" t="s">
        <v>89</v>
      </c>
      <c r="B112" s="21">
        <v>2016</v>
      </c>
      <c r="C112" s="21">
        <v>9</v>
      </c>
      <c r="D112" s="21" t="s">
        <v>220</v>
      </c>
      <c r="E112" s="21">
        <v>25.2</v>
      </c>
      <c r="F112" s="21">
        <v>0.03</v>
      </c>
      <c r="G112" s="21">
        <v>1.33</v>
      </c>
    </row>
    <row r="113" spans="1:7" ht="15" customHeight="1" x14ac:dyDescent="0.3">
      <c r="A113" s="21" t="s">
        <v>91</v>
      </c>
      <c r="B113" s="21">
        <v>2016</v>
      </c>
      <c r="C113" s="21">
        <v>10</v>
      </c>
      <c r="D113" s="21" t="s">
        <v>220</v>
      </c>
      <c r="E113" s="21">
        <v>25.6</v>
      </c>
      <c r="F113" s="21">
        <v>0.08</v>
      </c>
      <c r="G113" s="21">
        <v>4.1100000000000003</v>
      </c>
    </row>
    <row r="114" spans="1:7" ht="15" customHeight="1" x14ac:dyDescent="0.3">
      <c r="A114" s="21" t="s">
        <v>94</v>
      </c>
      <c r="B114" s="21">
        <v>2016</v>
      </c>
      <c r="C114" s="21">
        <v>11</v>
      </c>
      <c r="D114" s="21" t="s">
        <v>220</v>
      </c>
      <c r="E114" s="21">
        <v>25.3</v>
      </c>
      <c r="F114" s="21">
        <v>0.13</v>
      </c>
      <c r="G114" s="21">
        <v>6.08</v>
      </c>
    </row>
    <row r="115" spans="1:7" ht="15" customHeight="1" x14ac:dyDescent="0.3">
      <c r="A115" s="21" t="s">
        <v>97</v>
      </c>
      <c r="B115" s="21">
        <v>2016</v>
      </c>
      <c r="C115" s="21">
        <v>12</v>
      </c>
      <c r="D115" s="21" t="s">
        <v>220</v>
      </c>
      <c r="E115" s="21">
        <v>26.8</v>
      </c>
      <c r="F115" s="21">
        <v>0.54</v>
      </c>
      <c r="G115" s="21">
        <v>19.11</v>
      </c>
    </row>
    <row r="116" spans="1:7" ht="15" customHeight="1" x14ac:dyDescent="0.3">
      <c r="A116" s="21" t="s">
        <v>99</v>
      </c>
      <c r="B116" s="21">
        <v>2017</v>
      </c>
      <c r="C116" s="21">
        <v>1</v>
      </c>
      <c r="D116" s="21" t="s">
        <v>220</v>
      </c>
      <c r="E116" s="21">
        <v>24.6</v>
      </c>
      <c r="F116" s="21">
        <v>1.03</v>
      </c>
      <c r="G116" s="21">
        <v>41.7</v>
      </c>
    </row>
    <row r="117" spans="1:7" ht="15" customHeight="1" x14ac:dyDescent="0.3">
      <c r="A117" s="21" t="s">
        <v>101</v>
      </c>
      <c r="B117" s="21">
        <v>2017</v>
      </c>
      <c r="C117" s="21">
        <v>2</v>
      </c>
      <c r="D117" s="21" t="s">
        <v>220</v>
      </c>
      <c r="E117" s="21">
        <v>26.1</v>
      </c>
      <c r="F117" s="21">
        <v>1.0900000000000001</v>
      </c>
      <c r="G117" s="21">
        <v>49.71</v>
      </c>
    </row>
    <row r="118" spans="1:7" ht="15" customHeight="1" x14ac:dyDescent="0.3">
      <c r="A118" s="21" t="s">
        <v>103</v>
      </c>
      <c r="B118" s="21">
        <v>2017</v>
      </c>
      <c r="C118" s="21">
        <v>3</v>
      </c>
      <c r="D118" s="21" t="s">
        <v>220</v>
      </c>
      <c r="E118" s="21">
        <v>25.5</v>
      </c>
      <c r="F118" s="21">
        <v>1.58</v>
      </c>
      <c r="G118" s="21">
        <v>60</v>
      </c>
    </row>
    <row r="119" spans="1:7" ht="15" customHeight="1" x14ac:dyDescent="0.3">
      <c r="A119" s="21" t="s">
        <v>105</v>
      </c>
      <c r="B119" s="21">
        <v>2017</v>
      </c>
      <c r="C119" s="21">
        <v>4</v>
      </c>
      <c r="D119" s="21" t="s">
        <v>220</v>
      </c>
      <c r="E119" s="21">
        <v>26.1</v>
      </c>
      <c r="F119" s="21">
        <v>1.8</v>
      </c>
      <c r="G119" s="21">
        <v>70.45</v>
      </c>
    </row>
    <row r="120" spans="1:7" ht="15" customHeight="1" x14ac:dyDescent="0.3">
      <c r="A120" s="21" t="s">
        <v>107</v>
      </c>
      <c r="B120" s="21">
        <v>2017</v>
      </c>
      <c r="C120" s="21">
        <v>5</v>
      </c>
      <c r="D120" s="21" t="s">
        <v>220</v>
      </c>
      <c r="E120" s="21">
        <v>26</v>
      </c>
      <c r="F120" s="21">
        <v>2.42</v>
      </c>
      <c r="G120" s="21">
        <v>104.06</v>
      </c>
    </row>
    <row r="121" spans="1:7" ht="15" customHeight="1" x14ac:dyDescent="0.3">
      <c r="A121" s="21" t="s">
        <v>108</v>
      </c>
      <c r="B121" s="21">
        <v>2017</v>
      </c>
      <c r="C121" s="21">
        <v>6</v>
      </c>
      <c r="D121" s="21" t="s">
        <v>220</v>
      </c>
      <c r="E121" s="21">
        <v>25.5</v>
      </c>
      <c r="F121" s="21">
        <v>2.6</v>
      </c>
      <c r="G121" s="21">
        <v>114.82</v>
      </c>
    </row>
    <row r="122" spans="1:7" ht="15" customHeight="1" x14ac:dyDescent="0.3">
      <c r="A122" s="21" t="s">
        <v>109</v>
      </c>
      <c r="B122" s="21">
        <v>2017</v>
      </c>
      <c r="C122" s="21">
        <v>7</v>
      </c>
      <c r="D122" s="21" t="s">
        <v>220</v>
      </c>
      <c r="E122" s="21">
        <v>26.1</v>
      </c>
      <c r="F122" s="21">
        <v>4.33</v>
      </c>
      <c r="G122" s="21">
        <v>140.86000000000001</v>
      </c>
    </row>
    <row r="123" spans="1:7" ht="15" customHeight="1" x14ac:dyDescent="0.3">
      <c r="A123" s="21" t="s">
        <v>110</v>
      </c>
      <c r="B123" s="21">
        <v>2017</v>
      </c>
      <c r="C123" s="21">
        <v>8</v>
      </c>
      <c r="D123" s="21" t="s">
        <v>220</v>
      </c>
      <c r="E123" s="21">
        <v>25.1</v>
      </c>
      <c r="F123" s="21">
        <v>7.74</v>
      </c>
      <c r="G123" s="21">
        <v>266.38</v>
      </c>
    </row>
    <row r="124" spans="1:7" ht="15" customHeight="1" x14ac:dyDescent="0.3">
      <c r="A124" s="21" t="s">
        <v>111</v>
      </c>
      <c r="B124" s="21">
        <v>2017</v>
      </c>
      <c r="C124" s="21">
        <v>9</v>
      </c>
      <c r="D124" s="21" t="s">
        <v>220</v>
      </c>
      <c r="E124" s="21">
        <v>26.4</v>
      </c>
      <c r="F124" s="21">
        <v>13.99</v>
      </c>
      <c r="G124" s="21">
        <v>519.19000000000005</v>
      </c>
    </row>
    <row r="125" spans="1:7" ht="15" customHeight="1" x14ac:dyDescent="0.3">
      <c r="A125" s="21" t="s">
        <v>112</v>
      </c>
      <c r="B125" s="21">
        <v>2017</v>
      </c>
      <c r="C125" s="21">
        <v>10</v>
      </c>
      <c r="D125" s="21" t="s">
        <v>220</v>
      </c>
      <c r="E125" s="21">
        <v>26.4</v>
      </c>
      <c r="F125" s="21">
        <v>20.260000000000002</v>
      </c>
      <c r="G125" s="21">
        <v>715.02</v>
      </c>
    </row>
    <row r="126" spans="1:7" ht="15" customHeight="1" x14ac:dyDescent="0.3">
      <c r="A126" s="21" t="s">
        <v>113</v>
      </c>
      <c r="B126" s="21">
        <v>2017</v>
      </c>
      <c r="C126" s="21">
        <v>11</v>
      </c>
      <c r="D126" s="21" t="s">
        <v>220</v>
      </c>
      <c r="E126" s="21">
        <v>26.6</v>
      </c>
      <c r="F126" s="21">
        <v>27.92</v>
      </c>
      <c r="G126" s="21">
        <v>1045.47</v>
      </c>
    </row>
    <row r="127" spans="1:7" ht="15" customHeight="1" x14ac:dyDescent="0.3">
      <c r="A127" s="21" t="s">
        <v>114</v>
      </c>
      <c r="B127" s="21">
        <v>2017</v>
      </c>
      <c r="C127" s="21">
        <v>12</v>
      </c>
      <c r="D127" s="21" t="s">
        <v>220</v>
      </c>
      <c r="E127" s="21">
        <v>26.9</v>
      </c>
      <c r="F127" s="21">
        <v>39.200000000000003</v>
      </c>
      <c r="G127" s="21">
        <v>1352.43</v>
      </c>
    </row>
    <row r="128" spans="1:7" ht="15" customHeight="1" x14ac:dyDescent="0.3">
      <c r="A128" s="21" t="s">
        <v>115</v>
      </c>
      <c r="B128" s="21">
        <v>2018</v>
      </c>
      <c r="C128" s="21">
        <v>1</v>
      </c>
      <c r="D128" s="21" t="s">
        <v>220</v>
      </c>
      <c r="E128" s="21">
        <v>26.7</v>
      </c>
      <c r="F128" s="21">
        <v>40.51</v>
      </c>
      <c r="G128" s="21">
        <v>1404.64</v>
      </c>
    </row>
    <row r="129" spans="1:7" ht="15" customHeight="1" x14ac:dyDescent="0.3">
      <c r="A129" s="21" t="s">
        <v>116</v>
      </c>
      <c r="B129" s="21">
        <v>2018</v>
      </c>
      <c r="C129" s="21">
        <v>2</v>
      </c>
      <c r="D129" s="21" t="s">
        <v>220</v>
      </c>
      <c r="E129" s="21">
        <v>26.7</v>
      </c>
      <c r="F129" s="21">
        <v>45.7</v>
      </c>
      <c r="G129" s="21">
        <v>1574.67</v>
      </c>
    </row>
    <row r="130" spans="1:7" ht="15" customHeight="1" x14ac:dyDescent="0.3">
      <c r="A130" s="21" t="s">
        <v>117</v>
      </c>
      <c r="B130" s="21">
        <v>2018</v>
      </c>
      <c r="C130" s="21">
        <v>3</v>
      </c>
      <c r="D130" s="21" t="s">
        <v>220</v>
      </c>
      <c r="E130" s="21">
        <v>26.2</v>
      </c>
      <c r="F130" s="21">
        <v>46.73</v>
      </c>
      <c r="G130" s="21">
        <v>1600.39</v>
      </c>
    </row>
    <row r="131" spans="1:7" ht="15" customHeight="1" x14ac:dyDescent="0.3">
      <c r="A131" s="21" t="s">
        <v>118</v>
      </c>
      <c r="B131" s="21">
        <v>2018</v>
      </c>
      <c r="C131" s="21">
        <v>4</v>
      </c>
      <c r="D131" s="21" t="s">
        <v>220</v>
      </c>
      <c r="E131" s="21">
        <v>26.4</v>
      </c>
      <c r="F131" s="21">
        <v>50.18</v>
      </c>
      <c r="G131" s="21">
        <v>1699.13</v>
      </c>
    </row>
    <row r="132" spans="1:7" ht="15" customHeight="1" x14ac:dyDescent="0.3">
      <c r="A132" s="21" t="s">
        <v>119</v>
      </c>
      <c r="B132" s="21">
        <v>2018</v>
      </c>
      <c r="C132" s="21">
        <v>5</v>
      </c>
      <c r="D132" s="21" t="s">
        <v>220</v>
      </c>
      <c r="E132" s="21">
        <v>27.4</v>
      </c>
      <c r="F132" s="21">
        <v>61.64</v>
      </c>
      <c r="G132" s="21">
        <v>2091.6799999999998</v>
      </c>
    </row>
    <row r="133" spans="1:7" ht="15" customHeight="1" x14ac:dyDescent="0.3">
      <c r="A133" s="21" t="s">
        <v>120</v>
      </c>
      <c r="B133" s="21">
        <v>2018</v>
      </c>
      <c r="C133" s="21">
        <v>6</v>
      </c>
      <c r="D133" s="21" t="s">
        <v>220</v>
      </c>
      <c r="E133" s="21">
        <v>27.7</v>
      </c>
      <c r="F133" s="21">
        <v>68.150000000000006</v>
      </c>
      <c r="G133" s="21">
        <v>2313.15</v>
      </c>
    </row>
    <row r="134" spans="1:7" ht="15" customHeight="1" x14ac:dyDescent="0.3">
      <c r="A134" s="21" t="s">
        <v>121</v>
      </c>
      <c r="B134" s="21">
        <v>2018</v>
      </c>
      <c r="C134" s="21">
        <v>7</v>
      </c>
      <c r="D134" s="21" t="s">
        <v>220</v>
      </c>
      <c r="E134" s="21">
        <v>26.9</v>
      </c>
      <c r="F134" s="21">
        <v>63.43</v>
      </c>
      <c r="G134" s="21">
        <v>2229.79</v>
      </c>
    </row>
    <row r="135" spans="1:7" ht="15" customHeight="1" x14ac:dyDescent="0.3">
      <c r="A135" s="21" t="s">
        <v>122</v>
      </c>
      <c r="B135" s="21">
        <v>2018</v>
      </c>
      <c r="C135" s="21">
        <v>8</v>
      </c>
      <c r="D135" s="21" t="s">
        <v>220</v>
      </c>
      <c r="E135" s="21">
        <v>27.1</v>
      </c>
      <c r="F135" s="21">
        <v>84.76</v>
      </c>
      <c r="G135" s="21">
        <v>2872.84</v>
      </c>
    </row>
    <row r="136" spans="1:7" ht="15" customHeight="1" x14ac:dyDescent="0.3">
      <c r="A136" s="21" t="s">
        <v>123</v>
      </c>
      <c r="B136" s="21">
        <v>2018</v>
      </c>
      <c r="C136" s="21">
        <v>9</v>
      </c>
      <c r="D136" s="21" t="s">
        <v>220</v>
      </c>
      <c r="E136" s="21">
        <v>26.8</v>
      </c>
      <c r="F136" s="21">
        <v>108.57</v>
      </c>
      <c r="G136" s="21">
        <v>3788.84</v>
      </c>
    </row>
    <row r="137" spans="1:7" ht="15" customHeight="1" x14ac:dyDescent="0.3">
      <c r="A137" s="21" t="s">
        <v>124</v>
      </c>
      <c r="B137" s="21">
        <v>2018</v>
      </c>
      <c r="C137" s="21">
        <v>10</v>
      </c>
      <c r="D137" s="21" t="s">
        <v>220</v>
      </c>
      <c r="E137" s="21">
        <v>27.9</v>
      </c>
      <c r="F137" s="21">
        <v>134.47</v>
      </c>
      <c r="G137" s="21">
        <v>4763.38</v>
      </c>
    </row>
    <row r="138" spans="1:7" ht="15" customHeight="1" x14ac:dyDescent="0.3">
      <c r="A138" s="21" t="s">
        <v>125</v>
      </c>
      <c r="B138" s="21">
        <v>2018</v>
      </c>
      <c r="C138" s="21">
        <v>11</v>
      </c>
      <c r="D138" s="21" t="s">
        <v>220</v>
      </c>
      <c r="E138" s="21">
        <v>27.7</v>
      </c>
      <c r="F138" s="21">
        <v>145.47999999999999</v>
      </c>
      <c r="G138" s="21">
        <v>5053.84</v>
      </c>
    </row>
    <row r="139" spans="1:7" ht="15" customHeight="1" x14ac:dyDescent="0.3">
      <c r="A139" s="21" t="s">
        <v>126</v>
      </c>
      <c r="B139" s="21">
        <v>2018</v>
      </c>
      <c r="C139" s="21">
        <v>12</v>
      </c>
      <c r="D139" s="21" t="s">
        <v>220</v>
      </c>
      <c r="E139" s="21">
        <v>28.4</v>
      </c>
      <c r="F139" s="21">
        <v>176.59</v>
      </c>
      <c r="G139" s="21">
        <v>5993.7</v>
      </c>
    </row>
    <row r="140" spans="1:7" ht="15" customHeight="1" x14ac:dyDescent="0.3">
      <c r="A140" s="21" t="s">
        <v>127</v>
      </c>
      <c r="B140" s="21">
        <v>2019</v>
      </c>
      <c r="C140" s="21">
        <v>1</v>
      </c>
      <c r="D140" s="21" t="s">
        <v>220</v>
      </c>
      <c r="E140" s="21">
        <v>27.1</v>
      </c>
      <c r="F140" s="21">
        <v>182.43</v>
      </c>
      <c r="G140" s="21">
        <v>6261.93</v>
      </c>
    </row>
    <row r="141" spans="1:7" ht="15" customHeight="1" x14ac:dyDescent="0.3">
      <c r="A141" s="21" t="s">
        <v>128</v>
      </c>
      <c r="B141" s="21">
        <v>2019</v>
      </c>
      <c r="C141" s="21">
        <v>2</v>
      </c>
      <c r="D141" s="21" t="s">
        <v>220</v>
      </c>
      <c r="E141" s="21">
        <v>27.5</v>
      </c>
      <c r="F141" s="21">
        <v>185.12</v>
      </c>
      <c r="G141" s="21">
        <v>6327.98</v>
      </c>
    </row>
    <row r="142" spans="1:7" ht="15" customHeight="1" x14ac:dyDescent="0.3">
      <c r="A142" s="21" t="s">
        <v>129</v>
      </c>
      <c r="B142" s="21">
        <v>2019</v>
      </c>
      <c r="C142" s="21">
        <v>3</v>
      </c>
      <c r="D142" s="21" t="s">
        <v>220</v>
      </c>
      <c r="E142" s="21">
        <v>27.9</v>
      </c>
      <c r="F142" s="21">
        <v>222.67</v>
      </c>
      <c r="G142" s="21">
        <v>7530.64</v>
      </c>
    </row>
    <row r="143" spans="1:7" ht="15" customHeight="1" x14ac:dyDescent="0.3">
      <c r="A143" s="21" t="s">
        <v>130</v>
      </c>
      <c r="B143" s="21">
        <v>2019</v>
      </c>
      <c r="C143" s="21">
        <v>4</v>
      </c>
      <c r="D143" s="21" t="s">
        <v>220</v>
      </c>
      <c r="E143" s="21">
        <v>28.1</v>
      </c>
      <c r="F143" s="21">
        <v>220.11</v>
      </c>
      <c r="G143" s="21">
        <v>7569.79</v>
      </c>
    </row>
    <row r="144" spans="1:7" ht="15" customHeight="1" x14ac:dyDescent="0.3">
      <c r="A144" s="21" t="s">
        <v>131</v>
      </c>
      <c r="B144" s="21">
        <v>2019</v>
      </c>
      <c r="C144" s="21">
        <v>5</v>
      </c>
      <c r="D144" s="21" t="s">
        <v>220</v>
      </c>
      <c r="E144" s="21">
        <v>27.8</v>
      </c>
      <c r="F144" s="21">
        <v>203.91</v>
      </c>
      <c r="G144" s="21">
        <v>6976.01</v>
      </c>
    </row>
    <row r="145" spans="1:7" ht="15" customHeight="1" x14ac:dyDescent="0.3">
      <c r="A145" s="21" t="s">
        <v>132</v>
      </c>
      <c r="B145" s="21">
        <v>2019</v>
      </c>
      <c r="C145" s="21">
        <v>6</v>
      </c>
      <c r="D145" s="21" t="s">
        <v>220</v>
      </c>
      <c r="E145" s="21">
        <v>27.6</v>
      </c>
      <c r="F145" s="21">
        <v>207.97</v>
      </c>
      <c r="G145" s="21">
        <v>7105.88</v>
      </c>
    </row>
    <row r="146" spans="1:7" ht="15" customHeight="1" x14ac:dyDescent="0.3">
      <c r="A146" s="21" t="s">
        <v>133</v>
      </c>
      <c r="B146" s="21">
        <v>2019</v>
      </c>
      <c r="C146" s="21">
        <v>7</v>
      </c>
      <c r="D146" s="21" t="s">
        <v>220</v>
      </c>
      <c r="E146" s="21">
        <v>28.5</v>
      </c>
      <c r="F146" s="21">
        <v>234.59</v>
      </c>
      <c r="G146" s="21">
        <v>8119.05</v>
      </c>
    </row>
    <row r="147" spans="1:7" ht="15" customHeight="1" x14ac:dyDescent="0.3">
      <c r="A147" s="21" t="s">
        <v>134</v>
      </c>
      <c r="B147" s="21">
        <v>2019</v>
      </c>
      <c r="C147" s="21">
        <v>8</v>
      </c>
      <c r="D147" s="21" t="s">
        <v>220</v>
      </c>
      <c r="E147" s="21">
        <v>28.5</v>
      </c>
      <c r="F147" s="21">
        <v>262.06</v>
      </c>
      <c r="G147" s="21">
        <v>9028.83</v>
      </c>
    </row>
    <row r="148" spans="1:7" ht="15" customHeight="1" x14ac:dyDescent="0.3">
      <c r="A148" s="21" t="s">
        <v>135</v>
      </c>
      <c r="B148" s="21">
        <v>2019</v>
      </c>
      <c r="C148" s="21">
        <v>9</v>
      </c>
      <c r="D148" s="21" t="s">
        <v>220</v>
      </c>
      <c r="E148" s="21">
        <v>27.8</v>
      </c>
      <c r="F148" s="21">
        <v>265.55</v>
      </c>
      <c r="G148" s="21">
        <v>9362.4699999999993</v>
      </c>
    </row>
    <row r="149" spans="1:7" ht="15" customHeight="1" x14ac:dyDescent="0.3">
      <c r="A149" s="21" t="s">
        <v>136</v>
      </c>
      <c r="B149" s="21">
        <v>2019</v>
      </c>
      <c r="C149" s="21">
        <v>10</v>
      </c>
      <c r="D149" s="21" t="s">
        <v>220</v>
      </c>
      <c r="E149" s="21">
        <v>29</v>
      </c>
      <c r="F149" s="21">
        <v>333.39</v>
      </c>
      <c r="G149" s="21">
        <v>11739.13</v>
      </c>
    </row>
    <row r="150" spans="1:7" ht="15" customHeight="1" x14ac:dyDescent="0.3">
      <c r="A150" s="21" t="s">
        <v>137</v>
      </c>
      <c r="B150" s="21">
        <v>2019</v>
      </c>
      <c r="C150" s="21">
        <v>11</v>
      </c>
      <c r="D150" s="21" t="s">
        <v>220</v>
      </c>
      <c r="E150" s="21">
        <v>29</v>
      </c>
      <c r="F150" s="21">
        <v>353.77</v>
      </c>
      <c r="G150" s="21">
        <v>12667.65</v>
      </c>
    </row>
    <row r="151" spans="1:7" ht="15" customHeight="1" x14ac:dyDescent="0.3">
      <c r="A151" s="21" t="s">
        <v>138</v>
      </c>
      <c r="B151" s="21">
        <v>2019</v>
      </c>
      <c r="C151" s="21">
        <v>12</v>
      </c>
      <c r="D151" s="21" t="s">
        <v>220</v>
      </c>
      <c r="E151" s="21">
        <v>28.6</v>
      </c>
      <c r="F151" s="21">
        <v>374.16</v>
      </c>
      <c r="G151" s="21">
        <v>13286.82</v>
      </c>
    </row>
    <row r="152" spans="1:7" ht="15" customHeight="1" x14ac:dyDescent="0.3">
      <c r="A152" s="21" t="s">
        <v>139</v>
      </c>
      <c r="B152" s="21">
        <v>2020</v>
      </c>
      <c r="C152" s="21">
        <v>1</v>
      </c>
      <c r="D152" s="21" t="s">
        <v>220</v>
      </c>
      <c r="E152" s="21">
        <v>28.7</v>
      </c>
      <c r="F152" s="21">
        <v>373.23</v>
      </c>
      <c r="G152" s="21">
        <v>13206.78</v>
      </c>
    </row>
    <row r="153" spans="1:7" ht="15" customHeight="1" x14ac:dyDescent="0.3">
      <c r="A153" s="21" t="s">
        <v>140</v>
      </c>
      <c r="B153" s="21">
        <v>2020</v>
      </c>
      <c r="C153" s="21">
        <v>2</v>
      </c>
      <c r="D153" s="21" t="s">
        <v>220</v>
      </c>
      <c r="E153" s="21">
        <v>29</v>
      </c>
      <c r="F153" s="21">
        <v>384.23</v>
      </c>
      <c r="G153" s="21">
        <v>13543.42</v>
      </c>
    </row>
    <row r="154" spans="1:7" ht="15" customHeight="1" x14ac:dyDescent="0.3">
      <c r="A154" s="21" t="s">
        <v>141</v>
      </c>
      <c r="B154" s="21">
        <v>2020</v>
      </c>
      <c r="C154" s="21">
        <v>3</v>
      </c>
      <c r="D154" s="21" t="s">
        <v>220</v>
      </c>
      <c r="E154" s="21">
        <v>28.4</v>
      </c>
      <c r="F154" s="21">
        <v>353.63</v>
      </c>
      <c r="G154" s="21">
        <v>12332.63</v>
      </c>
    </row>
    <row r="155" spans="1:7" ht="15" customHeight="1" x14ac:dyDescent="0.3">
      <c r="A155" s="21" t="s">
        <v>142</v>
      </c>
      <c r="B155" s="21">
        <v>2020</v>
      </c>
      <c r="C155" s="21">
        <v>4</v>
      </c>
      <c r="D155" s="21" t="s">
        <v>220</v>
      </c>
      <c r="E155" s="21">
        <v>28.9</v>
      </c>
      <c r="F155" s="21">
        <v>288.86</v>
      </c>
      <c r="G155" s="21">
        <v>9887.81</v>
      </c>
    </row>
    <row r="156" spans="1:7" ht="15" customHeight="1" x14ac:dyDescent="0.3">
      <c r="A156" s="21" t="s">
        <v>143</v>
      </c>
      <c r="B156" s="21">
        <v>2020</v>
      </c>
      <c r="C156" s="21">
        <v>5</v>
      </c>
      <c r="D156" s="21" t="s">
        <v>220</v>
      </c>
      <c r="E156" s="21">
        <v>27.9</v>
      </c>
      <c r="F156" s="21">
        <v>344.36</v>
      </c>
      <c r="G156" s="21">
        <v>11740.75</v>
      </c>
    </row>
    <row r="157" spans="1:7" ht="15" customHeight="1" x14ac:dyDescent="0.3">
      <c r="A157" s="21" t="s">
        <v>144</v>
      </c>
      <c r="B157" s="21">
        <v>2020</v>
      </c>
      <c r="C157" s="21">
        <v>6</v>
      </c>
      <c r="D157" s="21" t="s">
        <v>220</v>
      </c>
      <c r="E157" s="21">
        <v>29.5</v>
      </c>
      <c r="F157" s="21">
        <v>395.29</v>
      </c>
      <c r="G157" s="21">
        <v>13583.39</v>
      </c>
    </row>
    <row r="158" spans="1:7" ht="15" customHeight="1" x14ac:dyDescent="0.3">
      <c r="A158" s="21" t="s">
        <v>145</v>
      </c>
      <c r="B158" s="21">
        <v>2020</v>
      </c>
      <c r="C158" s="21">
        <v>7</v>
      </c>
      <c r="D158" s="21" t="s">
        <v>220</v>
      </c>
      <c r="E158" s="21">
        <v>28.4</v>
      </c>
      <c r="F158" s="21">
        <v>424.76</v>
      </c>
      <c r="G158" s="21">
        <v>14601.56</v>
      </c>
    </row>
    <row r="159" spans="1:7" ht="15" customHeight="1" x14ac:dyDescent="0.3">
      <c r="A159" s="21" t="s">
        <v>146</v>
      </c>
      <c r="B159" s="21">
        <v>2020</v>
      </c>
      <c r="C159" s="21">
        <v>8</v>
      </c>
      <c r="D159" s="21" t="s">
        <v>220</v>
      </c>
      <c r="E159" s="21">
        <v>30</v>
      </c>
      <c r="F159" s="21">
        <v>485.43</v>
      </c>
      <c r="G159" s="21">
        <v>17185.55</v>
      </c>
    </row>
    <row r="160" spans="1:7" ht="15" customHeight="1" x14ac:dyDescent="0.3">
      <c r="A160" s="21" t="s">
        <v>147</v>
      </c>
      <c r="B160" s="21">
        <v>2020</v>
      </c>
      <c r="C160" s="21">
        <v>9</v>
      </c>
      <c r="D160" s="21" t="s">
        <v>220</v>
      </c>
      <c r="E160" s="21">
        <v>29.2</v>
      </c>
      <c r="F160" s="21">
        <v>524.88</v>
      </c>
      <c r="G160" s="21">
        <v>18200.72</v>
      </c>
    </row>
    <row r="161" spans="1:7" ht="15" customHeight="1" x14ac:dyDescent="0.3">
      <c r="A161" s="21" t="s">
        <v>148</v>
      </c>
      <c r="B161" s="21">
        <v>2020</v>
      </c>
      <c r="C161" s="21">
        <v>10</v>
      </c>
      <c r="D161" s="21" t="s">
        <v>220</v>
      </c>
      <c r="E161" s="21">
        <v>29.3</v>
      </c>
      <c r="F161" s="21">
        <v>606.98</v>
      </c>
      <c r="G161" s="21">
        <v>20977.19</v>
      </c>
    </row>
    <row r="162" spans="1:7" ht="15" customHeight="1" x14ac:dyDescent="0.3">
      <c r="A162" s="21" t="s">
        <v>149</v>
      </c>
      <c r="B162" s="21">
        <v>2020</v>
      </c>
      <c r="C162" s="21">
        <v>11</v>
      </c>
      <c r="D162" s="21" t="s">
        <v>220</v>
      </c>
      <c r="E162" s="21">
        <v>29.2</v>
      </c>
      <c r="F162" s="21">
        <v>645.13</v>
      </c>
      <c r="G162" s="21">
        <v>22350.74</v>
      </c>
    </row>
    <row r="163" spans="1:7" ht="15" customHeight="1" x14ac:dyDescent="0.3">
      <c r="A163" s="21" t="s">
        <v>150</v>
      </c>
      <c r="B163" s="21">
        <v>2020</v>
      </c>
      <c r="C163" s="21">
        <v>12</v>
      </c>
      <c r="D163" s="21" t="s">
        <v>220</v>
      </c>
      <c r="E163" s="21">
        <v>29.4</v>
      </c>
      <c r="F163" s="21">
        <v>657.64</v>
      </c>
      <c r="G163" s="21">
        <v>22984.15</v>
      </c>
    </row>
    <row r="164" spans="1:7" ht="15" customHeight="1" x14ac:dyDescent="0.3">
      <c r="A164" s="21" t="s">
        <v>151</v>
      </c>
      <c r="B164" s="21">
        <v>2021</v>
      </c>
      <c r="C164" s="21">
        <v>1</v>
      </c>
      <c r="D164" s="21" t="s">
        <v>220</v>
      </c>
      <c r="E164" s="21">
        <v>30.4</v>
      </c>
      <c r="F164" s="21">
        <v>699.69</v>
      </c>
      <c r="G164" s="21">
        <v>24536.48</v>
      </c>
    </row>
    <row r="165" spans="1:7" ht="15" customHeight="1" x14ac:dyDescent="0.3">
      <c r="A165" s="21" t="s">
        <v>152</v>
      </c>
      <c r="B165" s="21">
        <v>2021</v>
      </c>
      <c r="C165" s="21">
        <v>2</v>
      </c>
      <c r="D165" s="21" t="s">
        <v>220</v>
      </c>
      <c r="E165" s="21">
        <v>28.5</v>
      </c>
      <c r="F165" s="21">
        <v>653.80999999999995</v>
      </c>
      <c r="G165" s="21">
        <v>22964.95</v>
      </c>
    </row>
    <row r="166" spans="1:7" ht="15" customHeight="1" x14ac:dyDescent="0.3">
      <c r="A166" s="21" t="s">
        <v>153</v>
      </c>
      <c r="B166" s="21">
        <v>2021</v>
      </c>
      <c r="C166" s="21">
        <v>3</v>
      </c>
      <c r="D166" s="21" t="s">
        <v>220</v>
      </c>
      <c r="E166" s="21">
        <v>30.5</v>
      </c>
      <c r="F166" s="21">
        <v>832.96</v>
      </c>
      <c r="G166" s="21">
        <v>28732.07</v>
      </c>
    </row>
    <row r="167" spans="1:7" ht="15" customHeight="1" x14ac:dyDescent="0.3">
      <c r="A167" s="21" t="s">
        <v>154</v>
      </c>
      <c r="B167" s="21">
        <v>2021</v>
      </c>
      <c r="C167" s="21">
        <v>4</v>
      </c>
      <c r="D167" s="21" t="s">
        <v>220</v>
      </c>
      <c r="E167" s="21">
        <v>30.1</v>
      </c>
      <c r="F167" s="21">
        <v>795.27</v>
      </c>
      <c r="G167" s="21">
        <v>27355.11</v>
      </c>
    </row>
    <row r="168" spans="1:7" ht="15" customHeight="1" x14ac:dyDescent="0.3">
      <c r="A168" s="21" t="s">
        <v>155</v>
      </c>
      <c r="B168" s="21">
        <v>2021</v>
      </c>
      <c r="C168" s="21">
        <v>5</v>
      </c>
      <c r="D168" s="21" t="s">
        <v>220</v>
      </c>
      <c r="E168" s="21">
        <v>29.4</v>
      </c>
      <c r="F168" s="21">
        <v>746.39</v>
      </c>
      <c r="G168" s="21">
        <v>25647.62</v>
      </c>
    </row>
    <row r="169" spans="1:7" ht="15" customHeight="1" x14ac:dyDescent="0.3">
      <c r="A169" s="21" t="s">
        <v>156</v>
      </c>
      <c r="B169" s="21">
        <v>2021</v>
      </c>
      <c r="C169" s="21">
        <v>6</v>
      </c>
      <c r="D169" s="21" t="s">
        <v>220</v>
      </c>
      <c r="E169" s="21">
        <v>29.6</v>
      </c>
      <c r="F169" s="21">
        <v>828.92</v>
      </c>
      <c r="G169" s="21">
        <v>28452.99</v>
      </c>
    </row>
    <row r="170" spans="1:7" ht="15" customHeight="1" x14ac:dyDescent="0.3">
      <c r="A170" s="21" t="s">
        <v>157</v>
      </c>
      <c r="B170" s="21">
        <v>2021</v>
      </c>
      <c r="C170" s="21">
        <v>7</v>
      </c>
      <c r="D170" s="21" t="s">
        <v>220</v>
      </c>
      <c r="E170" s="21">
        <v>31</v>
      </c>
      <c r="F170" s="21">
        <v>1006.76</v>
      </c>
      <c r="G170" s="21">
        <v>34095.71</v>
      </c>
    </row>
    <row r="171" spans="1:7" ht="15" customHeight="1" x14ac:dyDescent="0.3">
      <c r="A171" s="21" t="s">
        <v>158</v>
      </c>
      <c r="B171" s="21">
        <v>2021</v>
      </c>
      <c r="C171" s="21">
        <v>8</v>
      </c>
      <c r="D171" s="21" t="s">
        <v>220</v>
      </c>
      <c r="E171" s="21">
        <v>29.8</v>
      </c>
      <c r="F171" s="21">
        <v>1060.0899999999999</v>
      </c>
      <c r="G171" s="21">
        <v>35869.14</v>
      </c>
    </row>
    <row r="172" spans="1:7" ht="15" customHeight="1" x14ac:dyDescent="0.3">
      <c r="A172" s="21" t="s">
        <v>159</v>
      </c>
      <c r="B172" s="21">
        <v>2021</v>
      </c>
      <c r="C172" s="21">
        <v>9</v>
      </c>
      <c r="D172" s="21" t="s">
        <v>220</v>
      </c>
      <c r="E172" s="21">
        <v>29.8</v>
      </c>
      <c r="F172" s="21">
        <v>1088.5</v>
      </c>
      <c r="G172" s="21">
        <v>36830.879999999997</v>
      </c>
    </row>
    <row r="173" spans="1:7" ht="15" customHeight="1" x14ac:dyDescent="0.3">
      <c r="A173" s="21" t="s">
        <v>160</v>
      </c>
      <c r="B173" s="21">
        <v>2021</v>
      </c>
      <c r="C173" s="21">
        <v>10</v>
      </c>
      <c r="D173" s="21" t="s">
        <v>220</v>
      </c>
      <c r="E173" s="21">
        <v>31</v>
      </c>
      <c r="F173" s="21">
        <v>1309.3900000000001</v>
      </c>
      <c r="G173" s="21">
        <v>44448.2</v>
      </c>
    </row>
    <row r="174" spans="1:7" ht="15" customHeight="1" x14ac:dyDescent="0.3">
      <c r="A174" s="21" t="s">
        <v>161</v>
      </c>
      <c r="B174" s="21">
        <v>2021</v>
      </c>
      <c r="C174" s="21">
        <v>11</v>
      </c>
      <c r="D174" s="21" t="s">
        <v>220</v>
      </c>
      <c r="E174" s="21">
        <v>30.7</v>
      </c>
      <c r="F174" s="21">
        <v>1286.4000000000001</v>
      </c>
      <c r="G174" s="21">
        <v>43664.63</v>
      </c>
    </row>
    <row r="175" spans="1:7" ht="15" customHeight="1" x14ac:dyDescent="0.3">
      <c r="A175" s="21" t="s">
        <v>162</v>
      </c>
      <c r="B175" s="21">
        <v>2021</v>
      </c>
      <c r="C175" s="21">
        <v>12</v>
      </c>
      <c r="D175" s="21" t="s">
        <v>220</v>
      </c>
      <c r="E175" s="21">
        <v>30.2</v>
      </c>
      <c r="F175" s="21">
        <v>1376.33</v>
      </c>
      <c r="G175" s="21">
        <v>46365.63</v>
      </c>
    </row>
    <row r="176" spans="1:7" ht="15" customHeight="1" x14ac:dyDescent="0.3">
      <c r="A176" s="21" t="s">
        <v>163</v>
      </c>
      <c r="B176" s="21">
        <v>2022</v>
      </c>
      <c r="C176" s="21">
        <v>1</v>
      </c>
      <c r="D176" s="21" t="s">
        <v>220</v>
      </c>
      <c r="E176" s="21">
        <v>30.8</v>
      </c>
      <c r="F176" s="21">
        <v>1425.68</v>
      </c>
      <c r="G176" s="21">
        <v>47884.7</v>
      </c>
    </row>
    <row r="177" spans="1:7" ht="15" customHeight="1" x14ac:dyDescent="0.3">
      <c r="A177" s="21" t="s">
        <v>164</v>
      </c>
      <c r="B177" s="21">
        <v>2022</v>
      </c>
      <c r="C177" s="21">
        <v>2</v>
      </c>
      <c r="D177" s="21" t="s">
        <v>220</v>
      </c>
      <c r="E177" s="21">
        <v>30.3</v>
      </c>
      <c r="F177" s="21">
        <v>1372.31</v>
      </c>
      <c r="G177" s="21">
        <v>46108.57</v>
      </c>
    </row>
    <row r="178" spans="1:7" ht="15" customHeight="1" x14ac:dyDescent="0.3">
      <c r="A178" s="21" t="s">
        <v>165</v>
      </c>
      <c r="B178" s="21">
        <v>2022</v>
      </c>
      <c r="C178" s="21">
        <v>3</v>
      </c>
      <c r="D178" s="21" t="s">
        <v>220</v>
      </c>
      <c r="E178" s="21">
        <v>31.5</v>
      </c>
      <c r="F178" s="21">
        <v>1700.34</v>
      </c>
      <c r="G178" s="21">
        <v>56943.39</v>
      </c>
    </row>
    <row r="179" spans="1:7" ht="15" customHeight="1" x14ac:dyDescent="0.3">
      <c r="A179" s="21" t="s">
        <v>166</v>
      </c>
      <c r="B179" s="21">
        <v>2022</v>
      </c>
      <c r="C179" s="21">
        <v>4</v>
      </c>
      <c r="D179" s="21" t="s">
        <v>220</v>
      </c>
      <c r="E179" s="21">
        <v>31.5</v>
      </c>
      <c r="F179" s="21">
        <v>1759.41</v>
      </c>
      <c r="G179" s="21">
        <v>60223.61</v>
      </c>
    </row>
    <row r="180" spans="1:7" ht="15" customHeight="1" x14ac:dyDescent="0.3">
      <c r="A180" s="21" t="s">
        <v>167</v>
      </c>
      <c r="B180" s="21">
        <v>2022</v>
      </c>
      <c r="C180" s="21">
        <v>5</v>
      </c>
      <c r="D180" s="21" t="s">
        <v>220</v>
      </c>
      <c r="E180" s="21">
        <v>31.4</v>
      </c>
      <c r="F180" s="21">
        <v>1867.14</v>
      </c>
      <c r="G180" s="21">
        <v>63649.1</v>
      </c>
    </row>
    <row r="181" spans="1:7" ht="15" customHeight="1" x14ac:dyDescent="0.3">
      <c r="A181" s="21" t="s">
        <v>168</v>
      </c>
      <c r="B181" s="21">
        <v>2022</v>
      </c>
      <c r="C181" s="21">
        <v>6</v>
      </c>
      <c r="D181" s="21" t="s">
        <v>220</v>
      </c>
      <c r="E181" s="21">
        <v>31.4</v>
      </c>
      <c r="F181" s="21">
        <v>1837.54</v>
      </c>
      <c r="G181" s="21">
        <v>62087.46</v>
      </c>
    </row>
    <row r="182" spans="1:7" ht="15" customHeight="1" x14ac:dyDescent="0.3">
      <c r="A182" s="21" t="s">
        <v>169</v>
      </c>
      <c r="B182" s="21">
        <v>2022</v>
      </c>
      <c r="C182" s="21">
        <v>7</v>
      </c>
      <c r="D182" s="21" t="s">
        <v>220</v>
      </c>
      <c r="E182" s="21">
        <v>32.1</v>
      </c>
      <c r="F182" s="21">
        <v>2018.72</v>
      </c>
      <c r="G182" s="21">
        <v>67685.14</v>
      </c>
    </row>
    <row r="183" spans="1:7" ht="15" customHeight="1" x14ac:dyDescent="0.3">
      <c r="A183" s="21" t="s">
        <v>170</v>
      </c>
      <c r="B183" s="21">
        <v>2022</v>
      </c>
      <c r="C183" s="21">
        <v>8</v>
      </c>
      <c r="D183" s="21" t="s">
        <v>220</v>
      </c>
      <c r="E183" s="21">
        <v>31.4</v>
      </c>
      <c r="F183" s="21">
        <v>2062.6999999999998</v>
      </c>
      <c r="G183" s="21">
        <v>70735.02</v>
      </c>
    </row>
    <row r="184" spans="1:7" ht="15" customHeight="1" x14ac:dyDescent="0.3">
      <c r="A184" s="21" t="s">
        <v>171</v>
      </c>
      <c r="B184" s="21">
        <v>2022</v>
      </c>
      <c r="C184" s="21">
        <v>9</v>
      </c>
      <c r="D184" s="21" t="s">
        <v>220</v>
      </c>
      <c r="E184" s="21">
        <v>30.9</v>
      </c>
      <c r="F184" s="21">
        <v>2091.9499999999998</v>
      </c>
      <c r="G184" s="21">
        <v>72282.11</v>
      </c>
    </row>
    <row r="185" spans="1:7" ht="15" customHeight="1" x14ac:dyDescent="0.3">
      <c r="A185" s="21" t="s">
        <v>172</v>
      </c>
      <c r="B185" s="21">
        <v>2022</v>
      </c>
      <c r="C185" s="21">
        <v>10</v>
      </c>
      <c r="D185" s="21" t="s">
        <v>220</v>
      </c>
      <c r="E185" s="21">
        <v>31.8</v>
      </c>
      <c r="F185" s="21">
        <v>2319.64</v>
      </c>
      <c r="G185" s="21">
        <v>79887.09</v>
      </c>
    </row>
    <row r="186" spans="1:7" ht="15" customHeight="1" x14ac:dyDescent="0.3">
      <c r="A186" s="21" t="s">
        <v>173</v>
      </c>
      <c r="B186" s="21">
        <v>2022</v>
      </c>
      <c r="C186" s="21">
        <v>11</v>
      </c>
      <c r="D186" s="21" t="s">
        <v>220</v>
      </c>
      <c r="E186" s="21">
        <v>32.700000000000003</v>
      </c>
      <c r="F186" s="21">
        <v>2387.5</v>
      </c>
      <c r="G186" s="21">
        <v>81171.56</v>
      </c>
    </row>
    <row r="187" spans="1:7" ht="15" customHeight="1" x14ac:dyDescent="0.3">
      <c r="A187" s="21" t="s">
        <v>174</v>
      </c>
      <c r="B187" s="21">
        <v>2022</v>
      </c>
      <c r="C187" s="21">
        <v>12</v>
      </c>
      <c r="D187" s="21" t="s">
        <v>220</v>
      </c>
      <c r="E187" s="21">
        <v>31.2</v>
      </c>
      <c r="F187" s="21">
        <v>2442.5300000000002</v>
      </c>
      <c r="G187" s="21">
        <v>83668.14</v>
      </c>
    </row>
    <row r="188" spans="1:7" ht="15" customHeight="1" x14ac:dyDescent="0.3">
      <c r="A188" s="21" t="s">
        <v>175</v>
      </c>
      <c r="B188" s="21">
        <v>2023</v>
      </c>
      <c r="C188" s="21">
        <v>1</v>
      </c>
      <c r="D188" s="21" t="s">
        <v>220</v>
      </c>
      <c r="E188" s="21">
        <v>31.6</v>
      </c>
      <c r="F188" s="21">
        <v>2541.08</v>
      </c>
      <c r="G188" s="21">
        <v>86955.78</v>
      </c>
    </row>
    <row r="189" spans="1:7" ht="15" customHeight="1" x14ac:dyDescent="0.3">
      <c r="A189" s="21" t="s">
        <v>176</v>
      </c>
      <c r="B189" s="21">
        <v>2023</v>
      </c>
      <c r="C189" s="21">
        <v>2</v>
      </c>
      <c r="D189" s="21" t="s">
        <v>220</v>
      </c>
      <c r="E189" s="21">
        <v>32.1</v>
      </c>
      <c r="F189" s="21">
        <v>2419.63</v>
      </c>
      <c r="G189" s="21">
        <v>82793.69</v>
      </c>
    </row>
    <row r="190" spans="1:7" ht="15" customHeight="1" x14ac:dyDescent="0.3">
      <c r="A190" s="21" t="s">
        <v>177</v>
      </c>
      <c r="B190" s="21">
        <v>2023</v>
      </c>
      <c r="C190" s="21">
        <v>3</v>
      </c>
      <c r="D190" s="21" t="s">
        <v>220</v>
      </c>
      <c r="E190" s="21">
        <v>31.9</v>
      </c>
      <c r="F190" s="21">
        <v>2765.36</v>
      </c>
      <c r="G190" s="21">
        <v>94671.35</v>
      </c>
    </row>
    <row r="191" spans="1:7" ht="15" customHeight="1" x14ac:dyDescent="0.3">
      <c r="A191" s="21" t="s">
        <v>178</v>
      </c>
      <c r="B191" s="21">
        <v>2023</v>
      </c>
      <c r="C191" s="21">
        <v>4</v>
      </c>
      <c r="D191" s="21" t="s">
        <v>220</v>
      </c>
      <c r="E191" s="21">
        <v>31.6</v>
      </c>
      <c r="F191" s="21">
        <v>2807.94</v>
      </c>
      <c r="G191" s="21">
        <v>97228.43</v>
      </c>
    </row>
    <row r="192" spans="1:7" ht="15" customHeight="1" x14ac:dyDescent="0.3">
      <c r="A192" s="21" t="s">
        <v>179</v>
      </c>
      <c r="B192" s="21">
        <v>2023</v>
      </c>
      <c r="C192" s="21">
        <v>5</v>
      </c>
      <c r="D192" s="21" t="s">
        <v>220</v>
      </c>
      <c r="E192" s="21">
        <v>32.700000000000003</v>
      </c>
      <c r="F192" s="21">
        <v>2949.28</v>
      </c>
      <c r="G192" s="21">
        <v>102654.02</v>
      </c>
    </row>
    <row r="193" spans="1:7" ht="15" customHeight="1" x14ac:dyDescent="0.3">
      <c r="A193" s="21" t="s">
        <v>180</v>
      </c>
      <c r="B193" s="21">
        <v>2023</v>
      </c>
      <c r="C193" s="21">
        <v>6</v>
      </c>
      <c r="D193" s="21" t="s">
        <v>220</v>
      </c>
      <c r="E193" s="21">
        <v>33.4</v>
      </c>
      <c r="F193" s="21">
        <v>3117.45</v>
      </c>
      <c r="G193" s="21">
        <v>108377.81</v>
      </c>
    </row>
    <row r="194" spans="1:7" ht="15" customHeight="1" x14ac:dyDescent="0.3">
      <c r="A194" s="21" t="s">
        <v>181</v>
      </c>
      <c r="B194" s="21">
        <v>2023</v>
      </c>
      <c r="C194" s="21">
        <v>7</v>
      </c>
      <c r="D194" s="21" t="s">
        <v>220</v>
      </c>
      <c r="E194" s="21">
        <v>32.4</v>
      </c>
      <c r="F194" s="21">
        <v>3230.49</v>
      </c>
      <c r="G194" s="21">
        <v>110233.42</v>
      </c>
    </row>
    <row r="195" spans="1:7" ht="15" customHeight="1" x14ac:dyDescent="0.3">
      <c r="A195" s="21" t="s">
        <v>182</v>
      </c>
      <c r="B195" s="21">
        <v>2023</v>
      </c>
      <c r="C195" s="21">
        <v>8</v>
      </c>
      <c r="D195" s="21" t="s">
        <v>220</v>
      </c>
      <c r="E195" s="21">
        <v>32</v>
      </c>
      <c r="F195" s="21">
        <v>3382.62</v>
      </c>
      <c r="G195" s="21">
        <v>115921.14</v>
      </c>
    </row>
    <row r="196" spans="1:7" ht="15" customHeight="1" x14ac:dyDescent="0.3">
      <c r="A196" s="21" t="s">
        <v>183</v>
      </c>
      <c r="B196" s="21">
        <v>2023</v>
      </c>
      <c r="C196" s="21">
        <v>9</v>
      </c>
      <c r="D196" s="21" t="s">
        <v>220</v>
      </c>
      <c r="E196" s="21">
        <v>31.7</v>
      </c>
      <c r="F196" s="21">
        <v>3352.12</v>
      </c>
      <c r="G196" s="21">
        <v>115100.19</v>
      </c>
    </row>
    <row r="197" spans="1:7" ht="15" customHeight="1" x14ac:dyDescent="0.3">
      <c r="A197" s="21" t="s">
        <v>184</v>
      </c>
      <c r="B197" s="21">
        <v>2023</v>
      </c>
      <c r="C197" s="21">
        <v>10</v>
      </c>
      <c r="D197" s="21" t="s">
        <v>220</v>
      </c>
      <c r="E197" s="21">
        <v>32.700000000000003</v>
      </c>
      <c r="F197" s="21">
        <v>3729.76</v>
      </c>
      <c r="G197" s="21">
        <v>127273.27</v>
      </c>
    </row>
    <row r="198" spans="1:7" ht="15" customHeight="1" x14ac:dyDescent="0.3">
      <c r="A198" s="21" t="s">
        <v>185</v>
      </c>
      <c r="B198" s="21">
        <v>2023</v>
      </c>
      <c r="C198" s="21">
        <v>11</v>
      </c>
      <c r="D198" s="21" t="s">
        <v>220</v>
      </c>
      <c r="E198" s="21">
        <v>33.200000000000003</v>
      </c>
      <c r="F198" s="21">
        <v>3709.95</v>
      </c>
      <c r="G198" s="21">
        <v>127178.41</v>
      </c>
    </row>
    <row r="199" spans="1:7" ht="15" customHeight="1" x14ac:dyDescent="0.3">
      <c r="A199" s="21" t="s">
        <v>186</v>
      </c>
      <c r="B199" s="21">
        <v>2023</v>
      </c>
      <c r="C199" s="21">
        <v>12</v>
      </c>
      <c r="D199" s="21" t="s">
        <v>220</v>
      </c>
      <c r="E199" s="21">
        <v>33</v>
      </c>
      <c r="F199" s="21">
        <v>3966.88</v>
      </c>
      <c r="G199" s="21">
        <v>135391.89000000001</v>
      </c>
    </row>
    <row r="200" spans="1:7" ht="15" customHeight="1" x14ac:dyDescent="0.3">
      <c r="A200" s="21" t="s">
        <v>187</v>
      </c>
      <c r="B200" s="21">
        <v>2024</v>
      </c>
      <c r="C200" s="21">
        <v>1</v>
      </c>
      <c r="D200" s="21" t="s">
        <v>220</v>
      </c>
      <c r="E200" s="21">
        <v>32.9</v>
      </c>
      <c r="F200" s="21">
        <v>4008.9</v>
      </c>
      <c r="G200" s="21">
        <v>137464.82</v>
      </c>
    </row>
    <row r="201" spans="1:7" ht="15" customHeight="1" x14ac:dyDescent="0.3">
      <c r="A201" s="21" t="s">
        <v>188</v>
      </c>
      <c r="B201" s="21">
        <v>2024</v>
      </c>
      <c r="C201" s="21">
        <v>2</v>
      </c>
      <c r="D201" s="21" t="s">
        <v>220</v>
      </c>
      <c r="E201" s="21">
        <v>32.6</v>
      </c>
      <c r="F201" s="21">
        <v>3734.44</v>
      </c>
      <c r="G201" s="21">
        <v>128114.82</v>
      </c>
    </row>
    <row r="202" spans="1:7" ht="15" customHeight="1" x14ac:dyDescent="0.3">
      <c r="A202" s="21" t="s">
        <v>189</v>
      </c>
      <c r="B202" s="21">
        <v>2024</v>
      </c>
      <c r="C202" s="21">
        <v>3</v>
      </c>
      <c r="D202" s="21" t="s">
        <v>220</v>
      </c>
      <c r="E202" s="21">
        <v>32.5</v>
      </c>
      <c r="F202" s="21">
        <v>4367.38</v>
      </c>
      <c r="G202" s="21">
        <v>149563</v>
      </c>
    </row>
    <row r="203" spans="1:7" ht="15" customHeight="1" x14ac:dyDescent="0.3">
      <c r="A203" s="21" t="s">
        <v>190</v>
      </c>
      <c r="B203" s="21">
        <v>2024</v>
      </c>
      <c r="C203" s="21">
        <v>4</v>
      </c>
      <c r="D203" s="21" t="s">
        <v>220</v>
      </c>
      <c r="E203" s="21">
        <v>33.5</v>
      </c>
      <c r="F203" s="21">
        <v>4467.54</v>
      </c>
      <c r="G203" s="21">
        <v>153047.14000000001</v>
      </c>
    </row>
    <row r="204" spans="1:7" ht="15" customHeight="1" x14ac:dyDescent="0.3">
      <c r="A204" s="21" t="s">
        <v>191</v>
      </c>
      <c r="B204" s="21">
        <v>2024</v>
      </c>
      <c r="C204" s="21">
        <v>5</v>
      </c>
      <c r="D204" s="21" t="s">
        <v>220</v>
      </c>
      <c r="E204" s="21">
        <v>33.700000000000003</v>
      </c>
      <c r="F204" s="21">
        <v>4724.91</v>
      </c>
      <c r="G204" s="21">
        <v>161715.94</v>
      </c>
    </row>
    <row r="205" spans="1:7" ht="15" customHeight="1" x14ac:dyDescent="0.3">
      <c r="A205" s="21" t="s">
        <v>192</v>
      </c>
      <c r="B205" s="21">
        <v>2024</v>
      </c>
      <c r="C205" s="21">
        <v>6</v>
      </c>
      <c r="D205" s="21" t="s">
        <v>220</v>
      </c>
      <c r="E205" s="21">
        <v>32.5</v>
      </c>
      <c r="F205" s="21">
        <v>4515.58</v>
      </c>
      <c r="G205" s="21">
        <v>154554</v>
      </c>
    </row>
    <row r="206" spans="1:7" ht="15" customHeight="1" x14ac:dyDescent="0.3">
      <c r="A206" s="21" t="s">
        <v>193</v>
      </c>
      <c r="B206" s="21">
        <v>2024</v>
      </c>
      <c r="C206" s="21">
        <v>7</v>
      </c>
      <c r="D206" s="21" t="s">
        <v>220</v>
      </c>
      <c r="E206" s="21">
        <v>34.200000000000003</v>
      </c>
      <c r="F206" s="21">
        <v>4934.17</v>
      </c>
      <c r="G206" s="21">
        <v>168640.92</v>
      </c>
    </row>
    <row r="207" spans="1:7" ht="15" customHeight="1" x14ac:dyDescent="0.3">
      <c r="A207" s="21" t="s">
        <v>194</v>
      </c>
      <c r="B207" s="21">
        <v>2024</v>
      </c>
      <c r="C207" s="21">
        <v>8</v>
      </c>
      <c r="D207" s="21" t="s">
        <v>220</v>
      </c>
      <c r="E207" s="21">
        <v>33.799999999999997</v>
      </c>
      <c r="F207" s="21">
        <v>5078.5</v>
      </c>
      <c r="G207" s="21">
        <v>173814.63</v>
      </c>
    </row>
    <row r="208" spans="1:7" ht="15" customHeight="1" x14ac:dyDescent="0.3">
      <c r="A208" s="21" t="s">
        <v>195</v>
      </c>
      <c r="B208" s="21">
        <v>2024</v>
      </c>
      <c r="C208" s="21">
        <v>9</v>
      </c>
      <c r="D208" s="21" t="s">
        <v>220</v>
      </c>
      <c r="E208" s="21">
        <v>34.299999999999997</v>
      </c>
      <c r="F208" s="21">
        <v>5152.5</v>
      </c>
      <c r="G208" s="21">
        <v>176188.66</v>
      </c>
    </row>
    <row r="209" spans="1:7" ht="15" customHeight="1" x14ac:dyDescent="0.3">
      <c r="A209" s="21" t="s">
        <v>196</v>
      </c>
      <c r="B209" s="21">
        <v>2024</v>
      </c>
      <c r="C209" s="21">
        <v>10</v>
      </c>
      <c r="D209" s="21" t="s">
        <v>220</v>
      </c>
      <c r="E209" s="21">
        <v>33</v>
      </c>
      <c r="F209" s="21">
        <v>5468.74</v>
      </c>
      <c r="G209" s="21">
        <v>187161.85</v>
      </c>
    </row>
    <row r="210" spans="1:7" ht="15" customHeight="1" x14ac:dyDescent="0.3">
      <c r="A210" s="21" t="s">
        <v>197</v>
      </c>
      <c r="B210" s="21">
        <v>2024</v>
      </c>
      <c r="C210" s="21">
        <v>11</v>
      </c>
      <c r="D210" s="21" t="s">
        <v>220</v>
      </c>
      <c r="E210" s="21">
        <v>33.1</v>
      </c>
      <c r="F210" s="21">
        <v>5118.82</v>
      </c>
      <c r="G210" s="21">
        <v>175256.95</v>
      </c>
    </row>
    <row r="211" spans="1:7" ht="15" customHeight="1" x14ac:dyDescent="0.3">
      <c r="A211" s="21" t="s">
        <v>198</v>
      </c>
      <c r="B211" s="21">
        <v>2024</v>
      </c>
      <c r="C211" s="21">
        <v>12</v>
      </c>
      <c r="D211" s="21" t="s">
        <v>220</v>
      </c>
      <c r="E211" s="21">
        <v>33.700000000000003</v>
      </c>
      <c r="F211" s="21">
        <v>5645.2</v>
      </c>
      <c r="G211" s="21">
        <v>193304.4</v>
      </c>
    </row>
    <row r="212" spans="1:7" ht="15" customHeight="1" x14ac:dyDescent="0.3">
      <c r="A212" s="21" t="s">
        <v>199</v>
      </c>
      <c r="B212" s="21">
        <v>2025</v>
      </c>
      <c r="C212" s="21">
        <v>1</v>
      </c>
      <c r="D212" s="21" t="s">
        <v>220</v>
      </c>
      <c r="E212" s="21">
        <v>34.200000000000003</v>
      </c>
      <c r="F212" s="21">
        <v>5805.69</v>
      </c>
      <c r="G212" s="21">
        <v>198935.48</v>
      </c>
    </row>
    <row r="213" spans="1:7" ht="15" customHeight="1" x14ac:dyDescent="0.3">
      <c r="A213" s="21" t="s">
        <v>200</v>
      </c>
      <c r="B213" s="21">
        <v>2025</v>
      </c>
      <c r="C213" s="21">
        <v>2</v>
      </c>
      <c r="D213" s="21" t="s">
        <v>220</v>
      </c>
      <c r="E213" s="21">
        <v>34.9</v>
      </c>
      <c r="F213" s="21">
        <v>5461.57</v>
      </c>
      <c r="G213" s="21">
        <v>187117.06</v>
      </c>
    </row>
    <row r="214" spans="1:7" ht="15" customHeight="1" x14ac:dyDescent="0.3">
      <c r="A214" s="21" t="s">
        <v>85</v>
      </c>
      <c r="B214" s="21">
        <v>2016</v>
      </c>
      <c r="C214" s="21">
        <v>8</v>
      </c>
      <c r="D214" s="21" t="s">
        <v>221</v>
      </c>
      <c r="E214" s="21">
        <v>35.4</v>
      </c>
      <c r="F214" s="21">
        <v>0.03</v>
      </c>
      <c r="G214" s="21">
        <v>1.0900000000000001</v>
      </c>
    </row>
    <row r="215" spans="1:7" ht="15" customHeight="1" x14ac:dyDescent="0.3">
      <c r="A215" s="21" t="s">
        <v>89</v>
      </c>
      <c r="B215" s="21">
        <v>2016</v>
      </c>
      <c r="C215" s="21">
        <v>9</v>
      </c>
      <c r="D215" s="21" t="s">
        <v>221</v>
      </c>
      <c r="E215" s="21">
        <v>34.6</v>
      </c>
      <c r="F215" s="21">
        <v>0.04</v>
      </c>
      <c r="G215" s="21">
        <v>1.83</v>
      </c>
    </row>
    <row r="216" spans="1:7" ht="15" customHeight="1" x14ac:dyDescent="0.3">
      <c r="A216" s="21" t="s">
        <v>91</v>
      </c>
      <c r="B216" s="21">
        <v>2016</v>
      </c>
      <c r="C216" s="21">
        <v>10</v>
      </c>
      <c r="D216" s="21" t="s">
        <v>221</v>
      </c>
      <c r="E216" s="21">
        <v>33.9</v>
      </c>
      <c r="F216" s="21">
        <v>0.1</v>
      </c>
      <c r="G216" s="21">
        <v>5.43</v>
      </c>
    </row>
    <row r="217" spans="1:7" ht="15" customHeight="1" x14ac:dyDescent="0.3">
      <c r="A217" s="21" t="s">
        <v>94</v>
      </c>
      <c r="B217" s="21">
        <v>2016</v>
      </c>
      <c r="C217" s="21">
        <v>11</v>
      </c>
      <c r="D217" s="21" t="s">
        <v>221</v>
      </c>
      <c r="E217" s="21">
        <v>34.799999999999997</v>
      </c>
      <c r="F217" s="21">
        <v>0.17</v>
      </c>
      <c r="G217" s="21">
        <v>8.3699999999999992</v>
      </c>
    </row>
    <row r="218" spans="1:7" ht="15" customHeight="1" x14ac:dyDescent="0.3">
      <c r="A218" s="21" t="s">
        <v>97</v>
      </c>
      <c r="B218" s="21">
        <v>2016</v>
      </c>
      <c r="C218" s="21">
        <v>12</v>
      </c>
      <c r="D218" s="21" t="s">
        <v>221</v>
      </c>
      <c r="E218" s="21">
        <v>33.4</v>
      </c>
      <c r="F218" s="21">
        <v>0.67</v>
      </c>
      <c r="G218" s="21">
        <v>23.84</v>
      </c>
    </row>
    <row r="219" spans="1:7" ht="15" customHeight="1" x14ac:dyDescent="0.3">
      <c r="A219" s="21" t="s">
        <v>99</v>
      </c>
      <c r="B219" s="21">
        <v>2017</v>
      </c>
      <c r="C219" s="21">
        <v>1</v>
      </c>
      <c r="D219" s="21" t="s">
        <v>221</v>
      </c>
      <c r="E219" s="21">
        <v>34.4</v>
      </c>
      <c r="F219" s="21">
        <v>1.45</v>
      </c>
      <c r="G219" s="21">
        <v>58.36</v>
      </c>
    </row>
    <row r="220" spans="1:7" ht="15" customHeight="1" x14ac:dyDescent="0.3">
      <c r="A220" s="21" t="s">
        <v>101</v>
      </c>
      <c r="B220" s="21">
        <v>2017</v>
      </c>
      <c r="C220" s="21">
        <v>2</v>
      </c>
      <c r="D220" s="21" t="s">
        <v>221</v>
      </c>
      <c r="E220" s="21">
        <v>33.200000000000003</v>
      </c>
      <c r="F220" s="21">
        <v>1.39</v>
      </c>
      <c r="G220" s="21">
        <v>63.36</v>
      </c>
    </row>
    <row r="221" spans="1:7" ht="15" customHeight="1" x14ac:dyDescent="0.3">
      <c r="A221" s="21" t="s">
        <v>103</v>
      </c>
      <c r="B221" s="21">
        <v>2017</v>
      </c>
      <c r="C221" s="21">
        <v>3</v>
      </c>
      <c r="D221" s="21" t="s">
        <v>221</v>
      </c>
      <c r="E221" s="21">
        <v>33.9</v>
      </c>
      <c r="F221" s="21">
        <v>2.1</v>
      </c>
      <c r="G221" s="21">
        <v>79.599999999999994</v>
      </c>
    </row>
    <row r="222" spans="1:7" ht="15" customHeight="1" x14ac:dyDescent="0.3">
      <c r="A222" s="21" t="s">
        <v>105</v>
      </c>
      <c r="B222" s="21">
        <v>2017</v>
      </c>
      <c r="C222" s="21">
        <v>4</v>
      </c>
      <c r="D222" s="21" t="s">
        <v>221</v>
      </c>
      <c r="E222" s="21">
        <v>33.1</v>
      </c>
      <c r="F222" s="21">
        <v>2.29</v>
      </c>
      <c r="G222" s="21">
        <v>89.49</v>
      </c>
    </row>
    <row r="223" spans="1:7" ht="15" customHeight="1" x14ac:dyDescent="0.3">
      <c r="A223" s="21" t="s">
        <v>107</v>
      </c>
      <c r="B223" s="21">
        <v>2017</v>
      </c>
      <c r="C223" s="21">
        <v>5</v>
      </c>
      <c r="D223" s="21" t="s">
        <v>221</v>
      </c>
      <c r="E223" s="21">
        <v>32.5</v>
      </c>
      <c r="F223" s="21">
        <v>3.02</v>
      </c>
      <c r="G223" s="21">
        <v>129.84</v>
      </c>
    </row>
    <row r="224" spans="1:7" ht="15" customHeight="1" x14ac:dyDescent="0.3">
      <c r="A224" s="21" t="s">
        <v>108</v>
      </c>
      <c r="B224" s="21">
        <v>2017</v>
      </c>
      <c r="C224" s="21">
        <v>6</v>
      </c>
      <c r="D224" s="21" t="s">
        <v>221</v>
      </c>
      <c r="E224" s="21">
        <v>32</v>
      </c>
      <c r="F224" s="21">
        <v>3.26</v>
      </c>
      <c r="G224" s="21">
        <v>143.97999999999999</v>
      </c>
    </row>
    <row r="225" spans="1:7" ht="15" customHeight="1" x14ac:dyDescent="0.3">
      <c r="A225" s="21" t="s">
        <v>109</v>
      </c>
      <c r="B225" s="21">
        <v>2017</v>
      </c>
      <c r="C225" s="21">
        <v>7</v>
      </c>
      <c r="D225" s="21" t="s">
        <v>221</v>
      </c>
      <c r="E225" s="21">
        <v>31.8</v>
      </c>
      <c r="F225" s="21">
        <v>5.28</v>
      </c>
      <c r="G225" s="21">
        <v>171.77</v>
      </c>
    </row>
    <row r="226" spans="1:7" ht="15" customHeight="1" x14ac:dyDescent="0.3">
      <c r="A226" s="21" t="s">
        <v>110</v>
      </c>
      <c r="B226" s="21">
        <v>2017</v>
      </c>
      <c r="C226" s="21">
        <v>8</v>
      </c>
      <c r="D226" s="21" t="s">
        <v>221</v>
      </c>
      <c r="E226" s="21">
        <v>31.9</v>
      </c>
      <c r="F226" s="21">
        <v>9.83</v>
      </c>
      <c r="G226" s="21">
        <v>338.35</v>
      </c>
    </row>
    <row r="227" spans="1:7" ht="15" customHeight="1" x14ac:dyDescent="0.3">
      <c r="A227" s="21" t="s">
        <v>111</v>
      </c>
      <c r="B227" s="21">
        <v>2017</v>
      </c>
      <c r="C227" s="21">
        <v>9</v>
      </c>
      <c r="D227" s="21" t="s">
        <v>221</v>
      </c>
      <c r="E227" s="21">
        <v>31.5</v>
      </c>
      <c r="F227" s="21">
        <v>16.649999999999999</v>
      </c>
      <c r="G227" s="21">
        <v>617.76</v>
      </c>
    </row>
    <row r="228" spans="1:7" ht="15" customHeight="1" x14ac:dyDescent="0.3">
      <c r="A228" s="21" t="s">
        <v>112</v>
      </c>
      <c r="B228" s="21">
        <v>2017</v>
      </c>
      <c r="C228" s="21">
        <v>10</v>
      </c>
      <c r="D228" s="21" t="s">
        <v>221</v>
      </c>
      <c r="E228" s="21">
        <v>30.9</v>
      </c>
      <c r="F228" s="21">
        <v>23.7</v>
      </c>
      <c r="G228" s="21">
        <v>836.3</v>
      </c>
    </row>
    <row r="229" spans="1:7" ht="15" customHeight="1" x14ac:dyDescent="0.3">
      <c r="A229" s="21" t="s">
        <v>113</v>
      </c>
      <c r="B229" s="21">
        <v>2017</v>
      </c>
      <c r="C229" s="21">
        <v>11</v>
      </c>
      <c r="D229" s="21" t="s">
        <v>221</v>
      </c>
      <c r="E229" s="21">
        <v>30.8</v>
      </c>
      <c r="F229" s="21">
        <v>32.28</v>
      </c>
      <c r="G229" s="21">
        <v>1208.57</v>
      </c>
    </row>
    <row r="230" spans="1:7" ht="15" customHeight="1" x14ac:dyDescent="0.3">
      <c r="A230" s="21" t="s">
        <v>114</v>
      </c>
      <c r="B230" s="21">
        <v>2017</v>
      </c>
      <c r="C230" s="21">
        <v>12</v>
      </c>
      <c r="D230" s="21" t="s">
        <v>221</v>
      </c>
      <c r="E230" s="21">
        <v>30.6</v>
      </c>
      <c r="F230" s="21">
        <v>44.59</v>
      </c>
      <c r="G230" s="21">
        <v>1538.49</v>
      </c>
    </row>
    <row r="231" spans="1:7" ht="15" customHeight="1" x14ac:dyDescent="0.3">
      <c r="A231" s="21" t="s">
        <v>115</v>
      </c>
      <c r="B231" s="21">
        <v>2018</v>
      </c>
      <c r="C231" s="21">
        <v>1</v>
      </c>
      <c r="D231" s="21" t="s">
        <v>221</v>
      </c>
      <c r="E231" s="21">
        <v>29.3</v>
      </c>
      <c r="F231" s="21">
        <v>44.43</v>
      </c>
      <c r="G231" s="21">
        <v>1540.72</v>
      </c>
    </row>
    <row r="232" spans="1:7" ht="15" customHeight="1" x14ac:dyDescent="0.3">
      <c r="A232" s="21" t="s">
        <v>116</v>
      </c>
      <c r="B232" s="21">
        <v>2018</v>
      </c>
      <c r="C232" s="21">
        <v>2</v>
      </c>
      <c r="D232" s="21" t="s">
        <v>221</v>
      </c>
      <c r="E232" s="21">
        <v>30.3</v>
      </c>
      <c r="F232" s="21">
        <v>51.91</v>
      </c>
      <c r="G232" s="21">
        <v>1788.8</v>
      </c>
    </row>
    <row r="233" spans="1:7" ht="15" customHeight="1" x14ac:dyDescent="0.3">
      <c r="A233" s="21" t="s">
        <v>117</v>
      </c>
      <c r="B233" s="21">
        <v>2018</v>
      </c>
      <c r="C233" s="21">
        <v>3</v>
      </c>
      <c r="D233" s="21" t="s">
        <v>221</v>
      </c>
      <c r="E233" s="21">
        <v>29.3</v>
      </c>
      <c r="F233" s="21">
        <v>52.17</v>
      </c>
      <c r="G233" s="21">
        <v>1786.96</v>
      </c>
    </row>
    <row r="234" spans="1:7" ht="15" customHeight="1" x14ac:dyDescent="0.3">
      <c r="A234" s="21" t="s">
        <v>118</v>
      </c>
      <c r="B234" s="21">
        <v>2018</v>
      </c>
      <c r="C234" s="21">
        <v>4</v>
      </c>
      <c r="D234" s="21" t="s">
        <v>221</v>
      </c>
      <c r="E234" s="21">
        <v>28.9</v>
      </c>
      <c r="F234" s="21">
        <v>54.97</v>
      </c>
      <c r="G234" s="21">
        <v>1861.56</v>
      </c>
    </row>
    <row r="235" spans="1:7" ht="15" customHeight="1" x14ac:dyDescent="0.3">
      <c r="A235" s="21" t="s">
        <v>119</v>
      </c>
      <c r="B235" s="21">
        <v>2018</v>
      </c>
      <c r="C235" s="21">
        <v>5</v>
      </c>
      <c r="D235" s="21" t="s">
        <v>221</v>
      </c>
      <c r="E235" s="21">
        <v>28.4</v>
      </c>
      <c r="F235" s="21">
        <v>63.77</v>
      </c>
      <c r="G235" s="21">
        <v>2163.73</v>
      </c>
    </row>
    <row r="236" spans="1:7" ht="15" customHeight="1" x14ac:dyDescent="0.3">
      <c r="A236" s="21" t="s">
        <v>120</v>
      </c>
      <c r="B236" s="21">
        <v>2018</v>
      </c>
      <c r="C236" s="21">
        <v>6</v>
      </c>
      <c r="D236" s="21" t="s">
        <v>221</v>
      </c>
      <c r="E236" s="21">
        <v>28.1</v>
      </c>
      <c r="F236" s="21">
        <v>69.150000000000006</v>
      </c>
      <c r="G236" s="21">
        <v>2346.98</v>
      </c>
    </row>
    <row r="237" spans="1:7" ht="15" customHeight="1" x14ac:dyDescent="0.3">
      <c r="A237" s="21" t="s">
        <v>121</v>
      </c>
      <c r="B237" s="21">
        <v>2018</v>
      </c>
      <c r="C237" s="21">
        <v>7</v>
      </c>
      <c r="D237" s="21" t="s">
        <v>221</v>
      </c>
      <c r="E237" s="21">
        <v>28</v>
      </c>
      <c r="F237" s="21">
        <v>66.02</v>
      </c>
      <c r="G237" s="21">
        <v>2320.79</v>
      </c>
    </row>
    <row r="238" spans="1:7" ht="15" customHeight="1" x14ac:dyDescent="0.3">
      <c r="A238" s="21" t="s">
        <v>122</v>
      </c>
      <c r="B238" s="21">
        <v>2018</v>
      </c>
      <c r="C238" s="21">
        <v>8</v>
      </c>
      <c r="D238" s="21" t="s">
        <v>221</v>
      </c>
      <c r="E238" s="21">
        <v>28.1</v>
      </c>
      <c r="F238" s="21">
        <v>87.62</v>
      </c>
      <c r="G238" s="21">
        <v>2969.86</v>
      </c>
    </row>
    <row r="239" spans="1:7" ht="15" customHeight="1" x14ac:dyDescent="0.3">
      <c r="A239" s="21" t="s">
        <v>123</v>
      </c>
      <c r="B239" s="21">
        <v>2018</v>
      </c>
      <c r="C239" s="21">
        <v>9</v>
      </c>
      <c r="D239" s="21" t="s">
        <v>221</v>
      </c>
      <c r="E239" s="21">
        <v>29.1</v>
      </c>
      <c r="F239" s="21">
        <v>118.14</v>
      </c>
      <c r="G239" s="21">
        <v>4123.1099999999997</v>
      </c>
    </row>
    <row r="240" spans="1:7" ht="15" customHeight="1" x14ac:dyDescent="0.3">
      <c r="A240" s="21" t="s">
        <v>124</v>
      </c>
      <c r="B240" s="21">
        <v>2018</v>
      </c>
      <c r="C240" s="21">
        <v>10</v>
      </c>
      <c r="D240" s="21" t="s">
        <v>221</v>
      </c>
      <c r="E240" s="21">
        <v>27.6</v>
      </c>
      <c r="F240" s="21">
        <v>133.11000000000001</v>
      </c>
      <c r="G240" s="21">
        <v>4715.43</v>
      </c>
    </row>
    <row r="241" spans="1:7" ht="15" customHeight="1" x14ac:dyDescent="0.3">
      <c r="A241" s="21" t="s">
        <v>125</v>
      </c>
      <c r="B241" s="21">
        <v>2018</v>
      </c>
      <c r="C241" s="21">
        <v>11</v>
      </c>
      <c r="D241" s="21" t="s">
        <v>221</v>
      </c>
      <c r="E241" s="21">
        <v>27.7</v>
      </c>
      <c r="F241" s="21">
        <v>145.28</v>
      </c>
      <c r="G241" s="21">
        <v>5046.92</v>
      </c>
    </row>
    <row r="242" spans="1:7" ht="15" customHeight="1" x14ac:dyDescent="0.3">
      <c r="A242" s="21" t="s">
        <v>126</v>
      </c>
      <c r="B242" s="21">
        <v>2018</v>
      </c>
      <c r="C242" s="21">
        <v>12</v>
      </c>
      <c r="D242" s="21" t="s">
        <v>221</v>
      </c>
      <c r="E242" s="21">
        <v>27.5</v>
      </c>
      <c r="F242" s="21">
        <v>170.83</v>
      </c>
      <c r="G242" s="21">
        <v>5798.29</v>
      </c>
    </row>
    <row r="243" spans="1:7" ht="15" customHeight="1" x14ac:dyDescent="0.3">
      <c r="A243" s="21" t="s">
        <v>127</v>
      </c>
      <c r="B243" s="21">
        <v>2019</v>
      </c>
      <c r="C243" s="21">
        <v>1</v>
      </c>
      <c r="D243" s="21" t="s">
        <v>221</v>
      </c>
      <c r="E243" s="21">
        <v>27.1</v>
      </c>
      <c r="F243" s="21">
        <v>182.33</v>
      </c>
      <c r="G243" s="21">
        <v>6258.49</v>
      </c>
    </row>
    <row r="244" spans="1:7" ht="15" customHeight="1" x14ac:dyDescent="0.3">
      <c r="A244" s="21" t="s">
        <v>128</v>
      </c>
      <c r="B244" s="21">
        <v>2019</v>
      </c>
      <c r="C244" s="21">
        <v>2</v>
      </c>
      <c r="D244" s="21" t="s">
        <v>221</v>
      </c>
      <c r="E244" s="21">
        <v>26.7</v>
      </c>
      <c r="F244" s="21">
        <v>180.19</v>
      </c>
      <c r="G244" s="21">
        <v>6159.27</v>
      </c>
    </row>
    <row r="245" spans="1:7" ht="15" customHeight="1" x14ac:dyDescent="0.3">
      <c r="A245" s="21" t="s">
        <v>129</v>
      </c>
      <c r="B245" s="21">
        <v>2019</v>
      </c>
      <c r="C245" s="21">
        <v>3</v>
      </c>
      <c r="D245" s="21" t="s">
        <v>221</v>
      </c>
      <c r="E245" s="21">
        <v>25.9</v>
      </c>
      <c r="F245" s="21">
        <v>207.01</v>
      </c>
      <c r="G245" s="21">
        <v>7001.09</v>
      </c>
    </row>
    <row r="246" spans="1:7" ht="15" customHeight="1" x14ac:dyDescent="0.3">
      <c r="A246" s="21" t="s">
        <v>130</v>
      </c>
      <c r="B246" s="21">
        <v>2019</v>
      </c>
      <c r="C246" s="21">
        <v>4</v>
      </c>
      <c r="D246" s="21" t="s">
        <v>221</v>
      </c>
      <c r="E246" s="21">
        <v>26.9</v>
      </c>
      <c r="F246" s="21">
        <v>210.68</v>
      </c>
      <c r="G246" s="21">
        <v>7245.55</v>
      </c>
    </row>
    <row r="247" spans="1:7" ht="15" customHeight="1" x14ac:dyDescent="0.3">
      <c r="A247" s="21" t="s">
        <v>131</v>
      </c>
      <c r="B247" s="21">
        <v>2019</v>
      </c>
      <c r="C247" s="21">
        <v>5</v>
      </c>
      <c r="D247" s="21" t="s">
        <v>221</v>
      </c>
      <c r="E247" s="21">
        <v>26.8</v>
      </c>
      <c r="F247" s="21">
        <v>196.88</v>
      </c>
      <c r="G247" s="21">
        <v>6735.35</v>
      </c>
    </row>
    <row r="248" spans="1:7" ht="15" customHeight="1" x14ac:dyDescent="0.3">
      <c r="A248" s="21" t="s">
        <v>132</v>
      </c>
      <c r="B248" s="21">
        <v>2019</v>
      </c>
      <c r="C248" s="21">
        <v>6</v>
      </c>
      <c r="D248" s="21" t="s">
        <v>221</v>
      </c>
      <c r="E248" s="21">
        <v>24.8</v>
      </c>
      <c r="F248" s="21">
        <v>187.31</v>
      </c>
      <c r="G248" s="21">
        <v>6399.97</v>
      </c>
    </row>
    <row r="249" spans="1:7" ht="15" customHeight="1" x14ac:dyDescent="0.3">
      <c r="A249" s="21" t="s">
        <v>133</v>
      </c>
      <c r="B249" s="21">
        <v>2019</v>
      </c>
      <c r="C249" s="21">
        <v>7</v>
      </c>
      <c r="D249" s="21" t="s">
        <v>221</v>
      </c>
      <c r="E249" s="21">
        <v>24.9</v>
      </c>
      <c r="F249" s="21">
        <v>204.59</v>
      </c>
      <c r="G249" s="21">
        <v>7080.64</v>
      </c>
    </row>
    <row r="250" spans="1:7" ht="15" customHeight="1" x14ac:dyDescent="0.3">
      <c r="A250" s="21" t="s">
        <v>134</v>
      </c>
      <c r="B250" s="21">
        <v>2019</v>
      </c>
      <c r="C250" s="21">
        <v>8</v>
      </c>
      <c r="D250" s="21" t="s">
        <v>221</v>
      </c>
      <c r="E250" s="21">
        <v>25</v>
      </c>
      <c r="F250" s="21">
        <v>229.37</v>
      </c>
      <c r="G250" s="21">
        <v>7902.71</v>
      </c>
    </row>
    <row r="251" spans="1:7" ht="15" customHeight="1" x14ac:dyDescent="0.3">
      <c r="A251" s="21" t="s">
        <v>135</v>
      </c>
      <c r="B251" s="21">
        <v>2019</v>
      </c>
      <c r="C251" s="21">
        <v>9</v>
      </c>
      <c r="D251" s="21" t="s">
        <v>221</v>
      </c>
      <c r="E251" s="21">
        <v>24.4</v>
      </c>
      <c r="F251" s="21">
        <v>232.65</v>
      </c>
      <c r="G251" s="21">
        <v>8202.2999999999993</v>
      </c>
    </row>
    <row r="252" spans="1:7" ht="15" customHeight="1" x14ac:dyDescent="0.3">
      <c r="A252" s="21" t="s">
        <v>136</v>
      </c>
      <c r="B252" s="21">
        <v>2019</v>
      </c>
      <c r="C252" s="21">
        <v>10</v>
      </c>
      <c r="D252" s="21" t="s">
        <v>221</v>
      </c>
      <c r="E252" s="21">
        <v>24.8</v>
      </c>
      <c r="F252" s="21">
        <v>285.05</v>
      </c>
      <c r="G252" s="21">
        <v>10037.11</v>
      </c>
    </row>
    <row r="253" spans="1:7" ht="15" customHeight="1" x14ac:dyDescent="0.3">
      <c r="A253" s="21" t="s">
        <v>137</v>
      </c>
      <c r="B253" s="21">
        <v>2019</v>
      </c>
      <c r="C253" s="21">
        <v>11</v>
      </c>
      <c r="D253" s="21" t="s">
        <v>221</v>
      </c>
      <c r="E253" s="21">
        <v>23.9</v>
      </c>
      <c r="F253" s="21">
        <v>291.66000000000003</v>
      </c>
      <c r="G253" s="21">
        <v>10443.52</v>
      </c>
    </row>
    <row r="254" spans="1:7" ht="15" customHeight="1" x14ac:dyDescent="0.3">
      <c r="A254" s="21" t="s">
        <v>138</v>
      </c>
      <c r="B254" s="21">
        <v>2019</v>
      </c>
      <c r="C254" s="21">
        <v>12</v>
      </c>
      <c r="D254" s="21" t="s">
        <v>221</v>
      </c>
      <c r="E254" s="21">
        <v>25.1</v>
      </c>
      <c r="F254" s="21">
        <v>328.44</v>
      </c>
      <c r="G254" s="21">
        <v>11663.21</v>
      </c>
    </row>
    <row r="255" spans="1:7" ht="15" customHeight="1" x14ac:dyDescent="0.3">
      <c r="A255" s="21" t="s">
        <v>139</v>
      </c>
      <c r="B255" s="21">
        <v>2020</v>
      </c>
      <c r="C255" s="21">
        <v>1</v>
      </c>
      <c r="D255" s="21" t="s">
        <v>221</v>
      </c>
      <c r="E255" s="21">
        <v>24.3</v>
      </c>
      <c r="F255" s="21">
        <v>317.01</v>
      </c>
      <c r="G255" s="21">
        <v>11217.26</v>
      </c>
    </row>
    <row r="256" spans="1:7" ht="15" customHeight="1" x14ac:dyDescent="0.3">
      <c r="A256" s="21" t="s">
        <v>140</v>
      </c>
      <c r="B256" s="21">
        <v>2020</v>
      </c>
      <c r="C256" s="21">
        <v>2</v>
      </c>
      <c r="D256" s="21" t="s">
        <v>221</v>
      </c>
      <c r="E256" s="21">
        <v>23.6</v>
      </c>
      <c r="F256" s="21">
        <v>312.56</v>
      </c>
      <c r="G256" s="21">
        <v>11017.24</v>
      </c>
    </row>
    <row r="257" spans="1:7" ht="15" customHeight="1" x14ac:dyDescent="0.3">
      <c r="A257" s="21" t="s">
        <v>141</v>
      </c>
      <c r="B257" s="21">
        <v>2020</v>
      </c>
      <c r="C257" s="21">
        <v>3</v>
      </c>
      <c r="D257" s="21" t="s">
        <v>221</v>
      </c>
      <c r="E257" s="21">
        <v>23.7</v>
      </c>
      <c r="F257" s="21">
        <v>295.61</v>
      </c>
      <c r="G257" s="21">
        <v>10309.16</v>
      </c>
    </row>
    <row r="258" spans="1:7" ht="15" customHeight="1" x14ac:dyDescent="0.3">
      <c r="A258" s="21" t="s">
        <v>142</v>
      </c>
      <c r="B258" s="21">
        <v>2020</v>
      </c>
      <c r="C258" s="21">
        <v>4</v>
      </c>
      <c r="D258" s="21" t="s">
        <v>221</v>
      </c>
      <c r="E258" s="21">
        <v>23.5</v>
      </c>
      <c r="F258" s="21">
        <v>234.65</v>
      </c>
      <c r="G258" s="21">
        <v>8032.28</v>
      </c>
    </row>
    <row r="259" spans="1:7" ht="15" customHeight="1" x14ac:dyDescent="0.3">
      <c r="A259" s="21" t="s">
        <v>143</v>
      </c>
      <c r="B259" s="21">
        <v>2020</v>
      </c>
      <c r="C259" s="21">
        <v>5</v>
      </c>
      <c r="D259" s="21" t="s">
        <v>221</v>
      </c>
      <c r="E259" s="21">
        <v>22.4</v>
      </c>
      <c r="F259" s="21">
        <v>276.10000000000002</v>
      </c>
      <c r="G259" s="21">
        <v>9413.4599999999991</v>
      </c>
    </row>
    <row r="260" spans="1:7" ht="15" customHeight="1" x14ac:dyDescent="0.3">
      <c r="A260" s="21" t="s">
        <v>144</v>
      </c>
      <c r="B260" s="21">
        <v>2020</v>
      </c>
      <c r="C260" s="21">
        <v>6</v>
      </c>
      <c r="D260" s="21" t="s">
        <v>221</v>
      </c>
      <c r="E260" s="21">
        <v>22</v>
      </c>
      <c r="F260" s="21">
        <v>294.35000000000002</v>
      </c>
      <c r="G260" s="21">
        <v>10114.620000000001</v>
      </c>
    </row>
    <row r="261" spans="1:7" ht="15" customHeight="1" x14ac:dyDescent="0.3">
      <c r="A261" s="21" t="s">
        <v>145</v>
      </c>
      <c r="B261" s="21">
        <v>2020</v>
      </c>
      <c r="C261" s="21">
        <v>7</v>
      </c>
      <c r="D261" s="21" t="s">
        <v>221</v>
      </c>
      <c r="E261" s="21">
        <v>22.1</v>
      </c>
      <c r="F261" s="21">
        <v>331.48</v>
      </c>
      <c r="G261" s="21">
        <v>11395.08</v>
      </c>
    </row>
    <row r="262" spans="1:7" ht="15" customHeight="1" x14ac:dyDescent="0.3">
      <c r="A262" s="21" t="s">
        <v>146</v>
      </c>
      <c r="B262" s="21">
        <v>2020</v>
      </c>
      <c r="C262" s="21">
        <v>8</v>
      </c>
      <c r="D262" s="21" t="s">
        <v>221</v>
      </c>
      <c r="E262" s="21">
        <v>22.3</v>
      </c>
      <c r="F262" s="21">
        <v>360.25</v>
      </c>
      <c r="G262" s="21">
        <v>12753.97</v>
      </c>
    </row>
    <row r="263" spans="1:7" ht="15" customHeight="1" x14ac:dyDescent="0.3">
      <c r="A263" s="21" t="s">
        <v>147</v>
      </c>
      <c r="B263" s="21">
        <v>2020</v>
      </c>
      <c r="C263" s="21">
        <v>9</v>
      </c>
      <c r="D263" s="21" t="s">
        <v>221</v>
      </c>
      <c r="E263" s="21">
        <v>21.6</v>
      </c>
      <c r="F263" s="21">
        <v>389.16</v>
      </c>
      <c r="G263" s="21">
        <v>13494.3</v>
      </c>
    </row>
    <row r="264" spans="1:7" ht="15" customHeight="1" x14ac:dyDescent="0.3">
      <c r="A264" s="21" t="s">
        <v>148</v>
      </c>
      <c r="B264" s="21">
        <v>2020</v>
      </c>
      <c r="C264" s="21">
        <v>10</v>
      </c>
      <c r="D264" s="21" t="s">
        <v>221</v>
      </c>
      <c r="E264" s="21">
        <v>20.5</v>
      </c>
      <c r="F264" s="21">
        <v>424.31</v>
      </c>
      <c r="G264" s="21">
        <v>14663.89</v>
      </c>
    </row>
    <row r="265" spans="1:7" ht="15" customHeight="1" x14ac:dyDescent="0.3">
      <c r="A265" s="21" t="s">
        <v>149</v>
      </c>
      <c r="B265" s="21">
        <v>2020</v>
      </c>
      <c r="C265" s="21">
        <v>11</v>
      </c>
      <c r="D265" s="21" t="s">
        <v>221</v>
      </c>
      <c r="E265" s="21">
        <v>20.6</v>
      </c>
      <c r="F265" s="21">
        <v>455.31</v>
      </c>
      <c r="G265" s="21">
        <v>15774.4</v>
      </c>
    </row>
    <row r="266" spans="1:7" ht="15" customHeight="1" x14ac:dyDescent="0.3">
      <c r="A266" s="21" t="s">
        <v>150</v>
      </c>
      <c r="B266" s="21">
        <v>2020</v>
      </c>
      <c r="C266" s="21">
        <v>12</v>
      </c>
      <c r="D266" s="21" t="s">
        <v>221</v>
      </c>
      <c r="E266" s="21">
        <v>20.7</v>
      </c>
      <c r="F266" s="21">
        <v>462.08</v>
      </c>
      <c r="G266" s="21">
        <v>16149.45</v>
      </c>
    </row>
    <row r="267" spans="1:7" ht="15" customHeight="1" x14ac:dyDescent="0.3">
      <c r="A267" s="21" t="s">
        <v>151</v>
      </c>
      <c r="B267" s="21">
        <v>2021</v>
      </c>
      <c r="C267" s="21">
        <v>1</v>
      </c>
      <c r="D267" s="21" t="s">
        <v>221</v>
      </c>
      <c r="E267" s="21">
        <v>20.399999999999999</v>
      </c>
      <c r="F267" s="21">
        <v>470.05</v>
      </c>
      <c r="G267" s="21">
        <v>16483.62</v>
      </c>
    </row>
    <row r="268" spans="1:7" ht="15" customHeight="1" x14ac:dyDescent="0.3">
      <c r="A268" s="21" t="s">
        <v>152</v>
      </c>
      <c r="B268" s="21">
        <v>2021</v>
      </c>
      <c r="C268" s="21">
        <v>2</v>
      </c>
      <c r="D268" s="21" t="s">
        <v>221</v>
      </c>
      <c r="E268" s="21">
        <v>21.2</v>
      </c>
      <c r="F268" s="21">
        <v>485.13</v>
      </c>
      <c r="G268" s="21">
        <v>17040.240000000002</v>
      </c>
    </row>
    <row r="269" spans="1:7" ht="15" customHeight="1" x14ac:dyDescent="0.3">
      <c r="A269" s="21" t="s">
        <v>153</v>
      </c>
      <c r="B269" s="21">
        <v>2021</v>
      </c>
      <c r="C269" s="21">
        <v>3</v>
      </c>
      <c r="D269" s="21" t="s">
        <v>221</v>
      </c>
      <c r="E269" s="21">
        <v>19.2</v>
      </c>
      <c r="F269" s="21">
        <v>524.75</v>
      </c>
      <c r="G269" s="21">
        <v>18100.61</v>
      </c>
    </row>
    <row r="270" spans="1:7" ht="15" customHeight="1" x14ac:dyDescent="0.3">
      <c r="A270" s="21" t="s">
        <v>154</v>
      </c>
      <c r="B270" s="21">
        <v>2021</v>
      </c>
      <c r="C270" s="21">
        <v>4</v>
      </c>
      <c r="D270" s="21" t="s">
        <v>221</v>
      </c>
      <c r="E270" s="21">
        <v>19.899999999999999</v>
      </c>
      <c r="F270" s="21">
        <v>525.08000000000004</v>
      </c>
      <c r="G270" s="21">
        <v>18061.2</v>
      </c>
    </row>
    <row r="271" spans="1:7" ht="15" customHeight="1" x14ac:dyDescent="0.3">
      <c r="A271" s="21" t="s">
        <v>155</v>
      </c>
      <c r="B271" s="21">
        <v>2021</v>
      </c>
      <c r="C271" s="21">
        <v>5</v>
      </c>
      <c r="D271" s="21" t="s">
        <v>221</v>
      </c>
      <c r="E271" s="21">
        <v>20.100000000000001</v>
      </c>
      <c r="F271" s="21">
        <v>509.77</v>
      </c>
      <c r="G271" s="21">
        <v>17516.98</v>
      </c>
    </row>
    <row r="272" spans="1:7" ht="15" customHeight="1" x14ac:dyDescent="0.3">
      <c r="A272" s="21" t="s">
        <v>156</v>
      </c>
      <c r="B272" s="21">
        <v>2021</v>
      </c>
      <c r="C272" s="21">
        <v>6</v>
      </c>
      <c r="D272" s="21" t="s">
        <v>221</v>
      </c>
      <c r="E272" s="21">
        <v>20.2</v>
      </c>
      <c r="F272" s="21">
        <v>566.46</v>
      </c>
      <c r="G272" s="21">
        <v>19444</v>
      </c>
    </row>
    <row r="273" spans="1:7" ht="15" customHeight="1" x14ac:dyDescent="0.3">
      <c r="A273" s="21" t="s">
        <v>157</v>
      </c>
      <c r="B273" s="21">
        <v>2021</v>
      </c>
      <c r="C273" s="21">
        <v>7</v>
      </c>
      <c r="D273" s="21" t="s">
        <v>221</v>
      </c>
      <c r="E273" s="21">
        <v>18.600000000000001</v>
      </c>
      <c r="F273" s="21">
        <v>603.25</v>
      </c>
      <c r="G273" s="21">
        <v>20430.27</v>
      </c>
    </row>
    <row r="274" spans="1:7" ht="15" customHeight="1" x14ac:dyDescent="0.3">
      <c r="A274" s="21" t="s">
        <v>158</v>
      </c>
      <c r="B274" s="21">
        <v>2021</v>
      </c>
      <c r="C274" s="21">
        <v>8</v>
      </c>
      <c r="D274" s="21" t="s">
        <v>221</v>
      </c>
      <c r="E274" s="21">
        <v>18.8</v>
      </c>
      <c r="F274" s="21">
        <v>667.42</v>
      </c>
      <c r="G274" s="21">
        <v>22582.720000000001</v>
      </c>
    </row>
    <row r="275" spans="1:7" ht="15" customHeight="1" x14ac:dyDescent="0.3">
      <c r="A275" s="21" t="s">
        <v>159</v>
      </c>
      <c r="B275" s="21">
        <v>2021</v>
      </c>
      <c r="C275" s="21">
        <v>9</v>
      </c>
      <c r="D275" s="21" t="s">
        <v>221</v>
      </c>
      <c r="E275" s="21">
        <v>18.5</v>
      </c>
      <c r="F275" s="21">
        <v>677.07</v>
      </c>
      <c r="G275" s="21">
        <v>22909.61</v>
      </c>
    </row>
    <row r="276" spans="1:7" ht="15" customHeight="1" x14ac:dyDescent="0.3">
      <c r="A276" s="21" t="s">
        <v>160</v>
      </c>
      <c r="B276" s="21">
        <v>2021</v>
      </c>
      <c r="C276" s="21">
        <v>10</v>
      </c>
      <c r="D276" s="21" t="s">
        <v>221</v>
      </c>
      <c r="E276" s="21">
        <v>18.100000000000001</v>
      </c>
      <c r="F276" s="21">
        <v>762.63</v>
      </c>
      <c r="G276" s="21">
        <v>25887.89</v>
      </c>
    </row>
    <row r="277" spans="1:7" ht="15" customHeight="1" x14ac:dyDescent="0.3">
      <c r="A277" s="21" t="s">
        <v>161</v>
      </c>
      <c r="B277" s="21">
        <v>2021</v>
      </c>
      <c r="C277" s="21">
        <v>11</v>
      </c>
      <c r="D277" s="21" t="s">
        <v>221</v>
      </c>
      <c r="E277" s="21">
        <v>17.7</v>
      </c>
      <c r="F277" s="21">
        <v>739.17</v>
      </c>
      <c r="G277" s="21">
        <v>25089.83</v>
      </c>
    </row>
    <row r="278" spans="1:7" ht="15" customHeight="1" x14ac:dyDescent="0.3">
      <c r="A278" s="21" t="s">
        <v>162</v>
      </c>
      <c r="B278" s="21">
        <v>2021</v>
      </c>
      <c r="C278" s="21">
        <v>12</v>
      </c>
      <c r="D278" s="21" t="s">
        <v>221</v>
      </c>
      <c r="E278" s="21">
        <v>17.600000000000001</v>
      </c>
      <c r="F278" s="21">
        <v>804.93</v>
      </c>
      <c r="G278" s="21">
        <v>27116.48</v>
      </c>
    </row>
    <row r="279" spans="1:7" ht="15" customHeight="1" x14ac:dyDescent="0.3">
      <c r="A279" s="21" t="s">
        <v>163</v>
      </c>
      <c r="B279" s="21">
        <v>2022</v>
      </c>
      <c r="C279" s="21">
        <v>1</v>
      </c>
      <c r="D279" s="21" t="s">
        <v>221</v>
      </c>
      <c r="E279" s="21">
        <v>15.9</v>
      </c>
      <c r="F279" s="21">
        <v>734.52</v>
      </c>
      <c r="G279" s="21">
        <v>24670.37</v>
      </c>
    </row>
    <row r="280" spans="1:7" ht="15" customHeight="1" x14ac:dyDescent="0.3">
      <c r="A280" s="21" t="s">
        <v>164</v>
      </c>
      <c r="B280" s="21">
        <v>2022</v>
      </c>
      <c r="C280" s="21">
        <v>2</v>
      </c>
      <c r="D280" s="21" t="s">
        <v>221</v>
      </c>
      <c r="E280" s="21">
        <v>17.2</v>
      </c>
      <c r="F280" s="21">
        <v>779.79</v>
      </c>
      <c r="G280" s="21">
        <v>26200.22</v>
      </c>
    </row>
    <row r="281" spans="1:7" ht="15" customHeight="1" x14ac:dyDescent="0.3">
      <c r="A281" s="21" t="s">
        <v>165</v>
      </c>
      <c r="B281" s="21">
        <v>2022</v>
      </c>
      <c r="C281" s="21">
        <v>3</v>
      </c>
      <c r="D281" s="21" t="s">
        <v>221</v>
      </c>
      <c r="E281" s="21">
        <v>16.7</v>
      </c>
      <c r="F281" s="21">
        <v>900.96</v>
      </c>
      <c r="G281" s="21">
        <v>30172.720000000001</v>
      </c>
    </row>
    <row r="282" spans="1:7" ht="15" customHeight="1" x14ac:dyDescent="0.3">
      <c r="A282" s="21" t="s">
        <v>166</v>
      </c>
      <c r="B282" s="21">
        <v>2022</v>
      </c>
      <c r="C282" s="21">
        <v>4</v>
      </c>
      <c r="D282" s="21" t="s">
        <v>221</v>
      </c>
      <c r="E282" s="21">
        <v>16.2</v>
      </c>
      <c r="F282" s="21">
        <v>905.19</v>
      </c>
      <c r="G282" s="21">
        <v>30984.2</v>
      </c>
    </row>
    <row r="283" spans="1:7" ht="15" customHeight="1" x14ac:dyDescent="0.3">
      <c r="A283" s="21" t="s">
        <v>167</v>
      </c>
      <c r="B283" s="21">
        <v>2022</v>
      </c>
      <c r="C283" s="21">
        <v>5</v>
      </c>
      <c r="D283" s="21" t="s">
        <v>221</v>
      </c>
      <c r="E283" s="21">
        <v>17.100000000000001</v>
      </c>
      <c r="F283" s="21">
        <v>1017.25</v>
      </c>
      <c r="G283" s="21">
        <v>34676.980000000003</v>
      </c>
    </row>
    <row r="284" spans="1:7" ht="15" customHeight="1" x14ac:dyDescent="0.3">
      <c r="A284" s="21" t="s">
        <v>168</v>
      </c>
      <c r="B284" s="21">
        <v>2022</v>
      </c>
      <c r="C284" s="21">
        <v>6</v>
      </c>
      <c r="D284" s="21" t="s">
        <v>221</v>
      </c>
      <c r="E284" s="21">
        <v>15.4</v>
      </c>
      <c r="F284" s="21">
        <v>905.19</v>
      </c>
      <c r="G284" s="21">
        <v>30584.76</v>
      </c>
    </row>
    <row r="285" spans="1:7" ht="15" customHeight="1" x14ac:dyDescent="0.3">
      <c r="A285" s="21" t="s">
        <v>169</v>
      </c>
      <c r="B285" s="21">
        <v>2022</v>
      </c>
      <c r="C285" s="21">
        <v>7</v>
      </c>
      <c r="D285" s="21" t="s">
        <v>221</v>
      </c>
      <c r="E285" s="21">
        <v>15.3</v>
      </c>
      <c r="F285" s="21">
        <v>961.36</v>
      </c>
      <c r="G285" s="21">
        <v>32233.08</v>
      </c>
    </row>
    <row r="286" spans="1:7" ht="15" customHeight="1" x14ac:dyDescent="0.3">
      <c r="A286" s="21" t="s">
        <v>170</v>
      </c>
      <c r="B286" s="21">
        <v>2022</v>
      </c>
      <c r="C286" s="21">
        <v>8</v>
      </c>
      <c r="D286" s="21" t="s">
        <v>221</v>
      </c>
      <c r="E286" s="21">
        <v>16.2</v>
      </c>
      <c r="F286" s="21">
        <v>1067.8399999999999</v>
      </c>
      <c r="G286" s="21">
        <v>36618.92</v>
      </c>
    </row>
    <row r="287" spans="1:7" ht="15" customHeight="1" x14ac:dyDescent="0.3">
      <c r="A287" s="21" t="s">
        <v>171</v>
      </c>
      <c r="B287" s="21">
        <v>2022</v>
      </c>
      <c r="C287" s="21">
        <v>9</v>
      </c>
      <c r="D287" s="21" t="s">
        <v>221</v>
      </c>
      <c r="E287" s="21">
        <v>14.5</v>
      </c>
      <c r="F287" s="21">
        <v>986.28</v>
      </c>
      <c r="G287" s="21">
        <v>34078.36</v>
      </c>
    </row>
    <row r="288" spans="1:7" ht="15" customHeight="1" x14ac:dyDescent="0.3">
      <c r="A288" s="21" t="s">
        <v>172</v>
      </c>
      <c r="B288" s="21">
        <v>2022</v>
      </c>
      <c r="C288" s="21">
        <v>10</v>
      </c>
      <c r="D288" s="21" t="s">
        <v>221</v>
      </c>
      <c r="E288" s="21">
        <v>14.4</v>
      </c>
      <c r="F288" s="21">
        <v>1052.74</v>
      </c>
      <c r="G288" s="21">
        <v>36255.74</v>
      </c>
    </row>
    <row r="289" spans="1:7" ht="15" customHeight="1" x14ac:dyDescent="0.3">
      <c r="A289" s="21" t="s">
        <v>173</v>
      </c>
      <c r="B289" s="21">
        <v>2022</v>
      </c>
      <c r="C289" s="21">
        <v>11</v>
      </c>
      <c r="D289" s="21" t="s">
        <v>221</v>
      </c>
      <c r="E289" s="21">
        <v>14.3</v>
      </c>
      <c r="F289" s="21">
        <v>1048.1300000000001</v>
      </c>
      <c r="G289" s="21">
        <v>35634.86</v>
      </c>
    </row>
    <row r="290" spans="1:7" ht="15" customHeight="1" x14ac:dyDescent="0.3">
      <c r="A290" s="21" t="s">
        <v>174</v>
      </c>
      <c r="B290" s="21">
        <v>2022</v>
      </c>
      <c r="C290" s="21">
        <v>12</v>
      </c>
      <c r="D290" s="21" t="s">
        <v>221</v>
      </c>
      <c r="E290" s="21">
        <v>14.6</v>
      </c>
      <c r="F290" s="21">
        <v>1139.72</v>
      </c>
      <c r="G290" s="21">
        <v>39040.629999999997</v>
      </c>
    </row>
    <row r="291" spans="1:7" ht="15" customHeight="1" x14ac:dyDescent="0.3">
      <c r="A291" s="21" t="s">
        <v>175</v>
      </c>
      <c r="B291" s="21">
        <v>2023</v>
      </c>
      <c r="C291" s="21">
        <v>1</v>
      </c>
      <c r="D291" s="21" t="s">
        <v>221</v>
      </c>
      <c r="E291" s="21">
        <v>14</v>
      </c>
      <c r="F291" s="21">
        <v>1122.6400000000001</v>
      </c>
      <c r="G291" s="21">
        <v>38416.660000000003</v>
      </c>
    </row>
    <row r="292" spans="1:7" ht="15" customHeight="1" x14ac:dyDescent="0.3">
      <c r="A292" s="21" t="s">
        <v>176</v>
      </c>
      <c r="B292" s="21">
        <v>2023</v>
      </c>
      <c r="C292" s="21">
        <v>2</v>
      </c>
      <c r="D292" s="21" t="s">
        <v>221</v>
      </c>
      <c r="E292" s="21">
        <v>12.9</v>
      </c>
      <c r="F292" s="21">
        <v>975.82</v>
      </c>
      <c r="G292" s="21">
        <v>33390.160000000003</v>
      </c>
    </row>
    <row r="293" spans="1:7" ht="15" customHeight="1" x14ac:dyDescent="0.3">
      <c r="A293" s="21" t="s">
        <v>177</v>
      </c>
      <c r="B293" s="21">
        <v>2023</v>
      </c>
      <c r="C293" s="21">
        <v>3</v>
      </c>
      <c r="D293" s="21" t="s">
        <v>221</v>
      </c>
      <c r="E293" s="21">
        <v>13</v>
      </c>
      <c r="F293" s="21">
        <v>1129.53</v>
      </c>
      <c r="G293" s="21">
        <v>38669.29</v>
      </c>
    </row>
    <row r="294" spans="1:7" ht="15" customHeight="1" x14ac:dyDescent="0.3">
      <c r="A294" s="21" t="s">
        <v>178</v>
      </c>
      <c r="B294" s="21">
        <v>2023</v>
      </c>
      <c r="C294" s="21">
        <v>4</v>
      </c>
      <c r="D294" s="21" t="s">
        <v>221</v>
      </c>
      <c r="E294" s="21">
        <v>12.7</v>
      </c>
      <c r="F294" s="21">
        <v>1132.83</v>
      </c>
      <c r="G294" s="21">
        <v>39225.46</v>
      </c>
    </row>
    <row r="295" spans="1:7" ht="15" customHeight="1" x14ac:dyDescent="0.3">
      <c r="A295" s="21" t="s">
        <v>179</v>
      </c>
      <c r="B295" s="21">
        <v>2023</v>
      </c>
      <c r="C295" s="21">
        <v>5</v>
      </c>
      <c r="D295" s="21" t="s">
        <v>221</v>
      </c>
      <c r="E295" s="21">
        <v>12.7</v>
      </c>
      <c r="F295" s="21">
        <v>1147.51</v>
      </c>
      <c r="G295" s="21">
        <v>39940.85</v>
      </c>
    </row>
    <row r="296" spans="1:7" ht="15" customHeight="1" x14ac:dyDescent="0.3">
      <c r="A296" s="21" t="s">
        <v>180</v>
      </c>
      <c r="B296" s="21">
        <v>2023</v>
      </c>
      <c r="C296" s="21">
        <v>6</v>
      </c>
      <c r="D296" s="21" t="s">
        <v>221</v>
      </c>
      <c r="E296" s="21">
        <v>12.7</v>
      </c>
      <c r="F296" s="21">
        <v>1185.8399999999999</v>
      </c>
      <c r="G296" s="21">
        <v>41225.43</v>
      </c>
    </row>
    <row r="297" spans="1:7" ht="15" customHeight="1" x14ac:dyDescent="0.3">
      <c r="A297" s="21" t="s">
        <v>181</v>
      </c>
      <c r="B297" s="21">
        <v>2023</v>
      </c>
      <c r="C297" s="21">
        <v>7</v>
      </c>
      <c r="D297" s="21" t="s">
        <v>221</v>
      </c>
      <c r="E297" s="21">
        <v>12.4</v>
      </c>
      <c r="F297" s="21">
        <v>1238.01</v>
      </c>
      <c r="G297" s="21">
        <v>42244.28</v>
      </c>
    </row>
    <row r="298" spans="1:7" ht="15" customHeight="1" x14ac:dyDescent="0.3">
      <c r="A298" s="21" t="s">
        <v>182</v>
      </c>
      <c r="B298" s="21">
        <v>2023</v>
      </c>
      <c r="C298" s="21">
        <v>8</v>
      </c>
      <c r="D298" s="21" t="s">
        <v>221</v>
      </c>
      <c r="E298" s="21">
        <v>11.1</v>
      </c>
      <c r="F298" s="21">
        <v>1169.8699999999999</v>
      </c>
      <c r="G298" s="21">
        <v>40090.959999999999</v>
      </c>
    </row>
    <row r="299" spans="1:7" ht="15" customHeight="1" x14ac:dyDescent="0.3">
      <c r="A299" s="21" t="s">
        <v>183</v>
      </c>
      <c r="B299" s="21">
        <v>2023</v>
      </c>
      <c r="C299" s="21">
        <v>9</v>
      </c>
      <c r="D299" s="21" t="s">
        <v>221</v>
      </c>
      <c r="E299" s="21">
        <v>12.2</v>
      </c>
      <c r="F299" s="21">
        <v>1288.9100000000001</v>
      </c>
      <c r="G299" s="21">
        <v>44256.66</v>
      </c>
    </row>
    <row r="300" spans="1:7" ht="15" customHeight="1" x14ac:dyDescent="0.3">
      <c r="A300" s="21" t="s">
        <v>184</v>
      </c>
      <c r="B300" s="21">
        <v>2023</v>
      </c>
      <c r="C300" s="21">
        <v>10</v>
      </c>
      <c r="D300" s="21" t="s">
        <v>221</v>
      </c>
      <c r="E300" s="21">
        <v>11.5</v>
      </c>
      <c r="F300" s="21">
        <v>1313.1</v>
      </c>
      <c r="G300" s="21">
        <v>44807.89</v>
      </c>
    </row>
    <row r="301" spans="1:7" ht="15" customHeight="1" x14ac:dyDescent="0.3">
      <c r="A301" s="21" t="s">
        <v>185</v>
      </c>
      <c r="B301" s="21">
        <v>2023</v>
      </c>
      <c r="C301" s="21">
        <v>11</v>
      </c>
      <c r="D301" s="21" t="s">
        <v>221</v>
      </c>
      <c r="E301" s="21">
        <v>11.8</v>
      </c>
      <c r="F301" s="21">
        <v>1318.58</v>
      </c>
      <c r="G301" s="21">
        <v>45201.26</v>
      </c>
    </row>
    <row r="302" spans="1:7" ht="15" customHeight="1" x14ac:dyDescent="0.3">
      <c r="A302" s="21" t="s">
        <v>186</v>
      </c>
      <c r="B302" s="21">
        <v>2023</v>
      </c>
      <c r="C302" s="21">
        <v>12</v>
      </c>
      <c r="D302" s="21" t="s">
        <v>221</v>
      </c>
      <c r="E302" s="21">
        <v>11.1</v>
      </c>
      <c r="F302" s="21">
        <v>1330.04</v>
      </c>
      <c r="G302" s="21">
        <v>45395.13</v>
      </c>
    </row>
    <row r="303" spans="1:7" ht="15" customHeight="1" x14ac:dyDescent="0.3">
      <c r="A303" s="21" t="s">
        <v>187</v>
      </c>
      <c r="B303" s="21">
        <v>2024</v>
      </c>
      <c r="C303" s="21">
        <v>1</v>
      </c>
      <c r="D303" s="21" t="s">
        <v>221</v>
      </c>
      <c r="E303" s="21">
        <v>11.1</v>
      </c>
      <c r="F303" s="21">
        <v>1356.89</v>
      </c>
      <c r="G303" s="21">
        <v>46527.55</v>
      </c>
    </row>
    <row r="304" spans="1:7" ht="15" customHeight="1" x14ac:dyDescent="0.3">
      <c r="A304" s="21" t="s">
        <v>188</v>
      </c>
      <c r="B304" s="21">
        <v>2024</v>
      </c>
      <c r="C304" s="21">
        <v>2</v>
      </c>
      <c r="D304" s="21" t="s">
        <v>221</v>
      </c>
      <c r="E304" s="21">
        <v>10.5</v>
      </c>
      <c r="F304" s="21">
        <v>1204.23</v>
      </c>
      <c r="G304" s="21">
        <v>41312.639999999999</v>
      </c>
    </row>
    <row r="305" spans="1:7" ht="15" customHeight="1" x14ac:dyDescent="0.3">
      <c r="A305" s="21" t="s">
        <v>189</v>
      </c>
      <c r="B305" s="21">
        <v>2024</v>
      </c>
      <c r="C305" s="21">
        <v>3</v>
      </c>
      <c r="D305" s="21" t="s">
        <v>221</v>
      </c>
      <c r="E305" s="21">
        <v>10.7</v>
      </c>
      <c r="F305" s="21">
        <v>1437.64</v>
      </c>
      <c r="G305" s="21">
        <v>49232.49</v>
      </c>
    </row>
    <row r="306" spans="1:7" ht="15" customHeight="1" x14ac:dyDescent="0.3">
      <c r="A306" s="21" t="s">
        <v>190</v>
      </c>
      <c r="B306" s="21">
        <v>2024</v>
      </c>
      <c r="C306" s="21">
        <v>4</v>
      </c>
      <c r="D306" s="21" t="s">
        <v>221</v>
      </c>
      <c r="E306" s="21">
        <v>10</v>
      </c>
      <c r="F306" s="21">
        <v>1333.03</v>
      </c>
      <c r="G306" s="21">
        <v>45666.400000000001</v>
      </c>
    </row>
    <row r="307" spans="1:7" ht="15" customHeight="1" x14ac:dyDescent="0.3">
      <c r="A307" s="21" t="s">
        <v>191</v>
      </c>
      <c r="B307" s="21">
        <v>2024</v>
      </c>
      <c r="C307" s="21">
        <v>5</v>
      </c>
      <c r="D307" s="21" t="s">
        <v>221</v>
      </c>
      <c r="E307" s="21">
        <v>9.4</v>
      </c>
      <c r="F307" s="21">
        <v>1322.42</v>
      </c>
      <c r="G307" s="21">
        <v>45261.51</v>
      </c>
    </row>
    <row r="308" spans="1:7" ht="15" customHeight="1" x14ac:dyDescent="0.3">
      <c r="A308" s="21" t="s">
        <v>192</v>
      </c>
      <c r="B308" s="21">
        <v>2024</v>
      </c>
      <c r="C308" s="21">
        <v>6</v>
      </c>
      <c r="D308" s="21" t="s">
        <v>221</v>
      </c>
      <c r="E308" s="21">
        <v>10.3</v>
      </c>
      <c r="F308" s="21">
        <v>1434.64</v>
      </c>
      <c r="G308" s="21">
        <v>49103.199999999997</v>
      </c>
    </row>
    <row r="309" spans="1:7" ht="15" customHeight="1" x14ac:dyDescent="0.3">
      <c r="A309" s="21" t="s">
        <v>193</v>
      </c>
      <c r="B309" s="21">
        <v>2024</v>
      </c>
      <c r="C309" s="21">
        <v>7</v>
      </c>
      <c r="D309" s="21" t="s">
        <v>221</v>
      </c>
      <c r="E309" s="21">
        <v>9.4</v>
      </c>
      <c r="F309" s="21">
        <v>1352.18</v>
      </c>
      <c r="G309" s="21">
        <v>46215.08</v>
      </c>
    </row>
    <row r="310" spans="1:7" ht="15" customHeight="1" x14ac:dyDescent="0.3">
      <c r="A310" s="21" t="s">
        <v>194</v>
      </c>
      <c r="B310" s="21">
        <v>2024</v>
      </c>
      <c r="C310" s="21">
        <v>8</v>
      </c>
      <c r="D310" s="21" t="s">
        <v>221</v>
      </c>
      <c r="E310" s="21">
        <v>8.9</v>
      </c>
      <c r="F310" s="21">
        <v>1344.02</v>
      </c>
      <c r="G310" s="21">
        <v>45999.92</v>
      </c>
    </row>
    <row r="311" spans="1:7" ht="15" customHeight="1" x14ac:dyDescent="0.3">
      <c r="A311" s="21" t="s">
        <v>195</v>
      </c>
      <c r="B311" s="21">
        <v>2024</v>
      </c>
      <c r="C311" s="21">
        <v>9</v>
      </c>
      <c r="D311" s="21" t="s">
        <v>221</v>
      </c>
      <c r="E311" s="21">
        <v>7.7</v>
      </c>
      <c r="F311" s="21">
        <v>1163.25</v>
      </c>
      <c r="G311" s="21">
        <v>39777.230000000003</v>
      </c>
    </row>
    <row r="312" spans="1:7" ht="15" customHeight="1" x14ac:dyDescent="0.3">
      <c r="A312" s="21" t="s">
        <v>196</v>
      </c>
      <c r="B312" s="21">
        <v>2024</v>
      </c>
      <c r="C312" s="21">
        <v>10</v>
      </c>
      <c r="D312" s="21" t="s">
        <v>221</v>
      </c>
      <c r="E312" s="21">
        <v>7.5</v>
      </c>
      <c r="F312" s="21">
        <v>1236.1500000000001</v>
      </c>
      <c r="G312" s="21">
        <v>42306.02</v>
      </c>
    </row>
    <row r="313" spans="1:7" ht="15" customHeight="1" x14ac:dyDescent="0.3">
      <c r="A313" s="21" t="s">
        <v>197</v>
      </c>
      <c r="B313" s="21">
        <v>2024</v>
      </c>
      <c r="C313" s="21">
        <v>11</v>
      </c>
      <c r="D313" s="21" t="s">
        <v>221</v>
      </c>
      <c r="E313" s="21">
        <v>8</v>
      </c>
      <c r="F313" s="21">
        <v>1234.3</v>
      </c>
      <c r="G313" s="21">
        <v>42259.53</v>
      </c>
    </row>
    <row r="314" spans="1:7" ht="15" customHeight="1" x14ac:dyDescent="0.3">
      <c r="A314" s="21" t="s">
        <v>198</v>
      </c>
      <c r="B314" s="21">
        <v>2024</v>
      </c>
      <c r="C314" s="21">
        <v>12</v>
      </c>
      <c r="D314" s="21" t="s">
        <v>221</v>
      </c>
      <c r="E314" s="21">
        <v>7.6</v>
      </c>
      <c r="F314" s="21">
        <v>1274.9000000000001</v>
      </c>
      <c r="G314" s="21">
        <v>43655.27</v>
      </c>
    </row>
    <row r="315" spans="1:7" ht="15" customHeight="1" x14ac:dyDescent="0.3">
      <c r="A315" s="21" t="s">
        <v>199</v>
      </c>
      <c r="B315" s="21">
        <v>2025</v>
      </c>
      <c r="C315" s="21">
        <v>1</v>
      </c>
      <c r="D315" s="21" t="s">
        <v>221</v>
      </c>
      <c r="E315" s="21">
        <v>7</v>
      </c>
      <c r="F315" s="21">
        <v>1184.05</v>
      </c>
      <c r="G315" s="21">
        <v>40572.15</v>
      </c>
    </row>
    <row r="316" spans="1:7" ht="15" customHeight="1" x14ac:dyDescent="0.3">
      <c r="A316" s="21" t="s">
        <v>200</v>
      </c>
      <c r="B316" s="21">
        <v>2025</v>
      </c>
      <c r="C316" s="21">
        <v>2</v>
      </c>
      <c r="D316" s="21" t="s">
        <v>221</v>
      </c>
      <c r="E316" s="21">
        <v>7.1</v>
      </c>
      <c r="F316" s="21">
        <v>1106.53</v>
      </c>
      <c r="G316" s="21">
        <v>37910.559999999998</v>
      </c>
    </row>
    <row r="317" spans="1:7" ht="15" customHeight="1" x14ac:dyDescent="0.3">
      <c r="A317" s="21" t="s">
        <v>85</v>
      </c>
      <c r="B317" s="21">
        <v>2016</v>
      </c>
      <c r="C317" s="21">
        <v>8</v>
      </c>
      <c r="D317" s="21" t="s">
        <v>222</v>
      </c>
      <c r="E317" s="21">
        <v>8.8000000000000007</v>
      </c>
      <c r="F317" s="21">
        <v>0.01</v>
      </c>
      <c r="G317" s="21">
        <v>0.27</v>
      </c>
    </row>
    <row r="318" spans="1:7" ht="15" customHeight="1" x14ac:dyDescent="0.3">
      <c r="A318" s="21" t="s">
        <v>89</v>
      </c>
      <c r="B318" s="21">
        <v>2016</v>
      </c>
      <c r="C318" s="21">
        <v>9</v>
      </c>
      <c r="D318" s="21" t="s">
        <v>222</v>
      </c>
      <c r="E318" s="21">
        <v>8.3000000000000007</v>
      </c>
      <c r="F318" s="21">
        <v>0.01</v>
      </c>
      <c r="G318" s="21">
        <v>0.44</v>
      </c>
    </row>
    <row r="319" spans="1:7" ht="15" customHeight="1" x14ac:dyDescent="0.3">
      <c r="A319" s="21" t="s">
        <v>91</v>
      </c>
      <c r="B319" s="21">
        <v>2016</v>
      </c>
      <c r="C319" s="21">
        <v>10</v>
      </c>
      <c r="D319" s="21" t="s">
        <v>222</v>
      </c>
      <c r="E319" s="21">
        <v>7.3</v>
      </c>
      <c r="F319" s="21">
        <v>0.02</v>
      </c>
      <c r="G319" s="21">
        <v>1.17</v>
      </c>
    </row>
    <row r="320" spans="1:7" ht="15" customHeight="1" x14ac:dyDescent="0.3">
      <c r="A320" s="21" t="s">
        <v>94</v>
      </c>
      <c r="B320" s="21">
        <v>2016</v>
      </c>
      <c r="C320" s="21">
        <v>11</v>
      </c>
      <c r="D320" s="21" t="s">
        <v>222</v>
      </c>
      <c r="E320" s="21">
        <v>7.7</v>
      </c>
      <c r="F320" s="21">
        <v>0.04</v>
      </c>
      <c r="G320" s="21">
        <v>1.86</v>
      </c>
    </row>
    <row r="321" spans="1:7" ht="15" customHeight="1" x14ac:dyDescent="0.3">
      <c r="A321" s="21" t="s">
        <v>97</v>
      </c>
      <c r="B321" s="21">
        <v>2016</v>
      </c>
      <c r="C321" s="21">
        <v>12</v>
      </c>
      <c r="D321" s="21" t="s">
        <v>222</v>
      </c>
      <c r="E321" s="21">
        <v>7.3</v>
      </c>
      <c r="F321" s="21">
        <v>0.15</v>
      </c>
      <c r="G321" s="21">
        <v>5.21</v>
      </c>
    </row>
    <row r="322" spans="1:7" ht="15" customHeight="1" x14ac:dyDescent="0.3">
      <c r="A322" s="21" t="s">
        <v>99</v>
      </c>
      <c r="B322" s="21">
        <v>2017</v>
      </c>
      <c r="C322" s="21">
        <v>1</v>
      </c>
      <c r="D322" s="21" t="s">
        <v>222</v>
      </c>
      <c r="E322" s="21">
        <v>7.4</v>
      </c>
      <c r="F322" s="21">
        <v>0.31</v>
      </c>
      <c r="G322" s="21">
        <v>12.61</v>
      </c>
    </row>
    <row r="323" spans="1:7" ht="15" customHeight="1" x14ac:dyDescent="0.3">
      <c r="A323" s="21" t="s">
        <v>101</v>
      </c>
      <c r="B323" s="21">
        <v>2017</v>
      </c>
      <c r="C323" s="21">
        <v>2</v>
      </c>
      <c r="D323" s="21" t="s">
        <v>222</v>
      </c>
      <c r="E323" s="21">
        <v>7.4</v>
      </c>
      <c r="F323" s="21">
        <v>0.31</v>
      </c>
      <c r="G323" s="21">
        <v>14.04</v>
      </c>
    </row>
    <row r="324" spans="1:7" ht="15" customHeight="1" x14ac:dyDescent="0.3">
      <c r="A324" s="21" t="s">
        <v>103</v>
      </c>
      <c r="B324" s="21">
        <v>2017</v>
      </c>
      <c r="C324" s="21">
        <v>3</v>
      </c>
      <c r="D324" s="21" t="s">
        <v>222</v>
      </c>
      <c r="E324" s="21">
        <v>7.3</v>
      </c>
      <c r="F324" s="21">
        <v>0.45</v>
      </c>
      <c r="G324" s="21">
        <v>17.05</v>
      </c>
    </row>
    <row r="325" spans="1:7" ht="15" customHeight="1" x14ac:dyDescent="0.3">
      <c r="A325" s="21" t="s">
        <v>105</v>
      </c>
      <c r="B325" s="21">
        <v>2017</v>
      </c>
      <c r="C325" s="21">
        <v>4</v>
      </c>
      <c r="D325" s="21" t="s">
        <v>222</v>
      </c>
      <c r="E325" s="21">
        <v>6.8</v>
      </c>
      <c r="F325" s="21">
        <v>0.47</v>
      </c>
      <c r="G325" s="21">
        <v>18.34</v>
      </c>
    </row>
    <row r="326" spans="1:7" ht="15" customHeight="1" x14ac:dyDescent="0.3">
      <c r="A326" s="21" t="s">
        <v>107</v>
      </c>
      <c r="B326" s="21">
        <v>2017</v>
      </c>
      <c r="C326" s="21">
        <v>5</v>
      </c>
      <c r="D326" s="21" t="s">
        <v>222</v>
      </c>
      <c r="E326" s="21">
        <v>7.3</v>
      </c>
      <c r="F326" s="21">
        <v>0.68</v>
      </c>
      <c r="G326" s="21">
        <v>29.13</v>
      </c>
    </row>
    <row r="327" spans="1:7" ht="15" customHeight="1" x14ac:dyDescent="0.3">
      <c r="A327" s="21" t="s">
        <v>108</v>
      </c>
      <c r="B327" s="21">
        <v>2017</v>
      </c>
      <c r="C327" s="21">
        <v>6</v>
      </c>
      <c r="D327" s="21" t="s">
        <v>222</v>
      </c>
      <c r="E327" s="21">
        <v>7</v>
      </c>
      <c r="F327" s="21">
        <v>0.71</v>
      </c>
      <c r="G327" s="21">
        <v>31.47</v>
      </c>
    </row>
    <row r="328" spans="1:7" ht="15" customHeight="1" x14ac:dyDescent="0.3">
      <c r="A328" s="21" t="s">
        <v>109</v>
      </c>
      <c r="B328" s="21">
        <v>2017</v>
      </c>
      <c r="C328" s="21">
        <v>7</v>
      </c>
      <c r="D328" s="21" t="s">
        <v>222</v>
      </c>
      <c r="E328" s="21">
        <v>5.7</v>
      </c>
      <c r="F328" s="21">
        <v>0.95</v>
      </c>
      <c r="G328" s="21">
        <v>30.98</v>
      </c>
    </row>
    <row r="329" spans="1:7" ht="15" customHeight="1" x14ac:dyDescent="0.3">
      <c r="A329" s="21" t="s">
        <v>110</v>
      </c>
      <c r="B329" s="21">
        <v>2017</v>
      </c>
      <c r="C329" s="21">
        <v>8</v>
      </c>
      <c r="D329" s="21" t="s">
        <v>222</v>
      </c>
      <c r="E329" s="21">
        <v>8.1999999999999993</v>
      </c>
      <c r="F329" s="21">
        <v>2.5099999999999998</v>
      </c>
      <c r="G329" s="21">
        <v>86.45</v>
      </c>
    </row>
    <row r="330" spans="1:7" ht="15" customHeight="1" x14ac:dyDescent="0.3">
      <c r="A330" s="21" t="s">
        <v>111</v>
      </c>
      <c r="B330" s="21">
        <v>2017</v>
      </c>
      <c r="C330" s="21">
        <v>9</v>
      </c>
      <c r="D330" s="21" t="s">
        <v>222</v>
      </c>
      <c r="E330" s="21">
        <v>7.6</v>
      </c>
      <c r="F330" s="21">
        <v>4.0199999999999996</v>
      </c>
      <c r="G330" s="21">
        <v>149.21</v>
      </c>
    </row>
    <row r="331" spans="1:7" ht="15" customHeight="1" x14ac:dyDescent="0.3">
      <c r="A331" s="21" t="s">
        <v>112</v>
      </c>
      <c r="B331" s="21">
        <v>2017</v>
      </c>
      <c r="C331" s="21">
        <v>10</v>
      </c>
      <c r="D331" s="21" t="s">
        <v>222</v>
      </c>
      <c r="E331" s="21">
        <v>6.8</v>
      </c>
      <c r="F331" s="21">
        <v>5.22</v>
      </c>
      <c r="G331" s="21">
        <v>184.18</v>
      </c>
    </row>
    <row r="332" spans="1:7" ht="15" customHeight="1" x14ac:dyDescent="0.3">
      <c r="A332" s="21" t="s">
        <v>113</v>
      </c>
      <c r="B332" s="21">
        <v>2017</v>
      </c>
      <c r="C332" s="21">
        <v>11</v>
      </c>
      <c r="D332" s="21" t="s">
        <v>222</v>
      </c>
      <c r="E332" s="21">
        <v>6.9</v>
      </c>
      <c r="F332" s="21">
        <v>7.25</v>
      </c>
      <c r="G332" s="21">
        <v>271.58999999999997</v>
      </c>
    </row>
    <row r="333" spans="1:7" ht="15" customHeight="1" x14ac:dyDescent="0.3">
      <c r="A333" s="21" t="s">
        <v>114</v>
      </c>
      <c r="B333" s="21">
        <v>2017</v>
      </c>
      <c r="C333" s="21">
        <v>12</v>
      </c>
      <c r="D333" s="21" t="s">
        <v>222</v>
      </c>
      <c r="E333" s="21">
        <v>6.3</v>
      </c>
      <c r="F333" s="21">
        <v>9.1</v>
      </c>
      <c r="G333" s="21">
        <v>313.92</v>
      </c>
    </row>
    <row r="334" spans="1:7" ht="15" customHeight="1" x14ac:dyDescent="0.3">
      <c r="A334" s="21" t="s">
        <v>115</v>
      </c>
      <c r="B334" s="21">
        <v>2018</v>
      </c>
      <c r="C334" s="21">
        <v>1</v>
      </c>
      <c r="D334" s="21" t="s">
        <v>222</v>
      </c>
      <c r="E334" s="21">
        <v>7.6</v>
      </c>
      <c r="F334" s="21">
        <v>11.56</v>
      </c>
      <c r="G334" s="21">
        <v>400.83</v>
      </c>
    </row>
    <row r="335" spans="1:7" ht="15" customHeight="1" x14ac:dyDescent="0.3">
      <c r="A335" s="21" t="s">
        <v>116</v>
      </c>
      <c r="B335" s="21">
        <v>2018</v>
      </c>
      <c r="C335" s="21">
        <v>2</v>
      </c>
      <c r="D335" s="21" t="s">
        <v>222</v>
      </c>
      <c r="E335" s="21">
        <v>7.6</v>
      </c>
      <c r="F335" s="21">
        <v>13.1</v>
      </c>
      <c r="G335" s="21">
        <v>451.38</v>
      </c>
    </row>
    <row r="336" spans="1:7" ht="15" customHeight="1" x14ac:dyDescent="0.3">
      <c r="A336" s="21" t="s">
        <v>117</v>
      </c>
      <c r="B336" s="21">
        <v>2018</v>
      </c>
      <c r="C336" s="21">
        <v>3</v>
      </c>
      <c r="D336" s="21" t="s">
        <v>222</v>
      </c>
      <c r="E336" s="21">
        <v>6.7</v>
      </c>
      <c r="F336" s="21">
        <v>11.93</v>
      </c>
      <c r="G336" s="21">
        <v>408.69</v>
      </c>
    </row>
    <row r="337" spans="1:7" ht="15" customHeight="1" x14ac:dyDescent="0.3">
      <c r="A337" s="21" t="s">
        <v>118</v>
      </c>
      <c r="B337" s="21">
        <v>2018</v>
      </c>
      <c r="C337" s="21">
        <v>4</v>
      </c>
      <c r="D337" s="21" t="s">
        <v>222</v>
      </c>
      <c r="E337" s="21">
        <v>7.1</v>
      </c>
      <c r="F337" s="21">
        <v>13.42</v>
      </c>
      <c r="G337" s="21">
        <v>454.29</v>
      </c>
    </row>
    <row r="338" spans="1:7" ht="15" customHeight="1" x14ac:dyDescent="0.3">
      <c r="A338" s="21" t="s">
        <v>119</v>
      </c>
      <c r="B338" s="21">
        <v>2018</v>
      </c>
      <c r="C338" s="21">
        <v>5</v>
      </c>
      <c r="D338" s="21" t="s">
        <v>222</v>
      </c>
      <c r="E338" s="21">
        <v>6.6</v>
      </c>
      <c r="F338" s="21">
        <v>14.74</v>
      </c>
      <c r="G338" s="21">
        <v>500.25</v>
      </c>
    </row>
    <row r="339" spans="1:7" ht="15" customHeight="1" x14ac:dyDescent="0.3">
      <c r="A339" s="21" t="s">
        <v>120</v>
      </c>
      <c r="B339" s="21">
        <v>2018</v>
      </c>
      <c r="C339" s="21">
        <v>6</v>
      </c>
      <c r="D339" s="21" t="s">
        <v>222</v>
      </c>
      <c r="E339" s="21">
        <v>5.7</v>
      </c>
      <c r="F339" s="21">
        <v>14.13</v>
      </c>
      <c r="G339" s="21">
        <v>479.66</v>
      </c>
    </row>
    <row r="340" spans="1:7" ht="15" customHeight="1" x14ac:dyDescent="0.3">
      <c r="A340" s="21" t="s">
        <v>121</v>
      </c>
      <c r="B340" s="21">
        <v>2018</v>
      </c>
      <c r="C340" s="21">
        <v>7</v>
      </c>
      <c r="D340" s="21" t="s">
        <v>222</v>
      </c>
      <c r="E340" s="21">
        <v>6.1</v>
      </c>
      <c r="F340" s="21">
        <v>14.44</v>
      </c>
      <c r="G340" s="21">
        <v>507.56</v>
      </c>
    </row>
    <row r="341" spans="1:7" ht="15" customHeight="1" x14ac:dyDescent="0.3">
      <c r="A341" s="21" t="s">
        <v>122</v>
      </c>
      <c r="B341" s="21">
        <v>2018</v>
      </c>
      <c r="C341" s="21">
        <v>8</v>
      </c>
      <c r="D341" s="21" t="s">
        <v>222</v>
      </c>
      <c r="E341" s="21">
        <v>6.3</v>
      </c>
      <c r="F341" s="21">
        <v>19.75</v>
      </c>
      <c r="G341" s="21">
        <v>669.48</v>
      </c>
    </row>
    <row r="342" spans="1:7" ht="15" customHeight="1" x14ac:dyDescent="0.3">
      <c r="A342" s="21" t="s">
        <v>123</v>
      </c>
      <c r="B342" s="21">
        <v>2018</v>
      </c>
      <c r="C342" s="21">
        <v>9</v>
      </c>
      <c r="D342" s="21" t="s">
        <v>222</v>
      </c>
      <c r="E342" s="21">
        <v>6</v>
      </c>
      <c r="F342" s="21">
        <v>24.18</v>
      </c>
      <c r="G342" s="21">
        <v>843.91</v>
      </c>
    </row>
    <row r="343" spans="1:7" ht="15" customHeight="1" x14ac:dyDescent="0.3">
      <c r="A343" s="21" t="s">
        <v>124</v>
      </c>
      <c r="B343" s="21">
        <v>2018</v>
      </c>
      <c r="C343" s="21">
        <v>10</v>
      </c>
      <c r="D343" s="21" t="s">
        <v>222</v>
      </c>
      <c r="E343" s="21">
        <v>6</v>
      </c>
      <c r="F343" s="21">
        <v>28.96</v>
      </c>
      <c r="G343" s="21">
        <v>1025.8499999999999</v>
      </c>
    </row>
    <row r="344" spans="1:7" ht="15" customHeight="1" x14ac:dyDescent="0.3">
      <c r="A344" s="21" t="s">
        <v>125</v>
      </c>
      <c r="B344" s="21">
        <v>2018</v>
      </c>
      <c r="C344" s="21">
        <v>11</v>
      </c>
      <c r="D344" s="21" t="s">
        <v>222</v>
      </c>
      <c r="E344" s="21">
        <v>6</v>
      </c>
      <c r="F344" s="21">
        <v>31.47</v>
      </c>
      <c r="G344" s="21">
        <v>1093.28</v>
      </c>
    </row>
    <row r="345" spans="1:7" ht="15" customHeight="1" x14ac:dyDescent="0.3">
      <c r="A345" s="21" t="s">
        <v>126</v>
      </c>
      <c r="B345" s="21">
        <v>2018</v>
      </c>
      <c r="C345" s="21">
        <v>12</v>
      </c>
      <c r="D345" s="21" t="s">
        <v>222</v>
      </c>
      <c r="E345" s="21">
        <v>5.9</v>
      </c>
      <c r="F345" s="21">
        <v>36.81</v>
      </c>
      <c r="G345" s="21">
        <v>1249.31</v>
      </c>
    </row>
    <row r="346" spans="1:7" ht="15" customHeight="1" x14ac:dyDescent="0.3">
      <c r="A346" s="21" t="s">
        <v>127</v>
      </c>
      <c r="B346" s="21">
        <v>2019</v>
      </c>
      <c r="C346" s="21">
        <v>1</v>
      </c>
      <c r="D346" s="21" t="s">
        <v>222</v>
      </c>
      <c r="E346" s="21">
        <v>5.9</v>
      </c>
      <c r="F346" s="21">
        <v>39.840000000000003</v>
      </c>
      <c r="G346" s="21">
        <v>1367.44</v>
      </c>
    </row>
    <row r="347" spans="1:7" ht="15" customHeight="1" x14ac:dyDescent="0.3">
      <c r="A347" s="21" t="s">
        <v>128</v>
      </c>
      <c r="B347" s="21">
        <v>2019</v>
      </c>
      <c r="C347" s="21">
        <v>2</v>
      </c>
      <c r="D347" s="21" t="s">
        <v>222</v>
      </c>
      <c r="E347" s="21">
        <v>5.3</v>
      </c>
      <c r="F347" s="21">
        <v>35.69</v>
      </c>
      <c r="G347" s="21">
        <v>1219.8800000000001</v>
      </c>
    </row>
    <row r="348" spans="1:7" ht="15" customHeight="1" x14ac:dyDescent="0.3">
      <c r="A348" s="21" t="s">
        <v>129</v>
      </c>
      <c r="B348" s="21">
        <v>2019</v>
      </c>
      <c r="C348" s="21">
        <v>3</v>
      </c>
      <c r="D348" s="21" t="s">
        <v>222</v>
      </c>
      <c r="E348" s="21">
        <v>5.4</v>
      </c>
      <c r="F348" s="21">
        <v>43.11</v>
      </c>
      <c r="G348" s="21">
        <v>1458.07</v>
      </c>
    </row>
    <row r="349" spans="1:7" ht="15" customHeight="1" x14ac:dyDescent="0.3">
      <c r="A349" s="21" t="s">
        <v>130</v>
      </c>
      <c r="B349" s="21">
        <v>2019</v>
      </c>
      <c r="C349" s="21">
        <v>4</v>
      </c>
      <c r="D349" s="21" t="s">
        <v>222</v>
      </c>
      <c r="E349" s="21">
        <v>5</v>
      </c>
      <c r="F349" s="21">
        <v>39.380000000000003</v>
      </c>
      <c r="G349" s="21">
        <v>1354.42</v>
      </c>
    </row>
    <row r="350" spans="1:7" ht="15" customHeight="1" x14ac:dyDescent="0.3">
      <c r="A350" s="21" t="s">
        <v>131</v>
      </c>
      <c r="B350" s="21">
        <v>2019</v>
      </c>
      <c r="C350" s="21">
        <v>5</v>
      </c>
      <c r="D350" s="21" t="s">
        <v>222</v>
      </c>
      <c r="E350" s="21">
        <v>6.1</v>
      </c>
      <c r="F350" s="21">
        <v>44.7</v>
      </c>
      <c r="G350" s="21">
        <v>1529.18</v>
      </c>
    </row>
    <row r="351" spans="1:7" ht="15" customHeight="1" x14ac:dyDescent="0.3">
      <c r="A351" s="21" t="s">
        <v>132</v>
      </c>
      <c r="B351" s="21">
        <v>2019</v>
      </c>
      <c r="C351" s="21">
        <v>6</v>
      </c>
      <c r="D351" s="21" t="s">
        <v>222</v>
      </c>
      <c r="E351" s="21">
        <v>4.5</v>
      </c>
      <c r="F351" s="21">
        <v>33.81</v>
      </c>
      <c r="G351" s="21">
        <v>1155.08</v>
      </c>
    </row>
    <row r="352" spans="1:7" ht="15" customHeight="1" x14ac:dyDescent="0.3">
      <c r="A352" s="21" t="s">
        <v>133</v>
      </c>
      <c r="B352" s="21">
        <v>2019</v>
      </c>
      <c r="C352" s="21">
        <v>7</v>
      </c>
      <c r="D352" s="21" t="s">
        <v>222</v>
      </c>
      <c r="E352" s="21">
        <v>6</v>
      </c>
      <c r="F352" s="21">
        <v>49.65</v>
      </c>
      <c r="G352" s="21">
        <v>1718.23</v>
      </c>
    </row>
    <row r="353" spans="1:7" ht="15" customHeight="1" x14ac:dyDescent="0.3">
      <c r="A353" s="21" t="s">
        <v>134</v>
      </c>
      <c r="B353" s="21">
        <v>2019</v>
      </c>
      <c r="C353" s="21">
        <v>8</v>
      </c>
      <c r="D353" s="21" t="s">
        <v>222</v>
      </c>
      <c r="E353" s="21">
        <v>6.1</v>
      </c>
      <c r="F353" s="21">
        <v>55.85</v>
      </c>
      <c r="G353" s="21">
        <v>1924.1</v>
      </c>
    </row>
    <row r="354" spans="1:7" ht="15" customHeight="1" x14ac:dyDescent="0.3">
      <c r="A354" s="21" t="s">
        <v>135</v>
      </c>
      <c r="B354" s="21">
        <v>2019</v>
      </c>
      <c r="C354" s="21">
        <v>9</v>
      </c>
      <c r="D354" s="21" t="s">
        <v>222</v>
      </c>
      <c r="E354" s="21">
        <v>5.2</v>
      </c>
      <c r="F354" s="21">
        <v>49.32</v>
      </c>
      <c r="G354" s="21">
        <v>1738.92</v>
      </c>
    </row>
    <row r="355" spans="1:7" ht="15" customHeight="1" x14ac:dyDescent="0.3">
      <c r="A355" s="21" t="s">
        <v>136</v>
      </c>
      <c r="B355" s="21">
        <v>2019</v>
      </c>
      <c r="C355" s="21">
        <v>10</v>
      </c>
      <c r="D355" s="21" t="s">
        <v>222</v>
      </c>
      <c r="E355" s="21">
        <v>3.9</v>
      </c>
      <c r="F355" s="21">
        <v>45.26</v>
      </c>
      <c r="G355" s="21">
        <v>1593.85</v>
      </c>
    </row>
    <row r="356" spans="1:7" ht="15" customHeight="1" x14ac:dyDescent="0.3">
      <c r="A356" s="21" t="s">
        <v>137</v>
      </c>
      <c r="B356" s="21">
        <v>2019</v>
      </c>
      <c r="C356" s="21">
        <v>11</v>
      </c>
      <c r="D356" s="21" t="s">
        <v>222</v>
      </c>
      <c r="E356" s="21">
        <v>5</v>
      </c>
      <c r="F356" s="21">
        <v>60.82</v>
      </c>
      <c r="G356" s="21">
        <v>2177.71</v>
      </c>
    </row>
    <row r="357" spans="1:7" ht="15" customHeight="1" x14ac:dyDescent="0.3">
      <c r="A357" s="21" t="s">
        <v>138</v>
      </c>
      <c r="B357" s="21">
        <v>2019</v>
      </c>
      <c r="C357" s="21">
        <v>12</v>
      </c>
      <c r="D357" s="21" t="s">
        <v>222</v>
      </c>
      <c r="E357" s="21">
        <v>5.0999999999999996</v>
      </c>
      <c r="F357" s="21">
        <v>66.28</v>
      </c>
      <c r="G357" s="21">
        <v>2353.79</v>
      </c>
    </row>
    <row r="358" spans="1:7" ht="15" customHeight="1" x14ac:dyDescent="0.3">
      <c r="A358" s="21" t="s">
        <v>139</v>
      </c>
      <c r="B358" s="21">
        <v>2020</v>
      </c>
      <c r="C358" s="21">
        <v>1</v>
      </c>
      <c r="D358" s="21" t="s">
        <v>222</v>
      </c>
      <c r="E358" s="21">
        <v>4.5</v>
      </c>
      <c r="F358" s="21">
        <v>58.87</v>
      </c>
      <c r="G358" s="21">
        <v>2083.13</v>
      </c>
    </row>
    <row r="359" spans="1:7" ht="15" customHeight="1" x14ac:dyDescent="0.3">
      <c r="A359" s="21" t="s">
        <v>140</v>
      </c>
      <c r="B359" s="21">
        <v>2020</v>
      </c>
      <c r="C359" s="21">
        <v>2</v>
      </c>
      <c r="D359" s="21" t="s">
        <v>222</v>
      </c>
      <c r="E359" s="21">
        <v>4.7</v>
      </c>
      <c r="F359" s="21">
        <v>62.25</v>
      </c>
      <c r="G359" s="21">
        <v>2194.08</v>
      </c>
    </row>
    <row r="360" spans="1:7" ht="15" customHeight="1" x14ac:dyDescent="0.3">
      <c r="A360" s="21" t="s">
        <v>141</v>
      </c>
      <c r="B360" s="21">
        <v>2020</v>
      </c>
      <c r="C360" s="21">
        <v>3</v>
      </c>
      <c r="D360" s="21" t="s">
        <v>222</v>
      </c>
      <c r="E360" s="21">
        <v>5.6</v>
      </c>
      <c r="F360" s="21">
        <v>70.39</v>
      </c>
      <c r="G360" s="21">
        <v>2454.7199999999998</v>
      </c>
    </row>
    <row r="361" spans="1:7" ht="15" customHeight="1" x14ac:dyDescent="0.3">
      <c r="A361" s="21" t="s">
        <v>142</v>
      </c>
      <c r="B361" s="21">
        <v>2020</v>
      </c>
      <c r="C361" s="21">
        <v>4</v>
      </c>
      <c r="D361" s="21" t="s">
        <v>222</v>
      </c>
      <c r="E361" s="21">
        <v>5.0999999999999996</v>
      </c>
      <c r="F361" s="21">
        <v>51.38</v>
      </c>
      <c r="G361" s="21">
        <v>1758.86</v>
      </c>
    </row>
    <row r="362" spans="1:7" ht="15" customHeight="1" x14ac:dyDescent="0.3">
      <c r="A362" s="21" t="s">
        <v>143</v>
      </c>
      <c r="B362" s="21">
        <v>2020</v>
      </c>
      <c r="C362" s="21">
        <v>5</v>
      </c>
      <c r="D362" s="21" t="s">
        <v>222</v>
      </c>
      <c r="E362" s="21">
        <v>4.3</v>
      </c>
      <c r="F362" s="21">
        <v>52.75</v>
      </c>
      <c r="G362" s="21">
        <v>1798.51</v>
      </c>
    </row>
    <row r="363" spans="1:7" ht="15" customHeight="1" x14ac:dyDescent="0.3">
      <c r="A363" s="21" t="s">
        <v>144</v>
      </c>
      <c r="B363" s="21">
        <v>2020</v>
      </c>
      <c r="C363" s="21">
        <v>6</v>
      </c>
      <c r="D363" s="21" t="s">
        <v>222</v>
      </c>
      <c r="E363" s="21">
        <v>3.9</v>
      </c>
      <c r="F363" s="21">
        <v>51.78</v>
      </c>
      <c r="G363" s="21">
        <v>1779.35</v>
      </c>
    </row>
    <row r="364" spans="1:7" ht="15" customHeight="1" x14ac:dyDescent="0.3">
      <c r="A364" s="21" t="s">
        <v>145</v>
      </c>
      <c r="B364" s="21">
        <v>2020</v>
      </c>
      <c r="C364" s="21">
        <v>7</v>
      </c>
      <c r="D364" s="21" t="s">
        <v>222</v>
      </c>
      <c r="E364" s="21">
        <v>4.4000000000000004</v>
      </c>
      <c r="F364" s="21">
        <v>66.290000000000006</v>
      </c>
      <c r="G364" s="21">
        <v>2278.64</v>
      </c>
    </row>
    <row r="365" spans="1:7" ht="15" customHeight="1" x14ac:dyDescent="0.3">
      <c r="A365" s="21" t="s">
        <v>146</v>
      </c>
      <c r="B365" s="21">
        <v>2020</v>
      </c>
      <c r="C365" s="21">
        <v>8</v>
      </c>
      <c r="D365" s="21" t="s">
        <v>222</v>
      </c>
      <c r="E365" s="21">
        <v>4.4000000000000004</v>
      </c>
      <c r="F365" s="21">
        <v>71.400000000000006</v>
      </c>
      <c r="G365" s="21">
        <v>2527.9</v>
      </c>
    </row>
    <row r="366" spans="1:7" ht="15" customHeight="1" x14ac:dyDescent="0.3">
      <c r="A366" s="21" t="s">
        <v>147</v>
      </c>
      <c r="B366" s="21">
        <v>2020</v>
      </c>
      <c r="C366" s="21">
        <v>9</v>
      </c>
      <c r="D366" s="21" t="s">
        <v>222</v>
      </c>
      <c r="E366" s="21">
        <v>4.7</v>
      </c>
      <c r="F366" s="21">
        <v>84.48</v>
      </c>
      <c r="G366" s="21">
        <v>2929.49</v>
      </c>
    </row>
    <row r="367" spans="1:7" ht="15" customHeight="1" x14ac:dyDescent="0.3">
      <c r="A367" s="21" t="s">
        <v>148</v>
      </c>
      <c r="B367" s="21">
        <v>2020</v>
      </c>
      <c r="C367" s="21">
        <v>10</v>
      </c>
      <c r="D367" s="21" t="s">
        <v>222</v>
      </c>
      <c r="E367" s="21">
        <v>4.0999999999999996</v>
      </c>
      <c r="F367" s="21">
        <v>85.02</v>
      </c>
      <c r="G367" s="21">
        <v>2938.28</v>
      </c>
    </row>
    <row r="368" spans="1:7" ht="15" customHeight="1" x14ac:dyDescent="0.3">
      <c r="A368" s="21" t="s">
        <v>149</v>
      </c>
      <c r="B368" s="21">
        <v>2020</v>
      </c>
      <c r="C368" s="21">
        <v>11</v>
      </c>
      <c r="D368" s="21" t="s">
        <v>222</v>
      </c>
      <c r="E368" s="21">
        <v>4.5999999999999996</v>
      </c>
      <c r="F368" s="21">
        <v>100.7</v>
      </c>
      <c r="G368" s="21">
        <v>3488.79</v>
      </c>
    </row>
    <row r="369" spans="1:7" ht="15" customHeight="1" x14ac:dyDescent="0.3">
      <c r="A369" s="21" t="s">
        <v>150</v>
      </c>
      <c r="B369" s="21">
        <v>2020</v>
      </c>
      <c r="C369" s="21">
        <v>12</v>
      </c>
      <c r="D369" s="21" t="s">
        <v>222</v>
      </c>
      <c r="E369" s="21">
        <v>5.2</v>
      </c>
      <c r="F369" s="21">
        <v>116.03</v>
      </c>
      <c r="G369" s="21">
        <v>4055.24</v>
      </c>
    </row>
    <row r="370" spans="1:7" ht="15" customHeight="1" x14ac:dyDescent="0.3">
      <c r="A370" s="21" t="s">
        <v>151</v>
      </c>
      <c r="B370" s="21">
        <v>2021</v>
      </c>
      <c r="C370" s="21">
        <v>1</v>
      </c>
      <c r="D370" s="21" t="s">
        <v>222</v>
      </c>
      <c r="E370" s="21">
        <v>4.5999999999999996</v>
      </c>
      <c r="F370" s="21">
        <v>105.06</v>
      </c>
      <c r="G370" s="21">
        <v>3684.34</v>
      </c>
    </row>
    <row r="371" spans="1:7" ht="15" customHeight="1" x14ac:dyDescent="0.3">
      <c r="A371" s="21" t="s">
        <v>152</v>
      </c>
      <c r="B371" s="21">
        <v>2021</v>
      </c>
      <c r="C371" s="21">
        <v>2</v>
      </c>
      <c r="D371" s="21" t="s">
        <v>222</v>
      </c>
      <c r="E371" s="21">
        <v>4.0999999999999996</v>
      </c>
      <c r="F371" s="21">
        <v>93.03</v>
      </c>
      <c r="G371" s="21">
        <v>3267.75</v>
      </c>
    </row>
    <row r="372" spans="1:7" ht="15" customHeight="1" x14ac:dyDescent="0.3">
      <c r="A372" s="21" t="s">
        <v>153</v>
      </c>
      <c r="B372" s="21">
        <v>2021</v>
      </c>
      <c r="C372" s="21">
        <v>3</v>
      </c>
      <c r="D372" s="21" t="s">
        <v>222</v>
      </c>
      <c r="E372" s="21">
        <v>3.9</v>
      </c>
      <c r="F372" s="21">
        <v>107.04</v>
      </c>
      <c r="G372" s="21">
        <v>3692.15</v>
      </c>
    </row>
    <row r="373" spans="1:7" ht="15" customHeight="1" x14ac:dyDescent="0.3">
      <c r="A373" s="21" t="s">
        <v>154</v>
      </c>
      <c r="B373" s="21">
        <v>2021</v>
      </c>
      <c r="C373" s="21">
        <v>4</v>
      </c>
      <c r="D373" s="21" t="s">
        <v>222</v>
      </c>
      <c r="E373" s="21">
        <v>3.8</v>
      </c>
      <c r="F373" s="21">
        <v>99.28</v>
      </c>
      <c r="G373" s="21">
        <v>3414.98</v>
      </c>
    </row>
    <row r="374" spans="1:7" ht="15" customHeight="1" x14ac:dyDescent="0.3">
      <c r="A374" s="21" t="s">
        <v>155</v>
      </c>
      <c r="B374" s="21">
        <v>2021</v>
      </c>
      <c r="C374" s="21">
        <v>5</v>
      </c>
      <c r="D374" s="21" t="s">
        <v>222</v>
      </c>
      <c r="E374" s="21">
        <v>4.5</v>
      </c>
      <c r="F374" s="21">
        <v>113</v>
      </c>
      <c r="G374" s="21">
        <v>3883</v>
      </c>
    </row>
    <row r="375" spans="1:7" ht="15" customHeight="1" x14ac:dyDescent="0.3">
      <c r="A375" s="21" t="s">
        <v>156</v>
      </c>
      <c r="B375" s="21">
        <v>2021</v>
      </c>
      <c r="C375" s="21">
        <v>6</v>
      </c>
      <c r="D375" s="21" t="s">
        <v>222</v>
      </c>
      <c r="E375" s="21">
        <v>3.5</v>
      </c>
      <c r="F375" s="21">
        <v>97.48</v>
      </c>
      <c r="G375" s="21">
        <v>3345.97</v>
      </c>
    </row>
    <row r="376" spans="1:7" ht="15" customHeight="1" x14ac:dyDescent="0.3">
      <c r="A376" s="21" t="s">
        <v>157</v>
      </c>
      <c r="B376" s="21">
        <v>2021</v>
      </c>
      <c r="C376" s="21">
        <v>7</v>
      </c>
      <c r="D376" s="21" t="s">
        <v>222</v>
      </c>
      <c r="E376" s="21">
        <v>3.7</v>
      </c>
      <c r="F376" s="21">
        <v>121.36</v>
      </c>
      <c r="G376" s="21">
        <v>4110.08</v>
      </c>
    </row>
    <row r="377" spans="1:7" ht="15" customHeight="1" x14ac:dyDescent="0.3">
      <c r="A377" s="21" t="s">
        <v>158</v>
      </c>
      <c r="B377" s="21">
        <v>2021</v>
      </c>
      <c r="C377" s="21">
        <v>8</v>
      </c>
      <c r="D377" s="21" t="s">
        <v>222</v>
      </c>
      <c r="E377" s="21">
        <v>3.7</v>
      </c>
      <c r="F377" s="21">
        <v>130.56</v>
      </c>
      <c r="G377" s="21">
        <v>4417.47</v>
      </c>
    </row>
    <row r="378" spans="1:7" ht="15" customHeight="1" x14ac:dyDescent="0.3">
      <c r="A378" s="21" t="s">
        <v>159</v>
      </c>
      <c r="B378" s="21">
        <v>2021</v>
      </c>
      <c r="C378" s="21">
        <v>9</v>
      </c>
      <c r="D378" s="21" t="s">
        <v>222</v>
      </c>
      <c r="E378" s="21">
        <v>3.3</v>
      </c>
      <c r="F378" s="21">
        <v>121.38</v>
      </c>
      <c r="G378" s="21">
        <v>4106.99</v>
      </c>
    </row>
    <row r="379" spans="1:7" ht="15" customHeight="1" x14ac:dyDescent="0.3">
      <c r="A379" s="21" t="s">
        <v>160</v>
      </c>
      <c r="B379" s="21">
        <v>2021</v>
      </c>
      <c r="C379" s="21">
        <v>10</v>
      </c>
      <c r="D379" s="21" t="s">
        <v>222</v>
      </c>
      <c r="E379" s="21">
        <v>2.8</v>
      </c>
      <c r="F379" s="21">
        <v>118.78</v>
      </c>
      <c r="G379" s="21">
        <v>4032.12</v>
      </c>
    </row>
    <row r="380" spans="1:7" ht="15" customHeight="1" x14ac:dyDescent="0.3">
      <c r="A380" s="21" t="s">
        <v>161</v>
      </c>
      <c r="B380" s="21">
        <v>2021</v>
      </c>
      <c r="C380" s="21">
        <v>11</v>
      </c>
      <c r="D380" s="21" t="s">
        <v>222</v>
      </c>
      <c r="E380" s="21">
        <v>3.6</v>
      </c>
      <c r="F380" s="21">
        <v>150.33000000000001</v>
      </c>
      <c r="G380" s="21">
        <v>5102.67</v>
      </c>
    </row>
    <row r="381" spans="1:7" ht="15" customHeight="1" x14ac:dyDescent="0.3">
      <c r="A381" s="21" t="s">
        <v>162</v>
      </c>
      <c r="B381" s="21">
        <v>2021</v>
      </c>
      <c r="C381" s="21">
        <v>12</v>
      </c>
      <c r="D381" s="21" t="s">
        <v>222</v>
      </c>
      <c r="E381" s="21">
        <v>3.3</v>
      </c>
      <c r="F381" s="21">
        <v>151.71</v>
      </c>
      <c r="G381" s="21">
        <v>5110.62</v>
      </c>
    </row>
    <row r="382" spans="1:7" ht="15" customHeight="1" x14ac:dyDescent="0.3">
      <c r="A382" s="21" t="s">
        <v>163</v>
      </c>
      <c r="B382" s="21">
        <v>2022</v>
      </c>
      <c r="C382" s="21">
        <v>1</v>
      </c>
      <c r="D382" s="21" t="s">
        <v>222</v>
      </c>
      <c r="E382" s="21">
        <v>3.5</v>
      </c>
      <c r="F382" s="21">
        <v>163.37</v>
      </c>
      <c r="G382" s="21">
        <v>5487.21</v>
      </c>
    </row>
    <row r="383" spans="1:7" ht="15" customHeight="1" x14ac:dyDescent="0.3">
      <c r="A383" s="21" t="s">
        <v>164</v>
      </c>
      <c r="B383" s="21">
        <v>2022</v>
      </c>
      <c r="C383" s="21">
        <v>2</v>
      </c>
      <c r="D383" s="21" t="s">
        <v>222</v>
      </c>
      <c r="E383" s="21">
        <v>2.9</v>
      </c>
      <c r="F383" s="21">
        <v>133.33000000000001</v>
      </c>
      <c r="G383" s="21">
        <v>4479.88</v>
      </c>
    </row>
    <row r="384" spans="1:7" ht="15" customHeight="1" x14ac:dyDescent="0.3">
      <c r="A384" s="21" t="s">
        <v>165</v>
      </c>
      <c r="B384" s="21">
        <v>2022</v>
      </c>
      <c r="C384" s="21">
        <v>3</v>
      </c>
      <c r="D384" s="21" t="s">
        <v>222</v>
      </c>
      <c r="E384" s="21">
        <v>3.7</v>
      </c>
      <c r="F384" s="21">
        <v>202.64</v>
      </c>
      <c r="G384" s="21">
        <v>6786.45</v>
      </c>
    </row>
    <row r="385" spans="1:7" ht="15" customHeight="1" x14ac:dyDescent="0.3">
      <c r="A385" s="21" t="s">
        <v>166</v>
      </c>
      <c r="B385" s="21">
        <v>2022</v>
      </c>
      <c r="C385" s="21">
        <v>4</v>
      </c>
      <c r="D385" s="21" t="s">
        <v>222</v>
      </c>
      <c r="E385" s="21">
        <v>2.6</v>
      </c>
      <c r="F385" s="21">
        <v>146.66</v>
      </c>
      <c r="G385" s="21">
        <v>5020.01</v>
      </c>
    </row>
    <row r="386" spans="1:7" ht="15" customHeight="1" x14ac:dyDescent="0.3">
      <c r="A386" s="21" t="s">
        <v>167</v>
      </c>
      <c r="B386" s="21">
        <v>2022</v>
      </c>
      <c r="C386" s="21">
        <v>5</v>
      </c>
      <c r="D386" s="21" t="s">
        <v>222</v>
      </c>
      <c r="E386" s="21">
        <v>3.9</v>
      </c>
      <c r="F386" s="21">
        <v>229.28</v>
      </c>
      <c r="G386" s="21">
        <v>7815.78</v>
      </c>
    </row>
    <row r="387" spans="1:7" ht="15" customHeight="1" x14ac:dyDescent="0.3">
      <c r="A387" s="21" t="s">
        <v>168</v>
      </c>
      <c r="B387" s="21">
        <v>2022</v>
      </c>
      <c r="C387" s="21">
        <v>6</v>
      </c>
      <c r="D387" s="21" t="s">
        <v>222</v>
      </c>
      <c r="E387" s="21">
        <v>2</v>
      </c>
      <c r="F387" s="21">
        <v>120</v>
      </c>
      <c r="G387" s="21">
        <v>4054.55</v>
      </c>
    </row>
    <row r="388" spans="1:7" ht="15" customHeight="1" x14ac:dyDescent="0.3">
      <c r="A388" s="21" t="s">
        <v>169</v>
      </c>
      <c r="B388" s="21">
        <v>2022</v>
      </c>
      <c r="C388" s="21">
        <v>7</v>
      </c>
      <c r="D388" s="21" t="s">
        <v>222</v>
      </c>
      <c r="E388" s="21">
        <v>3.1</v>
      </c>
      <c r="F388" s="21">
        <v>192.57</v>
      </c>
      <c r="G388" s="21">
        <v>6456.62</v>
      </c>
    </row>
    <row r="389" spans="1:7" ht="15" customHeight="1" x14ac:dyDescent="0.3">
      <c r="A389" s="21" t="s">
        <v>170</v>
      </c>
      <c r="B389" s="21">
        <v>2022</v>
      </c>
      <c r="C389" s="21">
        <v>8</v>
      </c>
      <c r="D389" s="21" t="s">
        <v>222</v>
      </c>
      <c r="E389" s="21">
        <v>3</v>
      </c>
      <c r="F389" s="21">
        <v>198.3</v>
      </c>
      <c r="G389" s="21">
        <v>6800.3</v>
      </c>
    </row>
    <row r="390" spans="1:7" ht="15" customHeight="1" x14ac:dyDescent="0.3">
      <c r="A390" s="21" t="s">
        <v>171</v>
      </c>
      <c r="B390" s="21">
        <v>2022</v>
      </c>
      <c r="C390" s="21">
        <v>9</v>
      </c>
      <c r="D390" s="21" t="s">
        <v>222</v>
      </c>
      <c r="E390" s="21">
        <v>2.2999999999999998</v>
      </c>
      <c r="F390" s="21">
        <v>156.38</v>
      </c>
      <c r="G390" s="21">
        <v>5403.29</v>
      </c>
    </row>
    <row r="391" spans="1:7" ht="15" customHeight="1" x14ac:dyDescent="0.3">
      <c r="A391" s="21" t="s">
        <v>172</v>
      </c>
      <c r="B391" s="21">
        <v>2022</v>
      </c>
      <c r="C391" s="21">
        <v>10</v>
      </c>
      <c r="D391" s="21" t="s">
        <v>222</v>
      </c>
      <c r="E391" s="21">
        <v>2.8</v>
      </c>
      <c r="F391" s="21">
        <v>207.72</v>
      </c>
      <c r="G391" s="21">
        <v>7153.85</v>
      </c>
    </row>
    <row r="392" spans="1:7" ht="15" customHeight="1" x14ac:dyDescent="0.3">
      <c r="A392" s="21" t="s">
        <v>173</v>
      </c>
      <c r="B392" s="21">
        <v>2022</v>
      </c>
      <c r="C392" s="21">
        <v>11</v>
      </c>
      <c r="D392" s="21" t="s">
        <v>222</v>
      </c>
      <c r="E392" s="21">
        <v>3.2</v>
      </c>
      <c r="F392" s="21">
        <v>233.82</v>
      </c>
      <c r="G392" s="21">
        <v>7949.44</v>
      </c>
    </row>
    <row r="393" spans="1:7" ht="15" customHeight="1" x14ac:dyDescent="0.3">
      <c r="A393" s="21" t="s">
        <v>174</v>
      </c>
      <c r="B393" s="21">
        <v>2022</v>
      </c>
      <c r="C393" s="21">
        <v>12</v>
      </c>
      <c r="D393" s="21" t="s">
        <v>222</v>
      </c>
      <c r="E393" s="21">
        <v>1.4</v>
      </c>
      <c r="F393" s="21">
        <v>107.87</v>
      </c>
      <c r="G393" s="21">
        <v>3695.16</v>
      </c>
    </row>
    <row r="394" spans="1:7" ht="15" customHeight="1" x14ac:dyDescent="0.3">
      <c r="A394" s="21" t="s">
        <v>175</v>
      </c>
      <c r="B394" s="21">
        <v>2023</v>
      </c>
      <c r="C394" s="21">
        <v>1</v>
      </c>
      <c r="D394" s="21" t="s">
        <v>222</v>
      </c>
      <c r="E394" s="21">
        <v>2.7</v>
      </c>
      <c r="F394" s="21">
        <v>214.22</v>
      </c>
      <c r="G394" s="21">
        <v>7330.62</v>
      </c>
    </row>
    <row r="395" spans="1:7" ht="15" customHeight="1" x14ac:dyDescent="0.3">
      <c r="A395" s="21" t="s">
        <v>176</v>
      </c>
      <c r="B395" s="21">
        <v>2023</v>
      </c>
      <c r="C395" s="21">
        <v>2</v>
      </c>
      <c r="D395" s="21" t="s">
        <v>222</v>
      </c>
      <c r="E395" s="21">
        <v>1.1000000000000001</v>
      </c>
      <c r="F395" s="21">
        <v>82.53</v>
      </c>
      <c r="G395" s="21">
        <v>2823.92</v>
      </c>
    </row>
    <row r="396" spans="1:7" ht="15" customHeight="1" x14ac:dyDescent="0.3">
      <c r="A396" s="21" t="s">
        <v>177</v>
      </c>
      <c r="B396" s="21">
        <v>2023</v>
      </c>
      <c r="C396" s="21">
        <v>3</v>
      </c>
      <c r="D396" s="21" t="s">
        <v>222</v>
      </c>
      <c r="E396" s="21">
        <v>1.8</v>
      </c>
      <c r="F396" s="21">
        <v>154.6</v>
      </c>
      <c r="G396" s="21">
        <v>5292.56</v>
      </c>
    </row>
    <row r="397" spans="1:7" ht="15" customHeight="1" x14ac:dyDescent="0.3">
      <c r="A397" s="21" t="s">
        <v>178</v>
      </c>
      <c r="B397" s="21">
        <v>2023</v>
      </c>
      <c r="C397" s="21">
        <v>4</v>
      </c>
      <c r="D397" s="21" t="s">
        <v>222</v>
      </c>
      <c r="E397" s="21">
        <v>3</v>
      </c>
      <c r="F397" s="21">
        <v>267.8</v>
      </c>
      <c r="G397" s="21">
        <v>9272.84</v>
      </c>
    </row>
    <row r="398" spans="1:7" ht="15" customHeight="1" x14ac:dyDescent="0.3">
      <c r="A398" s="21" t="s">
        <v>179</v>
      </c>
      <c r="B398" s="21">
        <v>2023</v>
      </c>
      <c r="C398" s="21">
        <v>5</v>
      </c>
      <c r="D398" s="21" t="s">
        <v>222</v>
      </c>
      <c r="E398" s="21">
        <v>1.8</v>
      </c>
      <c r="F398" s="21">
        <v>165.25</v>
      </c>
      <c r="G398" s="21">
        <v>5751.74</v>
      </c>
    </row>
    <row r="399" spans="1:7" ht="15" customHeight="1" x14ac:dyDescent="0.3">
      <c r="A399" s="21" t="s">
        <v>180</v>
      </c>
      <c r="B399" s="21">
        <v>2023</v>
      </c>
      <c r="C399" s="21">
        <v>6</v>
      </c>
      <c r="D399" s="21" t="s">
        <v>222</v>
      </c>
      <c r="E399" s="21">
        <v>1.5</v>
      </c>
      <c r="F399" s="21">
        <v>136.66999999999999</v>
      </c>
      <c r="G399" s="21">
        <v>4751.25</v>
      </c>
    </row>
    <row r="400" spans="1:7" ht="15" customHeight="1" x14ac:dyDescent="0.3">
      <c r="A400" s="21" t="s">
        <v>181</v>
      </c>
      <c r="B400" s="21">
        <v>2023</v>
      </c>
      <c r="C400" s="21">
        <v>7</v>
      </c>
      <c r="D400" s="21" t="s">
        <v>222</v>
      </c>
      <c r="E400" s="21">
        <v>1.9</v>
      </c>
      <c r="F400" s="21">
        <v>187.27</v>
      </c>
      <c r="G400" s="21">
        <v>6390.17</v>
      </c>
    </row>
    <row r="401" spans="1:7" ht="15" customHeight="1" x14ac:dyDescent="0.3">
      <c r="A401" s="21" t="s">
        <v>182</v>
      </c>
      <c r="B401" s="21">
        <v>2023</v>
      </c>
      <c r="C401" s="21">
        <v>8</v>
      </c>
      <c r="D401" s="21" t="s">
        <v>222</v>
      </c>
      <c r="E401" s="21">
        <v>2.9</v>
      </c>
      <c r="F401" s="21">
        <v>311.14999999999998</v>
      </c>
      <c r="G401" s="21">
        <v>10663.08</v>
      </c>
    </row>
    <row r="402" spans="1:7" ht="15" customHeight="1" x14ac:dyDescent="0.3">
      <c r="A402" s="21" t="s">
        <v>183</v>
      </c>
      <c r="B402" s="21">
        <v>2023</v>
      </c>
      <c r="C402" s="21">
        <v>9</v>
      </c>
      <c r="D402" s="21" t="s">
        <v>222</v>
      </c>
      <c r="E402" s="21">
        <v>0.9</v>
      </c>
      <c r="F402" s="21">
        <v>96.94</v>
      </c>
      <c r="G402" s="21">
        <v>3328.66</v>
      </c>
    </row>
    <row r="403" spans="1:7" ht="15" customHeight="1" x14ac:dyDescent="0.3">
      <c r="A403" s="21" t="s">
        <v>184</v>
      </c>
      <c r="B403" s="21">
        <v>2023</v>
      </c>
      <c r="C403" s="21">
        <v>10</v>
      </c>
      <c r="D403" s="21" t="s">
        <v>222</v>
      </c>
      <c r="E403" s="21">
        <v>1.2</v>
      </c>
      <c r="F403" s="21">
        <v>140.80000000000001</v>
      </c>
      <c r="G403" s="21">
        <v>4804.78</v>
      </c>
    </row>
    <row r="404" spans="1:7" ht="15" customHeight="1" x14ac:dyDescent="0.3">
      <c r="A404" s="21" t="s">
        <v>185</v>
      </c>
      <c r="B404" s="21">
        <v>2023</v>
      </c>
      <c r="C404" s="21">
        <v>11</v>
      </c>
      <c r="D404" s="21" t="s">
        <v>222</v>
      </c>
      <c r="E404" s="21">
        <v>2.4</v>
      </c>
      <c r="F404" s="21">
        <v>272.08999999999997</v>
      </c>
      <c r="G404" s="21">
        <v>9327.19</v>
      </c>
    </row>
    <row r="405" spans="1:7" ht="15" customHeight="1" x14ac:dyDescent="0.3">
      <c r="A405" s="21" t="s">
        <v>186</v>
      </c>
      <c r="B405" s="21">
        <v>2023</v>
      </c>
      <c r="C405" s="21">
        <v>12</v>
      </c>
      <c r="D405" s="21" t="s">
        <v>222</v>
      </c>
      <c r="E405" s="21">
        <v>2.5</v>
      </c>
      <c r="F405" s="21">
        <v>305.85000000000002</v>
      </c>
      <c r="G405" s="21">
        <v>10438.959999999999</v>
      </c>
    </row>
    <row r="406" spans="1:7" ht="15" customHeight="1" x14ac:dyDescent="0.3">
      <c r="A406" s="21" t="s">
        <v>187</v>
      </c>
      <c r="B406" s="21">
        <v>2024</v>
      </c>
      <c r="C406" s="21">
        <v>1</v>
      </c>
      <c r="D406" s="21" t="s">
        <v>222</v>
      </c>
      <c r="E406" s="21">
        <v>1.5</v>
      </c>
      <c r="F406" s="21">
        <v>182</v>
      </c>
      <c r="G406" s="21">
        <v>6240.7</v>
      </c>
    </row>
    <row r="407" spans="1:7" ht="15" customHeight="1" x14ac:dyDescent="0.3">
      <c r="A407" s="21" t="s">
        <v>188</v>
      </c>
      <c r="B407" s="21">
        <v>2024</v>
      </c>
      <c r="C407" s="21">
        <v>2</v>
      </c>
      <c r="D407" s="21" t="s">
        <v>222</v>
      </c>
      <c r="E407" s="21">
        <v>0.9</v>
      </c>
      <c r="F407" s="21">
        <v>97.35</v>
      </c>
      <c r="G407" s="21">
        <v>3339.82</v>
      </c>
    </row>
    <row r="408" spans="1:7" ht="15" customHeight="1" x14ac:dyDescent="0.3">
      <c r="A408" s="21" t="s">
        <v>189</v>
      </c>
      <c r="B408" s="21">
        <v>2024</v>
      </c>
      <c r="C408" s="21">
        <v>3</v>
      </c>
      <c r="D408" s="21" t="s">
        <v>222</v>
      </c>
      <c r="E408" s="21">
        <v>2.4</v>
      </c>
      <c r="F408" s="21">
        <v>328.86</v>
      </c>
      <c r="G408" s="21">
        <v>11261.94</v>
      </c>
    </row>
    <row r="409" spans="1:7" ht="15" customHeight="1" x14ac:dyDescent="0.3">
      <c r="A409" s="21" t="s">
        <v>190</v>
      </c>
      <c r="B409" s="21">
        <v>2024</v>
      </c>
      <c r="C409" s="21">
        <v>4</v>
      </c>
      <c r="D409" s="21" t="s">
        <v>222</v>
      </c>
      <c r="E409" s="21">
        <v>2.1</v>
      </c>
      <c r="F409" s="21">
        <v>282.79000000000002</v>
      </c>
      <c r="G409" s="21">
        <v>9687.6299999999992</v>
      </c>
    </row>
    <row r="410" spans="1:7" ht="15" customHeight="1" x14ac:dyDescent="0.3">
      <c r="A410" s="21" t="s">
        <v>191</v>
      </c>
      <c r="B410" s="21">
        <v>2024</v>
      </c>
      <c r="C410" s="21">
        <v>5</v>
      </c>
      <c r="D410" s="21" t="s">
        <v>222</v>
      </c>
      <c r="E410" s="21">
        <v>1.6</v>
      </c>
      <c r="F410" s="21">
        <v>223.51</v>
      </c>
      <c r="G410" s="21">
        <v>7649.96</v>
      </c>
    </row>
    <row r="411" spans="1:7" ht="15" customHeight="1" x14ac:dyDescent="0.3">
      <c r="A411" s="21" t="s">
        <v>192</v>
      </c>
      <c r="B411" s="21">
        <v>2024</v>
      </c>
      <c r="C411" s="21">
        <v>6</v>
      </c>
      <c r="D411" s="21" t="s">
        <v>222</v>
      </c>
      <c r="E411" s="21">
        <v>0.8</v>
      </c>
      <c r="F411" s="21">
        <v>107.5</v>
      </c>
      <c r="G411" s="21">
        <v>3679.27</v>
      </c>
    </row>
    <row r="412" spans="1:7" ht="15" customHeight="1" x14ac:dyDescent="0.3">
      <c r="A412" s="21" t="s">
        <v>193</v>
      </c>
      <c r="B412" s="21">
        <v>2024</v>
      </c>
      <c r="C412" s="21">
        <v>7</v>
      </c>
      <c r="D412" s="21" t="s">
        <v>222</v>
      </c>
      <c r="E412" s="21">
        <v>1.1000000000000001</v>
      </c>
      <c r="F412" s="21">
        <v>156.4</v>
      </c>
      <c r="G412" s="21">
        <v>5345.47</v>
      </c>
    </row>
    <row r="413" spans="1:7" ht="15" customHeight="1" x14ac:dyDescent="0.3">
      <c r="A413" s="21" t="s">
        <v>194</v>
      </c>
      <c r="B413" s="21">
        <v>2024</v>
      </c>
      <c r="C413" s="21">
        <v>8</v>
      </c>
      <c r="D413" s="21" t="s">
        <v>222</v>
      </c>
      <c r="E413" s="21">
        <v>1</v>
      </c>
      <c r="F413" s="21">
        <v>143.69</v>
      </c>
      <c r="G413" s="21">
        <v>4917.79</v>
      </c>
    </row>
    <row r="414" spans="1:7" ht="15" customHeight="1" x14ac:dyDescent="0.3">
      <c r="A414" s="21" t="s">
        <v>195</v>
      </c>
      <c r="B414" s="21">
        <v>2024</v>
      </c>
      <c r="C414" s="21">
        <v>9</v>
      </c>
      <c r="D414" s="21" t="s">
        <v>222</v>
      </c>
      <c r="E414" s="21">
        <v>1.1000000000000001</v>
      </c>
      <c r="F414" s="21">
        <v>169.68</v>
      </c>
      <c r="G414" s="21">
        <v>5802.07</v>
      </c>
    </row>
    <row r="415" spans="1:7" ht="15" customHeight="1" x14ac:dyDescent="0.3">
      <c r="A415" s="21" t="s">
        <v>196</v>
      </c>
      <c r="B415" s="21">
        <v>2024</v>
      </c>
      <c r="C415" s="21">
        <v>10</v>
      </c>
      <c r="D415" s="21" t="s">
        <v>222</v>
      </c>
      <c r="E415" s="21">
        <v>1.6</v>
      </c>
      <c r="F415" s="21">
        <v>267.95</v>
      </c>
      <c r="G415" s="21">
        <v>9170.2099999999991</v>
      </c>
    </row>
    <row r="416" spans="1:7" ht="15" customHeight="1" x14ac:dyDescent="0.3">
      <c r="A416" s="21" t="s">
        <v>197</v>
      </c>
      <c r="B416" s="21">
        <v>2024</v>
      </c>
      <c r="C416" s="21">
        <v>11</v>
      </c>
      <c r="D416" s="21" t="s">
        <v>222</v>
      </c>
      <c r="E416" s="21">
        <v>1.3</v>
      </c>
      <c r="F416" s="21">
        <v>194.73</v>
      </c>
      <c r="G416" s="21">
        <v>6667</v>
      </c>
    </row>
    <row r="417" spans="1:7" ht="15" customHeight="1" x14ac:dyDescent="0.3">
      <c r="A417" s="21" t="s">
        <v>198</v>
      </c>
      <c r="B417" s="21">
        <v>2024</v>
      </c>
      <c r="C417" s="21">
        <v>12</v>
      </c>
      <c r="D417" s="21" t="s">
        <v>222</v>
      </c>
      <c r="E417" s="21">
        <v>0.2</v>
      </c>
      <c r="F417" s="21">
        <v>34.53</v>
      </c>
      <c r="G417" s="21">
        <v>1182.25</v>
      </c>
    </row>
    <row r="418" spans="1:7" ht="15" customHeight="1" x14ac:dyDescent="0.3">
      <c r="A418" s="21" t="s">
        <v>199</v>
      </c>
      <c r="B418" s="21">
        <v>2025</v>
      </c>
      <c r="C418" s="21">
        <v>1</v>
      </c>
      <c r="D418" s="21" t="s">
        <v>222</v>
      </c>
      <c r="E418" s="21">
        <v>1.4</v>
      </c>
      <c r="F418" s="21">
        <v>231.25</v>
      </c>
      <c r="G418" s="21">
        <v>7924.06</v>
      </c>
    </row>
    <row r="419" spans="1:7" ht="15" customHeight="1" x14ac:dyDescent="0.3">
      <c r="A419" s="21" t="s">
        <v>200</v>
      </c>
      <c r="B419" s="21">
        <v>2025</v>
      </c>
      <c r="C419" s="21">
        <v>2</v>
      </c>
      <c r="D419" s="21" t="s">
        <v>222</v>
      </c>
      <c r="E419" s="21">
        <v>0.8</v>
      </c>
      <c r="F419" s="21">
        <v>118.4</v>
      </c>
      <c r="G419" s="21">
        <v>4056.56</v>
      </c>
    </row>
    <row r="420" spans="1:7" ht="15" customHeight="1" x14ac:dyDescent="0.3">
      <c r="A420" s="21" t="s">
        <v>122</v>
      </c>
      <c r="B420" s="21">
        <v>2018</v>
      </c>
      <c r="C420" s="21">
        <v>8</v>
      </c>
      <c r="D420" s="21" t="s">
        <v>224</v>
      </c>
      <c r="E420" s="21">
        <v>0.3</v>
      </c>
      <c r="F420" s="21">
        <v>1.07</v>
      </c>
      <c r="G420" s="21">
        <v>36.36</v>
      </c>
    </row>
    <row r="421" spans="1:7" ht="15" customHeight="1" x14ac:dyDescent="0.3">
      <c r="A421" s="21" t="s">
        <v>123</v>
      </c>
      <c r="B421" s="21">
        <v>2018</v>
      </c>
      <c r="C421" s="21">
        <v>9</v>
      </c>
      <c r="D421" s="21" t="s">
        <v>224</v>
      </c>
      <c r="E421" s="21">
        <v>0.7</v>
      </c>
      <c r="F421" s="21">
        <v>3.04</v>
      </c>
      <c r="G421" s="21">
        <v>106.21</v>
      </c>
    </row>
    <row r="422" spans="1:7" ht="15" customHeight="1" x14ac:dyDescent="0.3">
      <c r="A422" s="21" t="s">
        <v>124</v>
      </c>
      <c r="B422" s="21">
        <v>2018</v>
      </c>
      <c r="C422" s="21">
        <v>10</v>
      </c>
      <c r="D422" s="21" t="s">
        <v>224</v>
      </c>
      <c r="E422" s="21">
        <v>0</v>
      </c>
      <c r="F422" s="21">
        <v>0</v>
      </c>
      <c r="G422" s="21">
        <v>0</v>
      </c>
    </row>
    <row r="423" spans="1:7" ht="15" customHeight="1" x14ac:dyDescent="0.3">
      <c r="A423" s="21" t="s">
        <v>125</v>
      </c>
      <c r="B423" s="21">
        <v>2018</v>
      </c>
      <c r="C423" s="21">
        <v>11</v>
      </c>
      <c r="D423" s="21" t="s">
        <v>224</v>
      </c>
      <c r="E423" s="21">
        <v>0</v>
      </c>
      <c r="F423" s="21">
        <v>0.17</v>
      </c>
      <c r="G423" s="21">
        <v>5.85</v>
      </c>
    </row>
    <row r="424" spans="1:7" ht="15" customHeight="1" x14ac:dyDescent="0.3">
      <c r="A424" s="21" t="s">
        <v>126</v>
      </c>
      <c r="B424" s="21">
        <v>2018</v>
      </c>
      <c r="C424" s="21">
        <v>12</v>
      </c>
      <c r="D424" s="21" t="s">
        <v>224</v>
      </c>
      <c r="E424" s="21">
        <v>0</v>
      </c>
      <c r="F424" s="21">
        <v>0</v>
      </c>
      <c r="G424" s="21">
        <v>0</v>
      </c>
    </row>
    <row r="425" spans="1:7" ht="15" customHeight="1" x14ac:dyDescent="0.3">
      <c r="A425" s="21" t="s">
        <v>127</v>
      </c>
      <c r="B425" s="21">
        <v>2019</v>
      </c>
      <c r="C425" s="21">
        <v>1</v>
      </c>
      <c r="D425" s="21" t="s">
        <v>224</v>
      </c>
      <c r="E425" s="21">
        <v>0</v>
      </c>
      <c r="F425" s="21">
        <v>0</v>
      </c>
      <c r="G425" s="21">
        <v>0</v>
      </c>
    </row>
    <row r="426" spans="1:7" ht="15" customHeight="1" x14ac:dyDescent="0.3">
      <c r="A426" s="21" t="s">
        <v>128</v>
      </c>
      <c r="B426" s="21">
        <v>2019</v>
      </c>
      <c r="C426" s="21">
        <v>2</v>
      </c>
      <c r="D426" s="21" t="s">
        <v>224</v>
      </c>
      <c r="E426" s="21">
        <v>0.3</v>
      </c>
      <c r="F426" s="21">
        <v>1.84</v>
      </c>
      <c r="G426" s="21">
        <v>63</v>
      </c>
    </row>
    <row r="427" spans="1:7" ht="15" customHeight="1" x14ac:dyDescent="0.3">
      <c r="A427" s="21" t="s">
        <v>129</v>
      </c>
      <c r="B427" s="21">
        <v>2019</v>
      </c>
      <c r="C427" s="21">
        <v>3</v>
      </c>
      <c r="D427" s="21" t="s">
        <v>224</v>
      </c>
      <c r="E427" s="21">
        <v>1.4</v>
      </c>
      <c r="F427" s="21">
        <v>10.97</v>
      </c>
      <c r="G427" s="21">
        <v>371.1</v>
      </c>
    </row>
    <row r="428" spans="1:7" ht="15" customHeight="1" x14ac:dyDescent="0.3">
      <c r="A428" s="21" t="s">
        <v>130</v>
      </c>
      <c r="B428" s="21">
        <v>2019</v>
      </c>
      <c r="C428" s="21">
        <v>4</v>
      </c>
      <c r="D428" s="21" t="s">
        <v>224</v>
      </c>
      <c r="E428" s="21">
        <v>0</v>
      </c>
      <c r="F428" s="21">
        <v>0</v>
      </c>
      <c r="G428" s="21">
        <v>0</v>
      </c>
    </row>
    <row r="429" spans="1:7" ht="15" customHeight="1" x14ac:dyDescent="0.3">
      <c r="A429" s="21" t="s">
        <v>131</v>
      </c>
      <c r="B429" s="21">
        <v>2019</v>
      </c>
      <c r="C429" s="21">
        <v>5</v>
      </c>
      <c r="D429" s="21" t="s">
        <v>224</v>
      </c>
      <c r="E429" s="21">
        <v>0.1</v>
      </c>
      <c r="F429" s="21">
        <v>0.98</v>
      </c>
      <c r="G429" s="21">
        <v>33.590000000000003</v>
      </c>
    </row>
    <row r="430" spans="1:7" ht="15" customHeight="1" x14ac:dyDescent="0.3">
      <c r="A430" s="21" t="s">
        <v>132</v>
      </c>
      <c r="B430" s="21">
        <v>2019</v>
      </c>
      <c r="C430" s="21">
        <v>6</v>
      </c>
      <c r="D430" s="21" t="s">
        <v>224</v>
      </c>
      <c r="E430" s="21">
        <v>0.5</v>
      </c>
      <c r="F430" s="21">
        <v>3.67</v>
      </c>
      <c r="G430" s="21">
        <v>125.53</v>
      </c>
    </row>
    <row r="431" spans="1:7" ht="15" customHeight="1" x14ac:dyDescent="0.3">
      <c r="A431" s="21" t="s">
        <v>133</v>
      </c>
      <c r="B431" s="21">
        <v>2019</v>
      </c>
      <c r="C431" s="21">
        <v>7</v>
      </c>
      <c r="D431" s="21" t="s">
        <v>224</v>
      </c>
      <c r="E431" s="21">
        <v>0.2</v>
      </c>
      <c r="F431" s="21">
        <v>2.0099999999999998</v>
      </c>
      <c r="G431" s="21">
        <v>69.69</v>
      </c>
    </row>
    <row r="432" spans="1:7" ht="15" customHeight="1" x14ac:dyDescent="0.3">
      <c r="A432" s="21" t="s">
        <v>134</v>
      </c>
      <c r="B432" s="21">
        <v>2019</v>
      </c>
      <c r="C432" s="21">
        <v>8</v>
      </c>
      <c r="D432" s="21" t="s">
        <v>224</v>
      </c>
      <c r="E432" s="21">
        <v>0.1</v>
      </c>
      <c r="F432" s="21">
        <v>1.32</v>
      </c>
      <c r="G432" s="21">
        <v>45.38</v>
      </c>
    </row>
    <row r="433" spans="1:7" ht="15" customHeight="1" x14ac:dyDescent="0.3">
      <c r="A433" s="21" t="s">
        <v>135</v>
      </c>
      <c r="B433" s="21">
        <v>2019</v>
      </c>
      <c r="C433" s="21">
        <v>9</v>
      </c>
      <c r="D433" s="21" t="s">
        <v>224</v>
      </c>
      <c r="E433" s="21">
        <v>0</v>
      </c>
      <c r="F433" s="21">
        <v>0</v>
      </c>
      <c r="G433" s="21">
        <v>0</v>
      </c>
    </row>
    <row r="434" spans="1:7" ht="15" customHeight="1" x14ac:dyDescent="0.3">
      <c r="A434" s="21" t="s">
        <v>136</v>
      </c>
      <c r="B434" s="21">
        <v>2019</v>
      </c>
      <c r="C434" s="21">
        <v>10</v>
      </c>
      <c r="D434" s="21" t="s">
        <v>224</v>
      </c>
      <c r="E434" s="21">
        <v>0.3</v>
      </c>
      <c r="F434" s="21">
        <v>4.0199999999999996</v>
      </c>
      <c r="G434" s="21">
        <v>141.41999999999999</v>
      </c>
    </row>
    <row r="435" spans="1:7" ht="15" customHeight="1" x14ac:dyDescent="0.3">
      <c r="A435" s="21" t="s">
        <v>137</v>
      </c>
      <c r="B435" s="21">
        <v>2019</v>
      </c>
      <c r="C435" s="21">
        <v>11</v>
      </c>
      <c r="D435" s="21" t="s">
        <v>224</v>
      </c>
      <c r="E435" s="21">
        <v>0</v>
      </c>
      <c r="F435" s="21">
        <v>0</v>
      </c>
      <c r="G435" s="21">
        <v>0</v>
      </c>
    </row>
    <row r="436" spans="1:7" ht="15" customHeight="1" x14ac:dyDescent="0.3">
      <c r="A436" s="21" t="s">
        <v>138</v>
      </c>
      <c r="B436" s="21">
        <v>2019</v>
      </c>
      <c r="C436" s="21">
        <v>12</v>
      </c>
      <c r="D436" s="21" t="s">
        <v>224</v>
      </c>
      <c r="E436" s="21">
        <v>0</v>
      </c>
      <c r="F436" s="21">
        <v>0</v>
      </c>
      <c r="G436" s="21">
        <v>0</v>
      </c>
    </row>
    <row r="437" spans="1:7" ht="15" customHeight="1" x14ac:dyDescent="0.3">
      <c r="A437" s="21" t="s">
        <v>139</v>
      </c>
      <c r="B437" s="21">
        <v>2020</v>
      </c>
      <c r="C437" s="21">
        <v>1</v>
      </c>
      <c r="D437" s="21" t="s">
        <v>224</v>
      </c>
      <c r="E437" s="21">
        <v>0.9</v>
      </c>
      <c r="F437" s="21">
        <v>11.47</v>
      </c>
      <c r="G437" s="21">
        <v>405.84</v>
      </c>
    </row>
    <row r="438" spans="1:7" ht="15" customHeight="1" x14ac:dyDescent="0.3">
      <c r="A438" s="21" t="s">
        <v>140</v>
      </c>
      <c r="B438" s="21">
        <v>2020</v>
      </c>
      <c r="C438" s="21">
        <v>2</v>
      </c>
      <c r="D438" s="21" t="s">
        <v>224</v>
      </c>
      <c r="E438" s="21">
        <v>0.8</v>
      </c>
      <c r="F438" s="21">
        <v>10.33</v>
      </c>
      <c r="G438" s="21">
        <v>364.11</v>
      </c>
    </row>
    <row r="439" spans="1:7" ht="15" customHeight="1" x14ac:dyDescent="0.3">
      <c r="A439" s="21" t="s">
        <v>141</v>
      </c>
      <c r="B439" s="21">
        <v>2020</v>
      </c>
      <c r="C439" s="21">
        <v>3</v>
      </c>
      <c r="D439" s="21" t="s">
        <v>224</v>
      </c>
      <c r="E439" s="21">
        <v>0.3</v>
      </c>
      <c r="F439" s="21">
        <v>4.2699999999999996</v>
      </c>
      <c r="G439" s="21">
        <v>148.91999999999999</v>
      </c>
    </row>
    <row r="440" spans="1:7" ht="15" customHeight="1" x14ac:dyDescent="0.3">
      <c r="A440" s="21" t="s">
        <v>142</v>
      </c>
      <c r="B440" s="21">
        <v>2020</v>
      </c>
      <c r="C440" s="21">
        <v>4</v>
      </c>
      <c r="D440" s="21" t="s">
        <v>224</v>
      </c>
      <c r="E440" s="21">
        <v>0.4</v>
      </c>
      <c r="F440" s="21">
        <v>4.4800000000000004</v>
      </c>
      <c r="G440" s="21">
        <v>153.25</v>
      </c>
    </row>
    <row r="441" spans="1:7" ht="15" customHeight="1" x14ac:dyDescent="0.3">
      <c r="A441" s="21" t="s">
        <v>143</v>
      </c>
      <c r="B441" s="21">
        <v>2020</v>
      </c>
      <c r="C441" s="21">
        <v>5</v>
      </c>
      <c r="D441" s="21" t="s">
        <v>224</v>
      </c>
      <c r="E441" s="21">
        <v>0.9</v>
      </c>
      <c r="F441" s="21">
        <v>10.95</v>
      </c>
      <c r="G441" s="21">
        <v>373.41</v>
      </c>
    </row>
    <row r="442" spans="1:7" ht="15" customHeight="1" x14ac:dyDescent="0.3">
      <c r="A442" s="21" t="s">
        <v>144</v>
      </c>
      <c r="B442" s="21">
        <v>2020</v>
      </c>
      <c r="C442" s="21">
        <v>6</v>
      </c>
      <c r="D442" s="21" t="s">
        <v>224</v>
      </c>
      <c r="E442" s="21">
        <v>0.5</v>
      </c>
      <c r="F442" s="21">
        <v>6.42</v>
      </c>
      <c r="G442" s="21">
        <v>220.5</v>
      </c>
    </row>
    <row r="443" spans="1:7" ht="15" customHeight="1" x14ac:dyDescent="0.3">
      <c r="A443" s="21" t="s">
        <v>145</v>
      </c>
      <c r="B443" s="21">
        <v>2020</v>
      </c>
      <c r="C443" s="21">
        <v>7</v>
      </c>
      <c r="D443" s="21" t="s">
        <v>224</v>
      </c>
      <c r="E443" s="21">
        <v>0.8</v>
      </c>
      <c r="F443" s="21">
        <v>12.51</v>
      </c>
      <c r="G443" s="21">
        <v>429.99</v>
      </c>
    </row>
    <row r="444" spans="1:7" ht="15" customHeight="1" x14ac:dyDescent="0.3">
      <c r="A444" s="21" t="s">
        <v>146</v>
      </c>
      <c r="B444" s="21">
        <v>2020</v>
      </c>
      <c r="C444" s="21">
        <v>8</v>
      </c>
      <c r="D444" s="21" t="s">
        <v>224</v>
      </c>
      <c r="E444" s="21">
        <v>0.3</v>
      </c>
      <c r="F444" s="21">
        <v>4.07</v>
      </c>
      <c r="G444" s="21">
        <v>144</v>
      </c>
    </row>
    <row r="445" spans="1:7" ht="15" customHeight="1" x14ac:dyDescent="0.3">
      <c r="A445" s="21" t="s">
        <v>147</v>
      </c>
      <c r="B445" s="21">
        <v>2020</v>
      </c>
      <c r="C445" s="21">
        <v>9</v>
      </c>
      <c r="D445" s="21" t="s">
        <v>224</v>
      </c>
      <c r="E445" s="21">
        <v>1.1000000000000001</v>
      </c>
      <c r="F445" s="21">
        <v>19.309999999999999</v>
      </c>
      <c r="G445" s="21">
        <v>669.55</v>
      </c>
    </row>
    <row r="446" spans="1:7" ht="15" customHeight="1" x14ac:dyDescent="0.3">
      <c r="A446" s="21" t="s">
        <v>148</v>
      </c>
      <c r="B446" s="21">
        <v>2020</v>
      </c>
      <c r="C446" s="21">
        <v>10</v>
      </c>
      <c r="D446" s="21" t="s">
        <v>224</v>
      </c>
      <c r="E446" s="21">
        <v>0.6</v>
      </c>
      <c r="F446" s="21">
        <v>12.3</v>
      </c>
      <c r="G446" s="21">
        <v>424.99</v>
      </c>
    </row>
    <row r="447" spans="1:7" ht="15" customHeight="1" x14ac:dyDescent="0.3">
      <c r="A447" s="21" t="s">
        <v>149</v>
      </c>
      <c r="B447" s="21">
        <v>2020</v>
      </c>
      <c r="C447" s="21">
        <v>11</v>
      </c>
      <c r="D447" s="21" t="s">
        <v>224</v>
      </c>
      <c r="E447" s="21">
        <v>0.5</v>
      </c>
      <c r="F447" s="21">
        <v>12.09</v>
      </c>
      <c r="G447" s="21">
        <v>418.91</v>
      </c>
    </row>
    <row r="448" spans="1:7" ht="15" customHeight="1" x14ac:dyDescent="0.3">
      <c r="A448" s="21" t="s">
        <v>150</v>
      </c>
      <c r="B448" s="21">
        <v>2020</v>
      </c>
      <c r="C448" s="21">
        <v>12</v>
      </c>
      <c r="D448" s="21" t="s">
        <v>224</v>
      </c>
      <c r="E448" s="21">
        <v>0</v>
      </c>
      <c r="F448" s="21">
        <v>0</v>
      </c>
      <c r="G448" s="21">
        <v>0</v>
      </c>
    </row>
    <row r="449" spans="1:7" ht="15" customHeight="1" x14ac:dyDescent="0.3">
      <c r="A449" s="21" t="s">
        <v>151</v>
      </c>
      <c r="B449" s="21">
        <v>2021</v>
      </c>
      <c r="C449" s="21">
        <v>1</v>
      </c>
      <c r="D449" s="21" t="s">
        <v>224</v>
      </c>
      <c r="E449" s="21">
        <v>0.6</v>
      </c>
      <c r="F449" s="21">
        <v>14.43</v>
      </c>
      <c r="G449" s="21">
        <v>506.15</v>
      </c>
    </row>
    <row r="450" spans="1:7" ht="15" customHeight="1" x14ac:dyDescent="0.3">
      <c r="A450" s="21" t="s">
        <v>152</v>
      </c>
      <c r="B450" s="21">
        <v>2021</v>
      </c>
      <c r="C450" s="21">
        <v>2</v>
      </c>
      <c r="D450" s="21" t="s">
        <v>224</v>
      </c>
      <c r="E450" s="21">
        <v>0.1</v>
      </c>
      <c r="F450" s="21">
        <v>1.93</v>
      </c>
      <c r="G450" s="21">
        <v>67.650000000000006</v>
      </c>
    </row>
    <row r="451" spans="1:7" ht="15" customHeight="1" x14ac:dyDescent="0.3">
      <c r="A451" s="21" t="s">
        <v>153</v>
      </c>
      <c r="B451" s="21">
        <v>2021</v>
      </c>
      <c r="C451" s="21">
        <v>3</v>
      </c>
      <c r="D451" s="21" t="s">
        <v>224</v>
      </c>
      <c r="E451" s="21">
        <v>0.2</v>
      </c>
      <c r="F451" s="21">
        <v>5.4</v>
      </c>
      <c r="G451" s="21">
        <v>186.13</v>
      </c>
    </row>
    <row r="452" spans="1:7" ht="15" customHeight="1" x14ac:dyDescent="0.3">
      <c r="A452" s="21" t="s">
        <v>154</v>
      </c>
      <c r="B452" s="21">
        <v>2021</v>
      </c>
      <c r="C452" s="21">
        <v>4</v>
      </c>
      <c r="D452" s="21" t="s">
        <v>224</v>
      </c>
      <c r="E452" s="21">
        <v>0.1</v>
      </c>
      <c r="F452" s="21">
        <v>3.32</v>
      </c>
      <c r="G452" s="21">
        <v>114.15</v>
      </c>
    </row>
    <row r="453" spans="1:7" ht="15" customHeight="1" x14ac:dyDescent="0.3">
      <c r="A453" s="21" t="s">
        <v>155</v>
      </c>
      <c r="B453" s="21">
        <v>2021</v>
      </c>
      <c r="C453" s="21">
        <v>5</v>
      </c>
      <c r="D453" s="21" t="s">
        <v>224</v>
      </c>
      <c r="E453" s="21">
        <v>0</v>
      </c>
      <c r="F453" s="21">
        <v>0.43</v>
      </c>
      <c r="G453" s="21">
        <v>14.71</v>
      </c>
    </row>
    <row r="454" spans="1:7" ht="15" customHeight="1" x14ac:dyDescent="0.3">
      <c r="A454" s="21" t="s">
        <v>156</v>
      </c>
      <c r="B454" s="21">
        <v>2021</v>
      </c>
      <c r="C454" s="21">
        <v>6</v>
      </c>
      <c r="D454" s="21" t="s">
        <v>224</v>
      </c>
      <c r="E454" s="21">
        <v>1.6</v>
      </c>
      <c r="F454" s="21">
        <v>45.65</v>
      </c>
      <c r="G454" s="21">
        <v>1566.99</v>
      </c>
    </row>
    <row r="455" spans="1:7" ht="15" customHeight="1" x14ac:dyDescent="0.3">
      <c r="A455" s="21" t="s">
        <v>157</v>
      </c>
      <c r="B455" s="21">
        <v>2021</v>
      </c>
      <c r="C455" s="21">
        <v>7</v>
      </c>
      <c r="D455" s="21" t="s">
        <v>224</v>
      </c>
      <c r="E455" s="21">
        <v>1.2</v>
      </c>
      <c r="F455" s="21">
        <v>40.51</v>
      </c>
      <c r="G455" s="21">
        <v>1371.78</v>
      </c>
    </row>
    <row r="456" spans="1:7" ht="15" customHeight="1" x14ac:dyDescent="0.3">
      <c r="A456" s="21" t="s">
        <v>158</v>
      </c>
      <c r="B456" s="21">
        <v>2021</v>
      </c>
      <c r="C456" s="21">
        <v>8</v>
      </c>
      <c r="D456" s="21" t="s">
        <v>224</v>
      </c>
      <c r="E456" s="21">
        <v>1.6</v>
      </c>
      <c r="F456" s="21">
        <v>55.46</v>
      </c>
      <c r="G456" s="21">
        <v>1876.59</v>
      </c>
    </row>
    <row r="457" spans="1:7" ht="15" customHeight="1" x14ac:dyDescent="0.3">
      <c r="A457" s="21" t="s">
        <v>159</v>
      </c>
      <c r="B457" s="21">
        <v>2021</v>
      </c>
      <c r="C457" s="21">
        <v>9</v>
      </c>
      <c r="D457" s="21" t="s">
        <v>224</v>
      </c>
      <c r="E457" s="21">
        <v>0</v>
      </c>
      <c r="F457" s="21">
        <v>0.19</v>
      </c>
      <c r="G457" s="21">
        <v>6.45</v>
      </c>
    </row>
    <row r="458" spans="1:7" ht="15" customHeight="1" x14ac:dyDescent="0.3">
      <c r="A458" s="21" t="s">
        <v>160</v>
      </c>
      <c r="B458" s="21">
        <v>2021</v>
      </c>
      <c r="C458" s="21">
        <v>10</v>
      </c>
      <c r="D458" s="21" t="s">
        <v>224</v>
      </c>
      <c r="E458" s="21">
        <v>0.7</v>
      </c>
      <c r="F458" s="21">
        <v>28.22</v>
      </c>
      <c r="G458" s="21">
        <v>957.95</v>
      </c>
    </row>
    <row r="459" spans="1:7" ht="15" customHeight="1" x14ac:dyDescent="0.3">
      <c r="A459" s="21" t="s">
        <v>161</v>
      </c>
      <c r="B459" s="21">
        <v>2021</v>
      </c>
      <c r="C459" s="21">
        <v>11</v>
      </c>
      <c r="D459" s="21" t="s">
        <v>224</v>
      </c>
      <c r="E459" s="21">
        <v>0</v>
      </c>
      <c r="F459" s="21">
        <v>0.14000000000000001</v>
      </c>
      <c r="G459" s="21">
        <v>4.6100000000000003</v>
      </c>
    </row>
    <row r="460" spans="1:7" ht="15" customHeight="1" x14ac:dyDescent="0.3">
      <c r="A460" s="21" t="s">
        <v>162</v>
      </c>
      <c r="B460" s="21">
        <v>2021</v>
      </c>
      <c r="C460" s="21">
        <v>12</v>
      </c>
      <c r="D460" s="21" t="s">
        <v>224</v>
      </c>
      <c r="E460" s="21">
        <v>0.3</v>
      </c>
      <c r="F460" s="21">
        <v>14.54</v>
      </c>
      <c r="G460" s="21">
        <v>489.83</v>
      </c>
    </row>
    <row r="461" spans="1:7" ht="15" customHeight="1" x14ac:dyDescent="0.3">
      <c r="A461" s="21" t="s">
        <v>163</v>
      </c>
      <c r="B461" s="21">
        <v>2022</v>
      </c>
      <c r="C461" s="21">
        <v>1</v>
      </c>
      <c r="D461" s="21" t="s">
        <v>224</v>
      </c>
      <c r="E461" s="21">
        <v>0.2</v>
      </c>
      <c r="F461" s="21">
        <v>10.37</v>
      </c>
      <c r="G461" s="21">
        <v>348.18</v>
      </c>
    </row>
    <row r="462" spans="1:7" ht="15" customHeight="1" x14ac:dyDescent="0.3">
      <c r="A462" s="21" t="s">
        <v>164</v>
      </c>
      <c r="B462" s="21">
        <v>2022</v>
      </c>
      <c r="C462" s="21">
        <v>2</v>
      </c>
      <c r="D462" s="21" t="s">
        <v>224</v>
      </c>
      <c r="E462" s="21">
        <v>1.3</v>
      </c>
      <c r="F462" s="21">
        <v>59.75</v>
      </c>
      <c r="G462" s="21">
        <v>2007.67</v>
      </c>
    </row>
    <row r="463" spans="1:7" ht="15" customHeight="1" x14ac:dyDescent="0.3">
      <c r="A463" s="21" t="s">
        <v>165</v>
      </c>
      <c r="B463" s="21">
        <v>2022</v>
      </c>
      <c r="C463" s="21">
        <v>3</v>
      </c>
      <c r="D463" s="21" t="s">
        <v>224</v>
      </c>
      <c r="E463" s="21">
        <v>0.5</v>
      </c>
      <c r="F463" s="21">
        <v>28.02</v>
      </c>
      <c r="G463" s="21">
        <v>938.53</v>
      </c>
    </row>
    <row r="464" spans="1:7" ht="15" customHeight="1" x14ac:dyDescent="0.3">
      <c r="A464" s="21" t="s">
        <v>166</v>
      </c>
      <c r="B464" s="21">
        <v>2022</v>
      </c>
      <c r="C464" s="21">
        <v>4</v>
      </c>
      <c r="D464" s="21" t="s">
        <v>224</v>
      </c>
      <c r="E464" s="21">
        <v>1.3</v>
      </c>
      <c r="F464" s="21">
        <v>70.73</v>
      </c>
      <c r="G464" s="21">
        <v>2420.9699999999998</v>
      </c>
    </row>
    <row r="465" spans="1:7" ht="15" customHeight="1" x14ac:dyDescent="0.3">
      <c r="A465" s="21" t="s">
        <v>167</v>
      </c>
      <c r="B465" s="21">
        <v>2022</v>
      </c>
      <c r="C465" s="21">
        <v>5</v>
      </c>
      <c r="D465" s="21" t="s">
        <v>224</v>
      </c>
      <c r="E465" s="21">
        <v>1.1000000000000001</v>
      </c>
      <c r="F465" s="21">
        <v>62.65</v>
      </c>
      <c r="G465" s="21">
        <v>2135.6799999999998</v>
      </c>
    </row>
    <row r="466" spans="1:7" ht="15" customHeight="1" x14ac:dyDescent="0.3">
      <c r="A466" s="21" t="s">
        <v>168</v>
      </c>
      <c r="B466" s="21">
        <v>2022</v>
      </c>
      <c r="C466" s="21">
        <v>6</v>
      </c>
      <c r="D466" s="21" t="s">
        <v>224</v>
      </c>
      <c r="E466" s="21">
        <v>1.9</v>
      </c>
      <c r="F466" s="21">
        <v>112.42</v>
      </c>
      <c r="G466" s="21">
        <v>3798.6</v>
      </c>
    </row>
    <row r="467" spans="1:7" ht="15" customHeight="1" x14ac:dyDescent="0.3">
      <c r="A467" s="21" t="s">
        <v>169</v>
      </c>
      <c r="B467" s="21">
        <v>2022</v>
      </c>
      <c r="C467" s="21">
        <v>7</v>
      </c>
      <c r="D467" s="21" t="s">
        <v>224</v>
      </c>
      <c r="E467" s="21">
        <v>0</v>
      </c>
      <c r="F467" s="21">
        <v>2.74</v>
      </c>
      <c r="G467" s="21">
        <v>91.83</v>
      </c>
    </row>
    <row r="468" spans="1:7" ht="15" customHeight="1" x14ac:dyDescent="0.3">
      <c r="A468" s="21" t="s">
        <v>170</v>
      </c>
      <c r="B468" s="21">
        <v>2022</v>
      </c>
      <c r="C468" s="21">
        <v>8</v>
      </c>
      <c r="D468" s="21" t="s">
        <v>224</v>
      </c>
      <c r="E468" s="21">
        <v>1.4</v>
      </c>
      <c r="F468" s="21">
        <v>94.05</v>
      </c>
      <c r="G468" s="21">
        <v>3225.36</v>
      </c>
    </row>
    <row r="469" spans="1:7" ht="15" customHeight="1" x14ac:dyDescent="0.3">
      <c r="A469" s="21" t="s">
        <v>171</v>
      </c>
      <c r="B469" s="21">
        <v>2022</v>
      </c>
      <c r="C469" s="21">
        <v>9</v>
      </c>
      <c r="D469" s="21" t="s">
        <v>224</v>
      </c>
      <c r="E469" s="21">
        <v>1.4</v>
      </c>
      <c r="F469" s="21">
        <v>94.25</v>
      </c>
      <c r="G469" s="21">
        <v>3256.51</v>
      </c>
    </row>
    <row r="470" spans="1:7" ht="15" customHeight="1" x14ac:dyDescent="0.3">
      <c r="A470" s="21" t="s">
        <v>172</v>
      </c>
      <c r="B470" s="21">
        <v>2022</v>
      </c>
      <c r="C470" s="21">
        <v>10</v>
      </c>
      <c r="D470" s="21" t="s">
        <v>224</v>
      </c>
      <c r="E470" s="21">
        <v>0.3</v>
      </c>
      <c r="F470" s="21">
        <v>25.32</v>
      </c>
      <c r="G470" s="21">
        <v>872.09</v>
      </c>
    </row>
    <row r="471" spans="1:7" ht="15" customHeight="1" x14ac:dyDescent="0.3">
      <c r="A471" s="21" t="s">
        <v>173</v>
      </c>
      <c r="B471" s="21">
        <v>2022</v>
      </c>
      <c r="C471" s="21">
        <v>11</v>
      </c>
      <c r="D471" s="21" t="s">
        <v>224</v>
      </c>
      <c r="E471" s="21">
        <v>1.4</v>
      </c>
      <c r="F471" s="21">
        <v>98.95</v>
      </c>
      <c r="G471" s="21">
        <v>3364.02</v>
      </c>
    </row>
    <row r="472" spans="1:7" ht="15" customHeight="1" x14ac:dyDescent="0.3">
      <c r="A472" s="21" t="s">
        <v>174</v>
      </c>
      <c r="B472" s="21">
        <v>2022</v>
      </c>
      <c r="C472" s="21">
        <v>12</v>
      </c>
      <c r="D472" s="21" t="s">
        <v>224</v>
      </c>
      <c r="E472" s="21">
        <v>1</v>
      </c>
      <c r="F472" s="21">
        <v>81.010000000000005</v>
      </c>
      <c r="G472" s="21">
        <v>2774.96</v>
      </c>
    </row>
    <row r="473" spans="1:7" ht="15" customHeight="1" x14ac:dyDescent="0.3">
      <c r="A473" s="21" t="s">
        <v>175</v>
      </c>
      <c r="B473" s="21">
        <v>2023</v>
      </c>
      <c r="C473" s="21">
        <v>1</v>
      </c>
      <c r="D473" s="21" t="s">
        <v>224</v>
      </c>
      <c r="E473" s="21">
        <v>0.8</v>
      </c>
      <c r="F473" s="21">
        <v>61.86</v>
      </c>
      <c r="G473" s="21">
        <v>2116.85</v>
      </c>
    </row>
    <row r="474" spans="1:7" ht="15" customHeight="1" x14ac:dyDescent="0.3">
      <c r="A474" s="21" t="s">
        <v>176</v>
      </c>
      <c r="B474" s="21">
        <v>2023</v>
      </c>
      <c r="C474" s="21">
        <v>2</v>
      </c>
      <c r="D474" s="21" t="s">
        <v>224</v>
      </c>
      <c r="E474" s="21">
        <v>0.5</v>
      </c>
      <c r="F474" s="21">
        <v>36.799999999999997</v>
      </c>
      <c r="G474" s="21">
        <v>1259.1199999999999</v>
      </c>
    </row>
    <row r="475" spans="1:7" ht="15" customHeight="1" x14ac:dyDescent="0.3">
      <c r="A475" s="21" t="s">
        <v>177</v>
      </c>
      <c r="B475" s="21">
        <v>2023</v>
      </c>
      <c r="C475" s="21">
        <v>3</v>
      </c>
      <c r="D475" s="21" t="s">
        <v>224</v>
      </c>
      <c r="E475" s="21">
        <v>0.6</v>
      </c>
      <c r="F475" s="21">
        <v>48.23</v>
      </c>
      <c r="G475" s="21">
        <v>1651.11</v>
      </c>
    </row>
    <row r="476" spans="1:7" ht="15" customHeight="1" x14ac:dyDescent="0.3">
      <c r="A476" s="21" t="s">
        <v>178</v>
      </c>
      <c r="B476" s="21">
        <v>2023</v>
      </c>
      <c r="C476" s="21">
        <v>4</v>
      </c>
      <c r="D476" s="21" t="s">
        <v>224</v>
      </c>
      <c r="E476" s="21">
        <v>2</v>
      </c>
      <c r="F476" s="21">
        <v>174.19</v>
      </c>
      <c r="G476" s="21">
        <v>6031.38</v>
      </c>
    </row>
    <row r="477" spans="1:7" ht="15" customHeight="1" x14ac:dyDescent="0.3">
      <c r="A477" s="21" t="s">
        <v>179</v>
      </c>
      <c r="B477" s="21">
        <v>2023</v>
      </c>
      <c r="C477" s="21">
        <v>5</v>
      </c>
      <c r="D477" s="21" t="s">
        <v>224</v>
      </c>
      <c r="E477" s="21">
        <v>1</v>
      </c>
      <c r="F477" s="21">
        <v>85.69</v>
      </c>
      <c r="G477" s="21">
        <v>2982.65</v>
      </c>
    </row>
    <row r="478" spans="1:7" ht="15" customHeight="1" x14ac:dyDescent="0.3">
      <c r="A478" s="21" t="s">
        <v>180</v>
      </c>
      <c r="B478" s="21">
        <v>2023</v>
      </c>
      <c r="C478" s="21">
        <v>6</v>
      </c>
      <c r="D478" s="21" t="s">
        <v>224</v>
      </c>
      <c r="E478" s="21">
        <v>1.4</v>
      </c>
      <c r="F478" s="21">
        <v>126.74</v>
      </c>
      <c r="G478" s="21">
        <v>4406.25</v>
      </c>
    </row>
    <row r="479" spans="1:7" ht="15" customHeight="1" x14ac:dyDescent="0.3">
      <c r="A479" s="21" t="s">
        <v>181</v>
      </c>
      <c r="B479" s="21">
        <v>2023</v>
      </c>
      <c r="C479" s="21">
        <v>7</v>
      </c>
      <c r="D479" s="21" t="s">
        <v>224</v>
      </c>
      <c r="E479" s="21">
        <v>0.6</v>
      </c>
      <c r="F479" s="21">
        <v>58.58</v>
      </c>
      <c r="G479" s="21">
        <v>1998.8</v>
      </c>
    </row>
    <row r="480" spans="1:7" ht="15" customHeight="1" x14ac:dyDescent="0.3">
      <c r="A480" s="21" t="s">
        <v>182</v>
      </c>
      <c r="B480" s="21">
        <v>2023</v>
      </c>
      <c r="C480" s="21">
        <v>8</v>
      </c>
      <c r="D480" s="21" t="s">
        <v>224</v>
      </c>
      <c r="E480" s="21">
        <v>0.6</v>
      </c>
      <c r="F480" s="21">
        <v>64.569999999999993</v>
      </c>
      <c r="G480" s="21">
        <v>2212.8000000000002</v>
      </c>
    </row>
    <row r="481" spans="1:7" ht="15" customHeight="1" x14ac:dyDescent="0.3">
      <c r="A481" s="21" t="s">
        <v>183</v>
      </c>
      <c r="B481" s="21">
        <v>2023</v>
      </c>
      <c r="C481" s="21">
        <v>9</v>
      </c>
      <c r="D481" s="21" t="s">
        <v>224</v>
      </c>
      <c r="E481" s="21">
        <v>1.6</v>
      </c>
      <c r="F481" s="21">
        <v>164.58</v>
      </c>
      <c r="G481" s="21">
        <v>5651.19</v>
      </c>
    </row>
    <row r="482" spans="1:7" ht="15" customHeight="1" x14ac:dyDescent="0.3">
      <c r="A482" s="21" t="s">
        <v>184</v>
      </c>
      <c r="B482" s="21">
        <v>2023</v>
      </c>
      <c r="C482" s="21">
        <v>10</v>
      </c>
      <c r="D482" s="21" t="s">
        <v>224</v>
      </c>
      <c r="E482" s="21">
        <v>0.4</v>
      </c>
      <c r="F482" s="21">
        <v>40.869999999999997</v>
      </c>
      <c r="G482" s="21">
        <v>1394.78</v>
      </c>
    </row>
    <row r="483" spans="1:7" ht="15" customHeight="1" x14ac:dyDescent="0.3">
      <c r="A483" s="21" t="s">
        <v>185</v>
      </c>
      <c r="B483" s="21">
        <v>2023</v>
      </c>
      <c r="C483" s="21">
        <v>11</v>
      </c>
      <c r="D483" s="21" t="s">
        <v>224</v>
      </c>
      <c r="E483" s="21">
        <v>0.8</v>
      </c>
      <c r="F483" s="21">
        <v>94.05</v>
      </c>
      <c r="G483" s="21">
        <v>3224.18</v>
      </c>
    </row>
    <row r="484" spans="1:7" ht="15" customHeight="1" x14ac:dyDescent="0.3">
      <c r="A484" s="21" t="s">
        <v>186</v>
      </c>
      <c r="B484" s="21">
        <v>2023</v>
      </c>
      <c r="C484" s="21">
        <v>12</v>
      </c>
      <c r="D484" s="21" t="s">
        <v>224</v>
      </c>
      <c r="E484" s="21">
        <v>1.1000000000000001</v>
      </c>
      <c r="F484" s="21">
        <v>130.26</v>
      </c>
      <c r="G484" s="21">
        <v>4445.8</v>
      </c>
    </row>
    <row r="485" spans="1:7" ht="15" customHeight="1" x14ac:dyDescent="0.3">
      <c r="A485" s="21" t="s">
        <v>187</v>
      </c>
      <c r="B485" s="21">
        <v>2024</v>
      </c>
      <c r="C485" s="21">
        <v>1</v>
      </c>
      <c r="D485" s="21" t="s">
        <v>224</v>
      </c>
      <c r="E485" s="21">
        <v>1.1000000000000001</v>
      </c>
      <c r="F485" s="21">
        <v>138.99</v>
      </c>
      <c r="G485" s="21">
        <v>4766.1099999999997</v>
      </c>
    </row>
    <row r="486" spans="1:7" ht="15" customHeight="1" x14ac:dyDescent="0.3">
      <c r="A486" s="21" t="s">
        <v>188</v>
      </c>
      <c r="B486" s="21">
        <v>2024</v>
      </c>
      <c r="C486" s="21">
        <v>2</v>
      </c>
      <c r="D486" s="21" t="s">
        <v>224</v>
      </c>
      <c r="E486" s="21">
        <v>1</v>
      </c>
      <c r="F486" s="21">
        <v>115.59</v>
      </c>
      <c r="G486" s="21">
        <v>3965.32</v>
      </c>
    </row>
    <row r="487" spans="1:7" ht="15" customHeight="1" x14ac:dyDescent="0.3">
      <c r="A487" s="21" t="s">
        <v>189</v>
      </c>
      <c r="B487" s="21">
        <v>2024</v>
      </c>
      <c r="C487" s="21">
        <v>3</v>
      </c>
      <c r="D487" s="21" t="s">
        <v>224</v>
      </c>
      <c r="E487" s="21">
        <v>1.3</v>
      </c>
      <c r="F487" s="21">
        <v>176.74</v>
      </c>
      <c r="G487" s="21">
        <v>6052.7</v>
      </c>
    </row>
    <row r="488" spans="1:7" ht="15" customHeight="1" x14ac:dyDescent="0.3">
      <c r="A488" s="21" t="s">
        <v>190</v>
      </c>
      <c r="B488" s="21">
        <v>2024</v>
      </c>
      <c r="C488" s="21">
        <v>4</v>
      </c>
      <c r="D488" s="21" t="s">
        <v>224</v>
      </c>
      <c r="E488" s="21">
        <v>1.5</v>
      </c>
      <c r="F488" s="21">
        <v>197.13</v>
      </c>
      <c r="G488" s="21">
        <v>6753.33</v>
      </c>
    </row>
    <row r="489" spans="1:7" ht="15" customHeight="1" x14ac:dyDescent="0.3">
      <c r="A489" s="21" t="s">
        <v>191</v>
      </c>
      <c r="B489" s="21">
        <v>2024</v>
      </c>
      <c r="C489" s="21">
        <v>5</v>
      </c>
      <c r="D489" s="21" t="s">
        <v>224</v>
      </c>
      <c r="E489" s="21">
        <v>1.5</v>
      </c>
      <c r="F489" s="21">
        <v>212.97</v>
      </c>
      <c r="G489" s="21">
        <v>7289.2</v>
      </c>
    </row>
    <row r="490" spans="1:7" ht="15" customHeight="1" x14ac:dyDescent="0.3">
      <c r="A490" s="21" t="s">
        <v>192</v>
      </c>
      <c r="B490" s="21">
        <v>2024</v>
      </c>
      <c r="C490" s="21">
        <v>6</v>
      </c>
      <c r="D490" s="21" t="s">
        <v>224</v>
      </c>
      <c r="E490" s="21">
        <v>0.7</v>
      </c>
      <c r="F490" s="21">
        <v>93.55</v>
      </c>
      <c r="G490" s="21">
        <v>3202</v>
      </c>
    </row>
    <row r="491" spans="1:7" ht="15" customHeight="1" x14ac:dyDescent="0.3">
      <c r="A491" s="21" t="s">
        <v>193</v>
      </c>
      <c r="B491" s="21">
        <v>2024</v>
      </c>
      <c r="C491" s="21">
        <v>7</v>
      </c>
      <c r="D491" s="21" t="s">
        <v>224</v>
      </c>
      <c r="E491" s="21">
        <v>1</v>
      </c>
      <c r="F491" s="21">
        <v>150.33000000000001</v>
      </c>
      <c r="G491" s="21">
        <v>5137.87</v>
      </c>
    </row>
    <row r="492" spans="1:7" ht="15" customHeight="1" x14ac:dyDescent="0.3">
      <c r="A492" s="21" t="s">
        <v>194</v>
      </c>
      <c r="B492" s="21">
        <v>2024</v>
      </c>
      <c r="C492" s="21">
        <v>8</v>
      </c>
      <c r="D492" s="21" t="s">
        <v>224</v>
      </c>
      <c r="E492" s="21">
        <v>1.8</v>
      </c>
      <c r="F492" s="21">
        <v>270.39999999999998</v>
      </c>
      <c r="G492" s="21">
        <v>9254.5400000000009</v>
      </c>
    </row>
    <row r="493" spans="1:7" ht="15" customHeight="1" x14ac:dyDescent="0.3">
      <c r="A493" s="21" t="s">
        <v>195</v>
      </c>
      <c r="B493" s="21">
        <v>2024</v>
      </c>
      <c r="C493" s="21">
        <v>9</v>
      </c>
      <c r="D493" s="21" t="s">
        <v>224</v>
      </c>
      <c r="E493" s="21">
        <v>1.7</v>
      </c>
      <c r="F493" s="21">
        <v>250.26</v>
      </c>
      <c r="G493" s="21">
        <v>8557.74</v>
      </c>
    </row>
    <row r="494" spans="1:7" ht="15" customHeight="1" x14ac:dyDescent="0.3">
      <c r="A494" s="21" t="s">
        <v>196</v>
      </c>
      <c r="B494" s="21">
        <v>2024</v>
      </c>
      <c r="C494" s="21">
        <v>10</v>
      </c>
      <c r="D494" s="21" t="s">
        <v>224</v>
      </c>
      <c r="E494" s="21">
        <v>0.5</v>
      </c>
      <c r="F494" s="21">
        <v>90.7</v>
      </c>
      <c r="G494" s="21">
        <v>3104.06</v>
      </c>
    </row>
    <row r="495" spans="1:7" ht="15" customHeight="1" x14ac:dyDescent="0.3">
      <c r="A495" s="21" t="s">
        <v>197</v>
      </c>
      <c r="B495" s="21">
        <v>2024</v>
      </c>
      <c r="C495" s="21">
        <v>11</v>
      </c>
      <c r="D495" s="21" t="s">
        <v>224</v>
      </c>
      <c r="E495" s="21">
        <v>1.4</v>
      </c>
      <c r="F495" s="21">
        <v>220.8</v>
      </c>
      <c r="G495" s="21">
        <v>7559.84</v>
      </c>
    </row>
    <row r="496" spans="1:7" ht="15" customHeight="1" x14ac:dyDescent="0.3">
      <c r="A496" s="21" t="s">
        <v>198</v>
      </c>
      <c r="B496" s="21">
        <v>2024</v>
      </c>
      <c r="C496" s="21">
        <v>12</v>
      </c>
      <c r="D496" s="21" t="s">
        <v>224</v>
      </c>
      <c r="E496" s="21">
        <v>0.3</v>
      </c>
      <c r="F496" s="21">
        <v>46.43</v>
      </c>
      <c r="G496" s="21">
        <v>1589.75</v>
      </c>
    </row>
    <row r="497" spans="1:7" ht="15" customHeight="1" x14ac:dyDescent="0.3">
      <c r="A497" s="21" t="s">
        <v>199</v>
      </c>
      <c r="B497" s="21">
        <v>2025</v>
      </c>
      <c r="C497" s="21">
        <v>1</v>
      </c>
      <c r="D497" s="21" t="s">
        <v>224</v>
      </c>
      <c r="E497" s="21">
        <v>1.3</v>
      </c>
      <c r="F497" s="21">
        <v>222.08</v>
      </c>
      <c r="G497" s="21">
        <v>7609.63</v>
      </c>
    </row>
    <row r="498" spans="1:7" ht="15" customHeight="1" x14ac:dyDescent="0.3">
      <c r="A498" s="21" t="s">
        <v>200</v>
      </c>
      <c r="B498" s="21">
        <v>2025</v>
      </c>
      <c r="C498" s="21">
        <v>2</v>
      </c>
      <c r="D498" s="21" t="s">
        <v>224</v>
      </c>
      <c r="E498" s="21">
        <v>2.2000000000000002</v>
      </c>
      <c r="F498" s="21">
        <v>351.95</v>
      </c>
      <c r="G498" s="21">
        <v>12058.06</v>
      </c>
    </row>
    <row r="499" spans="1:7" ht="15" customHeight="1" x14ac:dyDescent="0.3">
      <c r="A499" s="21" t="s">
        <v>146</v>
      </c>
      <c r="B499" s="21">
        <v>2020</v>
      </c>
      <c r="C499" s="21">
        <v>8</v>
      </c>
      <c r="D499" s="21" t="s">
        <v>223</v>
      </c>
      <c r="E499" s="21">
        <v>0</v>
      </c>
      <c r="F499" s="21">
        <v>0</v>
      </c>
      <c r="G499" s="21">
        <v>0</v>
      </c>
    </row>
    <row r="500" spans="1:7" ht="15" customHeight="1" x14ac:dyDescent="0.3">
      <c r="A500" s="21" t="s">
        <v>147</v>
      </c>
      <c r="B500" s="21">
        <v>2020</v>
      </c>
      <c r="C500" s="21">
        <v>9</v>
      </c>
      <c r="D500" s="21" t="s">
        <v>223</v>
      </c>
      <c r="E500" s="21">
        <v>0</v>
      </c>
      <c r="F500" s="21">
        <v>0</v>
      </c>
      <c r="G500" s="21">
        <v>0</v>
      </c>
    </row>
    <row r="501" spans="1:7" ht="15" customHeight="1" x14ac:dyDescent="0.3">
      <c r="A501" s="21" t="s">
        <v>148</v>
      </c>
      <c r="B501" s="21">
        <v>2020</v>
      </c>
      <c r="C501" s="21">
        <v>10</v>
      </c>
      <c r="D501" s="21" t="s">
        <v>223</v>
      </c>
      <c r="E501" s="21">
        <v>0.5</v>
      </c>
      <c r="F501" s="21">
        <v>10.29</v>
      </c>
      <c r="G501" s="21">
        <v>355.63</v>
      </c>
    </row>
    <row r="502" spans="1:7" ht="15" customHeight="1" x14ac:dyDescent="0.3">
      <c r="A502" s="21" t="s">
        <v>149</v>
      </c>
      <c r="B502" s="21">
        <v>2020</v>
      </c>
      <c r="C502" s="21">
        <v>11</v>
      </c>
      <c r="D502" s="21" t="s">
        <v>223</v>
      </c>
      <c r="E502" s="21">
        <v>0</v>
      </c>
      <c r="F502" s="21">
        <v>0</v>
      </c>
      <c r="G502" s="21">
        <v>0</v>
      </c>
    </row>
    <row r="503" spans="1:7" ht="15" customHeight="1" x14ac:dyDescent="0.3">
      <c r="A503" s="21" t="s">
        <v>150</v>
      </c>
      <c r="B503" s="21">
        <v>2020</v>
      </c>
      <c r="C503" s="21">
        <v>12</v>
      </c>
      <c r="D503" s="21" t="s">
        <v>223</v>
      </c>
      <c r="E503" s="21">
        <v>0</v>
      </c>
      <c r="F503" s="21">
        <v>0</v>
      </c>
      <c r="G503" s="21">
        <v>0</v>
      </c>
    </row>
    <row r="504" spans="1:7" ht="15" customHeight="1" x14ac:dyDescent="0.3">
      <c r="A504" s="21" t="s">
        <v>151</v>
      </c>
      <c r="B504" s="21">
        <v>2021</v>
      </c>
      <c r="C504" s="21">
        <v>1</v>
      </c>
      <c r="D504" s="21" t="s">
        <v>223</v>
      </c>
      <c r="E504" s="21">
        <v>0.6</v>
      </c>
      <c r="F504" s="21">
        <v>13.48</v>
      </c>
      <c r="G504" s="21">
        <v>472.6</v>
      </c>
    </row>
    <row r="505" spans="1:7" ht="15" customHeight="1" x14ac:dyDescent="0.3">
      <c r="A505" s="21" t="s">
        <v>152</v>
      </c>
      <c r="B505" s="21">
        <v>2021</v>
      </c>
      <c r="C505" s="21">
        <v>2</v>
      </c>
      <c r="D505" s="21" t="s">
        <v>223</v>
      </c>
      <c r="E505" s="21">
        <v>0</v>
      </c>
      <c r="F505" s="21">
        <v>0.63</v>
      </c>
      <c r="G505" s="21">
        <v>21.98</v>
      </c>
    </row>
    <row r="506" spans="1:7" ht="15" customHeight="1" x14ac:dyDescent="0.3">
      <c r="A506" s="21" t="s">
        <v>153</v>
      </c>
      <c r="B506" s="21">
        <v>2021</v>
      </c>
      <c r="C506" s="21">
        <v>3</v>
      </c>
      <c r="D506" s="21" t="s">
        <v>223</v>
      </c>
      <c r="E506" s="21">
        <v>0.3</v>
      </c>
      <c r="F506" s="21">
        <v>7.75</v>
      </c>
      <c r="G506" s="21">
        <v>267.49</v>
      </c>
    </row>
    <row r="507" spans="1:7" ht="15" customHeight="1" x14ac:dyDescent="0.3">
      <c r="A507" s="21" t="s">
        <v>154</v>
      </c>
      <c r="B507" s="21">
        <v>2021</v>
      </c>
      <c r="C507" s="21">
        <v>4</v>
      </c>
      <c r="D507" s="21" t="s">
        <v>223</v>
      </c>
      <c r="E507" s="21">
        <v>0.8</v>
      </c>
      <c r="F507" s="21">
        <v>21.96</v>
      </c>
      <c r="G507" s="21">
        <v>755.28</v>
      </c>
    </row>
    <row r="508" spans="1:7" ht="15" customHeight="1" x14ac:dyDescent="0.3">
      <c r="A508" s="21" t="s">
        <v>155</v>
      </c>
      <c r="B508" s="21">
        <v>2021</v>
      </c>
      <c r="C508" s="21">
        <v>5</v>
      </c>
      <c r="D508" s="21" t="s">
        <v>223</v>
      </c>
      <c r="E508" s="21">
        <v>0.7</v>
      </c>
      <c r="F508" s="21">
        <v>18.45</v>
      </c>
      <c r="G508" s="21">
        <v>634.04</v>
      </c>
    </row>
    <row r="509" spans="1:7" ht="15" customHeight="1" x14ac:dyDescent="0.3">
      <c r="A509" s="21" t="s">
        <v>156</v>
      </c>
      <c r="B509" s="21">
        <v>2021</v>
      </c>
      <c r="C509" s="21">
        <v>6</v>
      </c>
      <c r="D509" s="21" t="s">
        <v>223</v>
      </c>
      <c r="E509" s="21">
        <v>0.7</v>
      </c>
      <c r="F509" s="21">
        <v>19.829999999999998</v>
      </c>
      <c r="G509" s="21">
        <v>680.53</v>
      </c>
    </row>
    <row r="510" spans="1:7" ht="15" customHeight="1" x14ac:dyDescent="0.3">
      <c r="A510" s="21" t="s">
        <v>157</v>
      </c>
      <c r="B510" s="21">
        <v>2021</v>
      </c>
      <c r="C510" s="21">
        <v>7</v>
      </c>
      <c r="D510" s="21" t="s">
        <v>223</v>
      </c>
      <c r="E510" s="21">
        <v>0.5</v>
      </c>
      <c r="F510" s="21">
        <v>14.98</v>
      </c>
      <c r="G510" s="21">
        <v>507.33</v>
      </c>
    </row>
    <row r="511" spans="1:7" ht="15" customHeight="1" x14ac:dyDescent="0.3">
      <c r="A511" s="21" t="s">
        <v>158</v>
      </c>
      <c r="B511" s="21">
        <v>2021</v>
      </c>
      <c r="C511" s="21">
        <v>8</v>
      </c>
      <c r="D511" s="21" t="s">
        <v>223</v>
      </c>
      <c r="E511" s="21">
        <v>0.9</v>
      </c>
      <c r="F511" s="21">
        <v>31.07</v>
      </c>
      <c r="G511" s="21">
        <v>1051.1500000000001</v>
      </c>
    </row>
    <row r="512" spans="1:7" ht="15" customHeight="1" x14ac:dyDescent="0.3">
      <c r="A512" s="21" t="s">
        <v>159</v>
      </c>
      <c r="B512" s="21">
        <v>2021</v>
      </c>
      <c r="C512" s="21">
        <v>9</v>
      </c>
      <c r="D512" s="21" t="s">
        <v>223</v>
      </c>
      <c r="E512" s="21">
        <v>0.7</v>
      </c>
      <c r="F512" s="21">
        <v>25</v>
      </c>
      <c r="G512" s="21">
        <v>845.75</v>
      </c>
    </row>
    <row r="513" spans="1:7" ht="15" customHeight="1" x14ac:dyDescent="0.3">
      <c r="A513" s="21" t="s">
        <v>160</v>
      </c>
      <c r="B513" s="21">
        <v>2021</v>
      </c>
      <c r="C513" s="21">
        <v>10</v>
      </c>
      <c r="D513" s="21" t="s">
        <v>223</v>
      </c>
      <c r="E513" s="21">
        <v>1</v>
      </c>
      <c r="F513" s="21">
        <v>43.56</v>
      </c>
      <c r="G513" s="21">
        <v>1478.69</v>
      </c>
    </row>
    <row r="514" spans="1:7" ht="15" customHeight="1" x14ac:dyDescent="0.3">
      <c r="A514" s="21" t="s">
        <v>161</v>
      </c>
      <c r="B514" s="21">
        <v>2021</v>
      </c>
      <c r="C514" s="21">
        <v>11</v>
      </c>
      <c r="D514" s="21" t="s">
        <v>223</v>
      </c>
      <c r="E514" s="21">
        <v>0.6</v>
      </c>
      <c r="F514" s="21">
        <v>25.65</v>
      </c>
      <c r="G514" s="21">
        <v>870.57</v>
      </c>
    </row>
    <row r="515" spans="1:7" ht="15" customHeight="1" x14ac:dyDescent="0.3">
      <c r="A515" s="21" t="s">
        <v>162</v>
      </c>
      <c r="B515" s="21">
        <v>2021</v>
      </c>
      <c r="C515" s="21">
        <v>12</v>
      </c>
      <c r="D515" s="21" t="s">
        <v>223</v>
      </c>
      <c r="E515" s="21">
        <v>0.8</v>
      </c>
      <c r="F515" s="21">
        <v>37.729999999999997</v>
      </c>
      <c r="G515" s="21">
        <v>1270.96</v>
      </c>
    </row>
    <row r="516" spans="1:7" ht="15" customHeight="1" x14ac:dyDescent="0.3">
      <c r="A516" s="21" t="s">
        <v>163</v>
      </c>
      <c r="B516" s="21">
        <v>2022</v>
      </c>
      <c r="C516" s="21">
        <v>1</v>
      </c>
      <c r="D516" s="21" t="s">
        <v>223</v>
      </c>
      <c r="E516" s="21">
        <v>0.5</v>
      </c>
      <c r="F516" s="21">
        <v>22.23</v>
      </c>
      <c r="G516" s="21">
        <v>746.67</v>
      </c>
    </row>
    <row r="517" spans="1:7" ht="15" customHeight="1" x14ac:dyDescent="0.3">
      <c r="A517" s="21" t="s">
        <v>164</v>
      </c>
      <c r="B517" s="21">
        <v>2022</v>
      </c>
      <c r="C517" s="21">
        <v>2</v>
      </c>
      <c r="D517" s="21" t="s">
        <v>223</v>
      </c>
      <c r="E517" s="21">
        <v>1</v>
      </c>
      <c r="F517" s="21">
        <v>45.99</v>
      </c>
      <c r="G517" s="21">
        <v>1545.28</v>
      </c>
    </row>
    <row r="518" spans="1:7" ht="15" customHeight="1" x14ac:dyDescent="0.3">
      <c r="A518" s="21" t="s">
        <v>165</v>
      </c>
      <c r="B518" s="21">
        <v>2022</v>
      </c>
      <c r="C518" s="21">
        <v>3</v>
      </c>
      <c r="D518" s="21" t="s">
        <v>223</v>
      </c>
      <c r="E518" s="21">
        <v>0.7</v>
      </c>
      <c r="F518" s="21">
        <v>37.03</v>
      </c>
      <c r="G518" s="21">
        <v>1240.22</v>
      </c>
    </row>
    <row r="519" spans="1:7" ht="15" customHeight="1" x14ac:dyDescent="0.3">
      <c r="A519" s="21" t="s">
        <v>166</v>
      </c>
      <c r="B519" s="21">
        <v>2022</v>
      </c>
      <c r="C519" s="21">
        <v>4</v>
      </c>
      <c r="D519" s="21" t="s">
        <v>223</v>
      </c>
      <c r="E519" s="21">
        <v>0.6</v>
      </c>
      <c r="F519" s="21">
        <v>32.979999999999997</v>
      </c>
      <c r="G519" s="21">
        <v>1129.05</v>
      </c>
    </row>
    <row r="520" spans="1:7" ht="15" customHeight="1" x14ac:dyDescent="0.3">
      <c r="A520" s="21" t="s">
        <v>167</v>
      </c>
      <c r="B520" s="21">
        <v>2022</v>
      </c>
      <c r="C520" s="21">
        <v>5</v>
      </c>
      <c r="D520" s="21" t="s">
        <v>223</v>
      </c>
      <c r="E520" s="21">
        <v>1.3</v>
      </c>
      <c r="F520" s="21">
        <v>79.489999999999995</v>
      </c>
      <c r="G520" s="21">
        <v>2709.82</v>
      </c>
    </row>
    <row r="521" spans="1:7" ht="15" customHeight="1" x14ac:dyDescent="0.3">
      <c r="A521" s="21" t="s">
        <v>168</v>
      </c>
      <c r="B521" s="21">
        <v>2022</v>
      </c>
      <c r="C521" s="21">
        <v>6</v>
      </c>
      <c r="D521" s="21" t="s">
        <v>223</v>
      </c>
      <c r="E521" s="21">
        <v>1.4</v>
      </c>
      <c r="F521" s="21">
        <v>80.239999999999995</v>
      </c>
      <c r="G521" s="21">
        <v>2711.28</v>
      </c>
    </row>
    <row r="522" spans="1:7" ht="15" customHeight="1" x14ac:dyDescent="0.3">
      <c r="A522" s="21" t="s">
        <v>169</v>
      </c>
      <c r="B522" s="21">
        <v>2022</v>
      </c>
      <c r="C522" s="21">
        <v>7</v>
      </c>
      <c r="D522" s="21" t="s">
        <v>223</v>
      </c>
      <c r="E522" s="21">
        <v>1.7</v>
      </c>
      <c r="F522" s="21">
        <v>107.5</v>
      </c>
      <c r="G522" s="21">
        <v>3604.38</v>
      </c>
    </row>
    <row r="523" spans="1:7" ht="15" customHeight="1" x14ac:dyDescent="0.3">
      <c r="A523" s="21" t="s">
        <v>170</v>
      </c>
      <c r="B523" s="21">
        <v>2022</v>
      </c>
      <c r="C523" s="21">
        <v>8</v>
      </c>
      <c r="D523" s="21" t="s">
        <v>223</v>
      </c>
      <c r="E523" s="21">
        <v>1.2</v>
      </c>
      <c r="F523" s="21">
        <v>76.459999999999994</v>
      </c>
      <c r="G523" s="21">
        <v>2622.07</v>
      </c>
    </row>
    <row r="524" spans="1:7" ht="15" customHeight="1" x14ac:dyDescent="0.3">
      <c r="A524" s="21" t="s">
        <v>171</v>
      </c>
      <c r="B524" s="21">
        <v>2022</v>
      </c>
      <c r="C524" s="21">
        <v>9</v>
      </c>
      <c r="D524" s="21" t="s">
        <v>223</v>
      </c>
      <c r="E524" s="21">
        <v>1.6</v>
      </c>
      <c r="F524" s="21">
        <v>111.15</v>
      </c>
      <c r="G524" s="21">
        <v>3840.67</v>
      </c>
    </row>
    <row r="525" spans="1:7" ht="15" customHeight="1" x14ac:dyDescent="0.3">
      <c r="A525" s="21" t="s">
        <v>172</v>
      </c>
      <c r="B525" s="21">
        <v>2022</v>
      </c>
      <c r="C525" s="21">
        <v>10</v>
      </c>
      <c r="D525" s="21" t="s">
        <v>223</v>
      </c>
      <c r="E525" s="21">
        <v>1.8</v>
      </c>
      <c r="F525" s="21">
        <v>129.15</v>
      </c>
      <c r="G525" s="21">
        <v>4447.91</v>
      </c>
    </row>
    <row r="526" spans="1:7" ht="15" customHeight="1" x14ac:dyDescent="0.3">
      <c r="A526" s="21" t="s">
        <v>173</v>
      </c>
      <c r="B526" s="21">
        <v>2022</v>
      </c>
      <c r="C526" s="21">
        <v>11</v>
      </c>
      <c r="D526" s="21" t="s">
        <v>223</v>
      </c>
      <c r="E526" s="21">
        <v>1.8</v>
      </c>
      <c r="F526" s="21">
        <v>129.56</v>
      </c>
      <c r="G526" s="21">
        <v>4404.91</v>
      </c>
    </row>
    <row r="527" spans="1:7" ht="15" customHeight="1" x14ac:dyDescent="0.3">
      <c r="A527" s="21" t="s">
        <v>174</v>
      </c>
      <c r="B527" s="21">
        <v>2022</v>
      </c>
      <c r="C527" s="21">
        <v>12</v>
      </c>
      <c r="D527" s="21" t="s">
        <v>223</v>
      </c>
      <c r="E527" s="21">
        <v>1.2</v>
      </c>
      <c r="F527" s="21">
        <v>93.52</v>
      </c>
      <c r="G527" s="21">
        <v>3203.63</v>
      </c>
    </row>
    <row r="528" spans="1:7" ht="15" customHeight="1" x14ac:dyDescent="0.3">
      <c r="A528" s="21" t="s">
        <v>175</v>
      </c>
      <c r="B528" s="21">
        <v>2023</v>
      </c>
      <c r="C528" s="21">
        <v>1</v>
      </c>
      <c r="D528" s="21" t="s">
        <v>223</v>
      </c>
      <c r="E528" s="21">
        <v>1.7</v>
      </c>
      <c r="F528" s="21">
        <v>139.82</v>
      </c>
      <c r="G528" s="21">
        <v>4784.66</v>
      </c>
    </row>
    <row r="529" spans="1:7" ht="15" customHeight="1" x14ac:dyDescent="0.3">
      <c r="A529" s="21" t="s">
        <v>176</v>
      </c>
      <c r="B529" s="21">
        <v>2023</v>
      </c>
      <c r="C529" s="21">
        <v>2</v>
      </c>
      <c r="D529" s="21" t="s">
        <v>223</v>
      </c>
      <c r="E529" s="21">
        <v>1.9</v>
      </c>
      <c r="F529" s="21">
        <v>143.58000000000001</v>
      </c>
      <c r="G529" s="21">
        <v>4913.07</v>
      </c>
    </row>
    <row r="530" spans="1:7" ht="15" customHeight="1" x14ac:dyDescent="0.3">
      <c r="A530" s="21" t="s">
        <v>177</v>
      </c>
      <c r="B530" s="21">
        <v>2023</v>
      </c>
      <c r="C530" s="21">
        <v>3</v>
      </c>
      <c r="D530" s="21" t="s">
        <v>223</v>
      </c>
      <c r="E530" s="21">
        <v>1.8</v>
      </c>
      <c r="F530" s="21">
        <v>154.37</v>
      </c>
      <c r="G530" s="21">
        <v>5284.93</v>
      </c>
    </row>
    <row r="531" spans="1:7" ht="15" customHeight="1" x14ac:dyDescent="0.3">
      <c r="A531" s="21" t="s">
        <v>178</v>
      </c>
      <c r="B531" s="21">
        <v>2023</v>
      </c>
      <c r="C531" s="21">
        <v>4</v>
      </c>
      <c r="D531" s="21" t="s">
        <v>223</v>
      </c>
      <c r="E531" s="21">
        <v>0.8</v>
      </c>
      <c r="F531" s="21">
        <v>70.61</v>
      </c>
      <c r="G531" s="21">
        <v>2444.9</v>
      </c>
    </row>
    <row r="532" spans="1:7" ht="15" customHeight="1" x14ac:dyDescent="0.3">
      <c r="A532" s="21" t="s">
        <v>179</v>
      </c>
      <c r="B532" s="21">
        <v>2023</v>
      </c>
      <c r="C532" s="21">
        <v>5</v>
      </c>
      <c r="D532" s="21" t="s">
        <v>223</v>
      </c>
      <c r="E532" s="21">
        <v>2</v>
      </c>
      <c r="F532" s="21">
        <v>178.06</v>
      </c>
      <c r="G532" s="21">
        <v>6197.56</v>
      </c>
    </row>
    <row r="533" spans="1:7" ht="15" customHeight="1" x14ac:dyDescent="0.3">
      <c r="A533" s="21" t="s">
        <v>180</v>
      </c>
      <c r="B533" s="21">
        <v>2023</v>
      </c>
      <c r="C533" s="21">
        <v>6</v>
      </c>
      <c r="D533" s="21" t="s">
        <v>223</v>
      </c>
      <c r="E533" s="21">
        <v>3.1</v>
      </c>
      <c r="F533" s="21">
        <v>285.48</v>
      </c>
      <c r="G533" s="21">
        <v>9924.51</v>
      </c>
    </row>
    <row r="534" spans="1:7" ht="15" customHeight="1" x14ac:dyDescent="0.3">
      <c r="A534" s="21" t="s">
        <v>181</v>
      </c>
      <c r="B534" s="21">
        <v>2023</v>
      </c>
      <c r="C534" s="21">
        <v>7</v>
      </c>
      <c r="D534" s="21" t="s">
        <v>223</v>
      </c>
      <c r="E534" s="21">
        <v>1.8</v>
      </c>
      <c r="F534" s="21">
        <v>182.27</v>
      </c>
      <c r="G534" s="21">
        <v>6219.41</v>
      </c>
    </row>
    <row r="535" spans="1:7" ht="15" customHeight="1" x14ac:dyDescent="0.3">
      <c r="A535" s="21" t="s">
        <v>182</v>
      </c>
      <c r="B535" s="21">
        <v>2023</v>
      </c>
      <c r="C535" s="21">
        <v>8</v>
      </c>
      <c r="D535" s="21" t="s">
        <v>223</v>
      </c>
      <c r="E535" s="21">
        <v>1.7</v>
      </c>
      <c r="F535" s="21">
        <v>180.21</v>
      </c>
      <c r="G535" s="21">
        <v>6175.6</v>
      </c>
    </row>
    <row r="536" spans="1:7" ht="15" customHeight="1" x14ac:dyDescent="0.3">
      <c r="A536" s="21" t="s">
        <v>183</v>
      </c>
      <c r="B536" s="21">
        <v>2023</v>
      </c>
      <c r="C536" s="21">
        <v>9</v>
      </c>
      <c r="D536" s="21" t="s">
        <v>223</v>
      </c>
      <c r="E536" s="21">
        <v>2.2999999999999998</v>
      </c>
      <c r="F536" s="21">
        <v>244.15</v>
      </c>
      <c r="G536" s="21">
        <v>8383.4</v>
      </c>
    </row>
    <row r="537" spans="1:7" ht="15" customHeight="1" x14ac:dyDescent="0.3">
      <c r="A537" s="21" t="s">
        <v>184</v>
      </c>
      <c r="B537" s="21">
        <v>2023</v>
      </c>
      <c r="C537" s="21">
        <v>10</v>
      </c>
      <c r="D537" s="21" t="s">
        <v>223</v>
      </c>
      <c r="E537" s="21">
        <v>2.2999999999999998</v>
      </c>
      <c r="F537" s="21">
        <v>266.49</v>
      </c>
      <c r="G537" s="21">
        <v>9093.77</v>
      </c>
    </row>
    <row r="538" spans="1:7" ht="15" customHeight="1" x14ac:dyDescent="0.3">
      <c r="A538" s="21" t="s">
        <v>185</v>
      </c>
      <c r="B538" s="21">
        <v>2023</v>
      </c>
      <c r="C538" s="21">
        <v>11</v>
      </c>
      <c r="D538" s="21" t="s">
        <v>223</v>
      </c>
      <c r="E538" s="21">
        <v>2.8</v>
      </c>
      <c r="F538" s="21">
        <v>316.56</v>
      </c>
      <c r="G538" s="21">
        <v>10851.66</v>
      </c>
    </row>
    <row r="539" spans="1:7" ht="15" customHeight="1" x14ac:dyDescent="0.3">
      <c r="A539" s="21" t="s">
        <v>186</v>
      </c>
      <c r="B539" s="21">
        <v>2023</v>
      </c>
      <c r="C539" s="21">
        <v>12</v>
      </c>
      <c r="D539" s="21" t="s">
        <v>223</v>
      </c>
      <c r="E539" s="21">
        <v>1.7</v>
      </c>
      <c r="F539" s="21">
        <v>200.42</v>
      </c>
      <c r="G539" s="21">
        <v>6840.35</v>
      </c>
    </row>
    <row r="540" spans="1:7" ht="15" customHeight="1" x14ac:dyDescent="0.3">
      <c r="A540" s="21" t="s">
        <v>187</v>
      </c>
      <c r="B540" s="21">
        <v>2024</v>
      </c>
      <c r="C540" s="21">
        <v>1</v>
      </c>
      <c r="D540" s="21" t="s">
        <v>223</v>
      </c>
      <c r="E540" s="21">
        <v>2.7</v>
      </c>
      <c r="F540" s="21">
        <v>331.85</v>
      </c>
      <c r="G540" s="21">
        <v>11379.03</v>
      </c>
    </row>
    <row r="541" spans="1:7" ht="15" customHeight="1" x14ac:dyDescent="0.3">
      <c r="A541" s="21" t="s">
        <v>188</v>
      </c>
      <c r="B541" s="21">
        <v>2024</v>
      </c>
      <c r="C541" s="21">
        <v>2</v>
      </c>
      <c r="D541" s="21" t="s">
        <v>223</v>
      </c>
      <c r="E541" s="21">
        <v>2.7</v>
      </c>
      <c r="F541" s="21">
        <v>309.58</v>
      </c>
      <c r="G541" s="21">
        <v>10620.42</v>
      </c>
    </row>
    <row r="542" spans="1:7" ht="15" customHeight="1" x14ac:dyDescent="0.3">
      <c r="A542" s="21" t="s">
        <v>189</v>
      </c>
      <c r="B542" s="21">
        <v>2024</v>
      </c>
      <c r="C542" s="21">
        <v>3</v>
      </c>
      <c r="D542" s="21" t="s">
        <v>223</v>
      </c>
      <c r="E542" s="21">
        <v>2.4</v>
      </c>
      <c r="F542" s="21">
        <v>322.33999999999997</v>
      </c>
      <c r="G542" s="21">
        <v>11038.56</v>
      </c>
    </row>
    <row r="543" spans="1:7" ht="15" customHeight="1" x14ac:dyDescent="0.3">
      <c r="A543" s="21" t="s">
        <v>190</v>
      </c>
      <c r="B543" s="21">
        <v>2024</v>
      </c>
      <c r="C543" s="21">
        <v>4</v>
      </c>
      <c r="D543" s="21" t="s">
        <v>223</v>
      </c>
      <c r="E543" s="21">
        <v>2.7</v>
      </c>
      <c r="F543" s="21">
        <v>359.06</v>
      </c>
      <c r="G543" s="21">
        <v>12300.67</v>
      </c>
    </row>
    <row r="544" spans="1:7" ht="15" customHeight="1" x14ac:dyDescent="0.3">
      <c r="A544" s="21" t="s">
        <v>191</v>
      </c>
      <c r="B544" s="21">
        <v>2024</v>
      </c>
      <c r="C544" s="21">
        <v>5</v>
      </c>
      <c r="D544" s="21" t="s">
        <v>223</v>
      </c>
      <c r="E544" s="21">
        <v>3.1</v>
      </c>
      <c r="F544" s="21">
        <v>434.84</v>
      </c>
      <c r="G544" s="21">
        <v>14883.09</v>
      </c>
    </row>
    <row r="545" spans="1:7" ht="15" customHeight="1" x14ac:dyDescent="0.3">
      <c r="A545" s="21" t="s">
        <v>192</v>
      </c>
      <c r="B545" s="21">
        <v>2024</v>
      </c>
      <c r="C545" s="21">
        <v>6</v>
      </c>
      <c r="D545" s="21" t="s">
        <v>223</v>
      </c>
      <c r="E545" s="21">
        <v>3.1</v>
      </c>
      <c r="F545" s="21">
        <v>427.23</v>
      </c>
      <c r="G545" s="21">
        <v>14622.65</v>
      </c>
    </row>
    <row r="546" spans="1:7" ht="15" customHeight="1" x14ac:dyDescent="0.3">
      <c r="A546" s="21" t="s">
        <v>193</v>
      </c>
      <c r="B546" s="21">
        <v>2024</v>
      </c>
      <c r="C546" s="21">
        <v>7</v>
      </c>
      <c r="D546" s="21" t="s">
        <v>223</v>
      </c>
      <c r="E546" s="21">
        <v>2.1</v>
      </c>
      <c r="F546" s="21">
        <v>307.02</v>
      </c>
      <c r="G546" s="21">
        <v>10493.47</v>
      </c>
    </row>
    <row r="547" spans="1:7" ht="15" customHeight="1" x14ac:dyDescent="0.3">
      <c r="A547" s="21" t="s">
        <v>194</v>
      </c>
      <c r="B547" s="21">
        <v>2024</v>
      </c>
      <c r="C547" s="21">
        <v>8</v>
      </c>
      <c r="D547" s="21" t="s">
        <v>223</v>
      </c>
      <c r="E547" s="21">
        <v>3.2</v>
      </c>
      <c r="F547" s="21">
        <v>476.24</v>
      </c>
      <c r="G547" s="21">
        <v>16299.54</v>
      </c>
    </row>
    <row r="548" spans="1:7" ht="15" customHeight="1" x14ac:dyDescent="0.3">
      <c r="A548" s="21" t="s">
        <v>195</v>
      </c>
      <c r="B548" s="21">
        <v>2024</v>
      </c>
      <c r="C548" s="21">
        <v>9</v>
      </c>
      <c r="D548" s="21" t="s">
        <v>223</v>
      </c>
      <c r="E548" s="21">
        <v>2.8</v>
      </c>
      <c r="F548" s="21">
        <v>418.21</v>
      </c>
      <c r="G548" s="21">
        <v>14300.44</v>
      </c>
    </row>
    <row r="549" spans="1:7" ht="15" customHeight="1" x14ac:dyDescent="0.3">
      <c r="A549" s="21" t="s">
        <v>196</v>
      </c>
      <c r="B549" s="21">
        <v>2024</v>
      </c>
      <c r="C549" s="21">
        <v>10</v>
      </c>
      <c r="D549" s="21" t="s">
        <v>223</v>
      </c>
      <c r="E549" s="21">
        <v>2.9</v>
      </c>
      <c r="F549" s="21">
        <v>482.06</v>
      </c>
      <c r="G549" s="21">
        <v>16498.169999999998</v>
      </c>
    </row>
    <row r="550" spans="1:7" ht="15" customHeight="1" x14ac:dyDescent="0.3">
      <c r="A550" s="21" t="s">
        <v>197</v>
      </c>
      <c r="B550" s="21">
        <v>2024</v>
      </c>
      <c r="C550" s="21">
        <v>11</v>
      </c>
      <c r="D550" s="21" t="s">
        <v>223</v>
      </c>
      <c r="E550" s="21">
        <v>3</v>
      </c>
      <c r="F550" s="21">
        <v>459.09</v>
      </c>
      <c r="G550" s="21">
        <v>15718.31</v>
      </c>
    </row>
    <row r="551" spans="1:7" ht="15" customHeight="1" x14ac:dyDescent="0.3">
      <c r="A551" s="21" t="s">
        <v>198</v>
      </c>
      <c r="B551" s="21">
        <v>2024</v>
      </c>
      <c r="C551" s="21">
        <v>12</v>
      </c>
      <c r="D551" s="21" t="s">
        <v>223</v>
      </c>
      <c r="E551" s="21">
        <v>2.9</v>
      </c>
      <c r="F551" s="21">
        <v>486.77</v>
      </c>
      <c r="G551" s="21">
        <v>16667.97</v>
      </c>
    </row>
    <row r="552" spans="1:7" ht="15" customHeight="1" x14ac:dyDescent="0.3">
      <c r="A552" s="21" t="s">
        <v>199</v>
      </c>
      <c r="B552" s="21">
        <v>2025</v>
      </c>
      <c r="C552" s="21">
        <v>1</v>
      </c>
      <c r="D552" s="21" t="s">
        <v>223</v>
      </c>
      <c r="E552" s="21">
        <v>3.6</v>
      </c>
      <c r="F552" s="21">
        <v>618.32000000000005</v>
      </c>
      <c r="G552" s="21">
        <v>21187.040000000001</v>
      </c>
    </row>
    <row r="553" spans="1:7" ht="15" customHeight="1" x14ac:dyDescent="0.3">
      <c r="A553" s="21" t="s">
        <v>200</v>
      </c>
      <c r="B553" s="21">
        <v>2025</v>
      </c>
      <c r="C553" s="21">
        <v>2</v>
      </c>
      <c r="D553" s="21" t="s">
        <v>223</v>
      </c>
      <c r="E553" s="21">
        <v>3.1</v>
      </c>
      <c r="F553" s="21">
        <v>478.6</v>
      </c>
      <c r="G553" s="21">
        <v>16397.14</v>
      </c>
    </row>
    <row r="554" spans="1:7" ht="15" customHeight="1" x14ac:dyDescent="0.3">
      <c r="A554" s="21" t="s">
        <v>158</v>
      </c>
      <c r="B554" s="21">
        <v>2021</v>
      </c>
      <c r="C554" s="21">
        <v>8</v>
      </c>
      <c r="D554" s="21" t="s">
        <v>227</v>
      </c>
      <c r="E554" s="21">
        <v>0</v>
      </c>
      <c r="F554" s="21">
        <v>0</v>
      </c>
      <c r="G554" s="21">
        <v>0</v>
      </c>
    </row>
    <row r="555" spans="1:7" ht="15" customHeight="1" x14ac:dyDescent="0.3">
      <c r="A555" s="21" t="s">
        <v>159</v>
      </c>
      <c r="B555" s="21">
        <v>2021</v>
      </c>
      <c r="C555" s="21">
        <v>9</v>
      </c>
      <c r="D555" s="21" t="s">
        <v>227</v>
      </c>
      <c r="E555" s="21">
        <v>0</v>
      </c>
      <c r="F555" s="21">
        <v>0</v>
      </c>
      <c r="G555" s="21">
        <v>0</v>
      </c>
    </row>
    <row r="556" spans="1:7" ht="15" customHeight="1" x14ac:dyDescent="0.3">
      <c r="A556" s="21" t="s">
        <v>160</v>
      </c>
      <c r="B556" s="21">
        <v>2021</v>
      </c>
      <c r="C556" s="21">
        <v>10</v>
      </c>
      <c r="D556" s="21" t="s">
        <v>227</v>
      </c>
      <c r="E556" s="21">
        <v>0.1</v>
      </c>
      <c r="F556" s="21">
        <v>5.38</v>
      </c>
      <c r="G556" s="21">
        <v>182.5</v>
      </c>
    </row>
    <row r="557" spans="1:7" ht="15" customHeight="1" x14ac:dyDescent="0.3">
      <c r="A557" s="21" t="s">
        <v>161</v>
      </c>
      <c r="B557" s="21">
        <v>2021</v>
      </c>
      <c r="C557" s="21">
        <v>11</v>
      </c>
      <c r="D557" s="21" t="s">
        <v>227</v>
      </c>
      <c r="E557" s="21">
        <v>0.7</v>
      </c>
      <c r="F557" s="21">
        <v>28.12</v>
      </c>
      <c r="G557" s="21">
        <v>954.56</v>
      </c>
    </row>
    <row r="558" spans="1:7" ht="15" customHeight="1" x14ac:dyDescent="0.3">
      <c r="A558" s="21" t="s">
        <v>162</v>
      </c>
      <c r="B558" s="21">
        <v>2021</v>
      </c>
      <c r="C558" s="21">
        <v>12</v>
      </c>
      <c r="D558" s="21" t="s">
        <v>227</v>
      </c>
      <c r="E558" s="21">
        <v>0.4</v>
      </c>
      <c r="F558" s="21">
        <v>17.23</v>
      </c>
      <c r="G558" s="21">
        <v>580.36</v>
      </c>
    </row>
    <row r="559" spans="1:7" ht="15" customHeight="1" x14ac:dyDescent="0.3">
      <c r="A559" s="21" t="s">
        <v>163</v>
      </c>
      <c r="B559" s="21">
        <v>2022</v>
      </c>
      <c r="C559" s="21">
        <v>1</v>
      </c>
      <c r="D559" s="21" t="s">
        <v>227</v>
      </c>
      <c r="E559" s="21">
        <v>0</v>
      </c>
      <c r="F559" s="21">
        <v>0</v>
      </c>
      <c r="G559" s="21">
        <v>0</v>
      </c>
    </row>
    <row r="560" spans="1:7" ht="15" customHeight="1" x14ac:dyDescent="0.3">
      <c r="A560" s="21" t="s">
        <v>164</v>
      </c>
      <c r="B560" s="21">
        <v>2022</v>
      </c>
      <c r="C560" s="21">
        <v>2</v>
      </c>
      <c r="D560" s="21" t="s">
        <v>227</v>
      </c>
      <c r="E560" s="21">
        <v>1.4</v>
      </c>
      <c r="F560" s="21">
        <v>61.43</v>
      </c>
      <c r="G560" s="21">
        <v>2064.09</v>
      </c>
    </row>
    <row r="561" spans="1:7" ht="15" customHeight="1" x14ac:dyDescent="0.3">
      <c r="A561" s="21" t="s">
        <v>165</v>
      </c>
      <c r="B561" s="21">
        <v>2022</v>
      </c>
      <c r="C561" s="21">
        <v>3</v>
      </c>
      <c r="D561" s="21" t="s">
        <v>227</v>
      </c>
      <c r="E561" s="21">
        <v>0.3</v>
      </c>
      <c r="F561" s="21">
        <v>14.36</v>
      </c>
      <c r="G561" s="21">
        <v>480.93</v>
      </c>
    </row>
    <row r="562" spans="1:7" ht="15" customHeight="1" x14ac:dyDescent="0.3">
      <c r="A562" s="21" t="s">
        <v>166</v>
      </c>
      <c r="B562" s="21">
        <v>2022</v>
      </c>
      <c r="C562" s="21">
        <v>4</v>
      </c>
      <c r="D562" s="21" t="s">
        <v>227</v>
      </c>
      <c r="E562" s="21">
        <v>0.8</v>
      </c>
      <c r="F562" s="21">
        <v>44.09</v>
      </c>
      <c r="G562" s="21">
        <v>1509.05</v>
      </c>
    </row>
    <row r="563" spans="1:7" ht="15" customHeight="1" x14ac:dyDescent="0.3">
      <c r="A563" s="21" t="s">
        <v>167</v>
      </c>
      <c r="B563" s="21">
        <v>2022</v>
      </c>
      <c r="C563" s="21">
        <v>5</v>
      </c>
      <c r="D563" s="21" t="s">
        <v>227</v>
      </c>
      <c r="E563" s="21">
        <v>0.1</v>
      </c>
      <c r="F563" s="21">
        <v>5.69</v>
      </c>
      <c r="G563" s="21">
        <v>194.01</v>
      </c>
    </row>
    <row r="564" spans="1:7" ht="15" customHeight="1" x14ac:dyDescent="0.3">
      <c r="A564" s="21" t="s">
        <v>168</v>
      </c>
      <c r="B564" s="21">
        <v>2022</v>
      </c>
      <c r="C564" s="21">
        <v>6</v>
      </c>
      <c r="D564" s="21" t="s">
        <v>227</v>
      </c>
      <c r="E564" s="21">
        <v>0.5</v>
      </c>
      <c r="F564" s="21">
        <v>26.79</v>
      </c>
      <c r="G564" s="21">
        <v>905.17</v>
      </c>
    </row>
    <row r="565" spans="1:7" ht="15" customHeight="1" x14ac:dyDescent="0.3">
      <c r="A565" s="21" t="s">
        <v>169</v>
      </c>
      <c r="B565" s="21">
        <v>2022</v>
      </c>
      <c r="C565" s="21">
        <v>7</v>
      </c>
      <c r="D565" s="21" t="s">
        <v>227</v>
      </c>
      <c r="E565" s="21">
        <v>0.6</v>
      </c>
      <c r="F565" s="21">
        <v>39.520000000000003</v>
      </c>
      <c r="G565" s="21">
        <v>1324.97</v>
      </c>
    </row>
    <row r="566" spans="1:7" ht="15" customHeight="1" x14ac:dyDescent="0.3">
      <c r="A566" s="21" t="s">
        <v>170</v>
      </c>
      <c r="B566" s="21">
        <v>2022</v>
      </c>
      <c r="C566" s="21">
        <v>8</v>
      </c>
      <c r="D566" s="21" t="s">
        <v>227</v>
      </c>
      <c r="E566" s="21">
        <v>0.8</v>
      </c>
      <c r="F566" s="21">
        <v>55.11</v>
      </c>
      <c r="G566" s="21">
        <v>1889.86</v>
      </c>
    </row>
    <row r="567" spans="1:7" ht="15" customHeight="1" x14ac:dyDescent="0.3">
      <c r="A567" s="21" t="s">
        <v>171</v>
      </c>
      <c r="B567" s="21">
        <v>2022</v>
      </c>
      <c r="C567" s="21">
        <v>9</v>
      </c>
      <c r="D567" s="21" t="s">
        <v>227</v>
      </c>
      <c r="E567" s="21">
        <v>0.8</v>
      </c>
      <c r="F567" s="21">
        <v>52.64</v>
      </c>
      <c r="G567" s="21">
        <v>1818.88</v>
      </c>
    </row>
    <row r="568" spans="1:7" ht="15" customHeight="1" x14ac:dyDescent="0.3">
      <c r="A568" s="21" t="s">
        <v>172</v>
      </c>
      <c r="B568" s="21">
        <v>2022</v>
      </c>
      <c r="C568" s="21">
        <v>10</v>
      </c>
      <c r="D568" s="21" t="s">
        <v>227</v>
      </c>
      <c r="E568" s="21">
        <v>0.7</v>
      </c>
      <c r="F568" s="21">
        <v>51.34</v>
      </c>
      <c r="G568" s="21">
        <v>1768.02</v>
      </c>
    </row>
    <row r="569" spans="1:7" ht="15" customHeight="1" x14ac:dyDescent="0.3">
      <c r="A569" s="21" t="s">
        <v>173</v>
      </c>
      <c r="B569" s="21">
        <v>2022</v>
      </c>
      <c r="C569" s="21">
        <v>11</v>
      </c>
      <c r="D569" s="21" t="s">
        <v>227</v>
      </c>
      <c r="E569" s="21">
        <v>0.1</v>
      </c>
      <c r="F569" s="21">
        <v>9.3699999999999992</v>
      </c>
      <c r="G569" s="21">
        <v>318.54000000000002</v>
      </c>
    </row>
    <row r="570" spans="1:7" ht="15" customHeight="1" x14ac:dyDescent="0.3">
      <c r="A570" s="21" t="s">
        <v>174</v>
      </c>
      <c r="B570" s="21">
        <v>2022</v>
      </c>
      <c r="C570" s="21">
        <v>12</v>
      </c>
      <c r="D570" s="21" t="s">
        <v>227</v>
      </c>
      <c r="E570" s="21">
        <v>0</v>
      </c>
      <c r="F570" s="21">
        <v>1.48</v>
      </c>
      <c r="G570" s="21">
        <v>50.66</v>
      </c>
    </row>
    <row r="571" spans="1:7" ht="15" customHeight="1" x14ac:dyDescent="0.3">
      <c r="A571" s="21" t="s">
        <v>175</v>
      </c>
      <c r="B571" s="21">
        <v>2023</v>
      </c>
      <c r="C571" s="21">
        <v>1</v>
      </c>
      <c r="D571" s="21" t="s">
        <v>227</v>
      </c>
      <c r="E571" s="21">
        <v>0.5</v>
      </c>
      <c r="F571" s="21">
        <v>39.4</v>
      </c>
      <c r="G571" s="21">
        <v>1348.11</v>
      </c>
    </row>
    <row r="572" spans="1:7" ht="15" customHeight="1" x14ac:dyDescent="0.3">
      <c r="A572" s="21" t="s">
        <v>176</v>
      </c>
      <c r="B572" s="21">
        <v>2023</v>
      </c>
      <c r="C572" s="21">
        <v>2</v>
      </c>
      <c r="D572" s="21" t="s">
        <v>227</v>
      </c>
      <c r="E572" s="21">
        <v>0.8</v>
      </c>
      <c r="F572" s="21">
        <v>61.03</v>
      </c>
      <c r="G572" s="21">
        <v>2088.31</v>
      </c>
    </row>
    <row r="573" spans="1:7" ht="15" customHeight="1" x14ac:dyDescent="0.3">
      <c r="A573" s="21" t="s">
        <v>177</v>
      </c>
      <c r="B573" s="21">
        <v>2023</v>
      </c>
      <c r="C573" s="21">
        <v>3</v>
      </c>
      <c r="D573" s="21" t="s">
        <v>227</v>
      </c>
      <c r="E573" s="21">
        <v>0.3</v>
      </c>
      <c r="F573" s="21">
        <v>21.69</v>
      </c>
      <c r="G573" s="21">
        <v>742.54</v>
      </c>
    </row>
    <row r="574" spans="1:7" ht="15" customHeight="1" x14ac:dyDescent="0.3">
      <c r="A574" s="21" t="s">
        <v>178</v>
      </c>
      <c r="B574" s="21">
        <v>2023</v>
      </c>
      <c r="C574" s="21">
        <v>4</v>
      </c>
      <c r="D574" s="21" t="s">
        <v>227</v>
      </c>
      <c r="E574" s="21">
        <v>0.9</v>
      </c>
      <c r="F574" s="21">
        <v>81.260000000000005</v>
      </c>
      <c r="G574" s="21">
        <v>2813.7</v>
      </c>
    </row>
    <row r="575" spans="1:7" ht="15" customHeight="1" x14ac:dyDescent="0.3">
      <c r="A575" s="21" t="s">
        <v>179</v>
      </c>
      <c r="B575" s="21">
        <v>2023</v>
      </c>
      <c r="C575" s="21">
        <v>5</v>
      </c>
      <c r="D575" s="21" t="s">
        <v>227</v>
      </c>
      <c r="E575" s="21">
        <v>1.1000000000000001</v>
      </c>
      <c r="F575" s="21">
        <v>101.56</v>
      </c>
      <c r="G575" s="21">
        <v>3534.92</v>
      </c>
    </row>
    <row r="576" spans="1:7" ht="15" customHeight="1" x14ac:dyDescent="0.3">
      <c r="A576" s="21" t="s">
        <v>180</v>
      </c>
      <c r="B576" s="21">
        <v>2023</v>
      </c>
      <c r="C576" s="21">
        <v>6</v>
      </c>
      <c r="D576" s="21" t="s">
        <v>227</v>
      </c>
      <c r="E576" s="21">
        <v>0</v>
      </c>
      <c r="F576" s="21">
        <v>0</v>
      </c>
      <c r="G576" s="21">
        <v>0</v>
      </c>
    </row>
    <row r="577" spans="1:7" ht="15" customHeight="1" x14ac:dyDescent="0.3">
      <c r="A577" s="21" t="s">
        <v>181</v>
      </c>
      <c r="B577" s="21">
        <v>2023</v>
      </c>
      <c r="C577" s="21">
        <v>7</v>
      </c>
      <c r="D577" s="21" t="s">
        <v>227</v>
      </c>
      <c r="E577" s="21">
        <v>0</v>
      </c>
      <c r="F577" s="21">
        <v>1.96</v>
      </c>
      <c r="G577" s="21">
        <v>66.760000000000005</v>
      </c>
    </row>
    <row r="578" spans="1:7" ht="15" customHeight="1" x14ac:dyDescent="0.3">
      <c r="A578" s="21" t="s">
        <v>182</v>
      </c>
      <c r="B578" s="21">
        <v>2023</v>
      </c>
      <c r="C578" s="21">
        <v>8</v>
      </c>
      <c r="D578" s="21" t="s">
        <v>227</v>
      </c>
      <c r="E578" s="21">
        <v>0.4</v>
      </c>
      <c r="F578" s="21">
        <v>40.96</v>
      </c>
      <c r="G578" s="21">
        <v>1403.53</v>
      </c>
    </row>
    <row r="579" spans="1:7" ht="15" customHeight="1" x14ac:dyDescent="0.3">
      <c r="A579" s="21" t="s">
        <v>183</v>
      </c>
      <c r="B579" s="21">
        <v>2023</v>
      </c>
      <c r="C579" s="21">
        <v>9</v>
      </c>
      <c r="D579" s="21" t="s">
        <v>227</v>
      </c>
      <c r="E579" s="21">
        <v>0.6</v>
      </c>
      <c r="F579" s="21">
        <v>66.569999999999993</v>
      </c>
      <c r="G579" s="21">
        <v>2285.63</v>
      </c>
    </row>
    <row r="580" spans="1:7" ht="15" customHeight="1" x14ac:dyDescent="0.3">
      <c r="A580" s="21" t="s">
        <v>184</v>
      </c>
      <c r="B580" s="21">
        <v>2023</v>
      </c>
      <c r="C580" s="21">
        <v>10</v>
      </c>
      <c r="D580" s="21" t="s">
        <v>227</v>
      </c>
      <c r="E580" s="21">
        <v>0.2</v>
      </c>
      <c r="F580" s="21">
        <v>26.56</v>
      </c>
      <c r="G580" s="21">
        <v>906.22</v>
      </c>
    </row>
    <row r="581" spans="1:7" ht="15" customHeight="1" x14ac:dyDescent="0.3">
      <c r="A581" s="21" t="s">
        <v>185</v>
      </c>
      <c r="B581" s="21">
        <v>2023</v>
      </c>
      <c r="C581" s="21">
        <v>11</v>
      </c>
      <c r="D581" s="21" t="s">
        <v>227</v>
      </c>
      <c r="E581" s="21">
        <v>1.2</v>
      </c>
      <c r="F581" s="21">
        <v>132.91</v>
      </c>
      <c r="G581" s="21">
        <v>4556.09</v>
      </c>
    </row>
    <row r="582" spans="1:7" ht="15" customHeight="1" x14ac:dyDescent="0.3">
      <c r="A582" s="21" t="s">
        <v>186</v>
      </c>
      <c r="B582" s="21">
        <v>2023</v>
      </c>
      <c r="C582" s="21">
        <v>12</v>
      </c>
      <c r="D582" s="21" t="s">
        <v>227</v>
      </c>
      <c r="E582" s="21">
        <v>0.7</v>
      </c>
      <c r="F582" s="21">
        <v>89.59</v>
      </c>
      <c r="G582" s="21">
        <v>3057.87</v>
      </c>
    </row>
    <row r="583" spans="1:7" ht="15" customHeight="1" x14ac:dyDescent="0.3">
      <c r="A583" s="21" t="s">
        <v>187</v>
      </c>
      <c r="B583" s="21">
        <v>2024</v>
      </c>
      <c r="C583" s="21">
        <v>1</v>
      </c>
      <c r="D583" s="21" t="s">
        <v>227</v>
      </c>
      <c r="E583" s="21">
        <v>0.6</v>
      </c>
      <c r="F583" s="21">
        <v>69.81</v>
      </c>
      <c r="G583" s="21">
        <v>2393.91</v>
      </c>
    </row>
    <row r="584" spans="1:7" ht="15" customHeight="1" x14ac:dyDescent="0.3">
      <c r="A584" s="21" t="s">
        <v>188</v>
      </c>
      <c r="B584" s="21">
        <v>2024</v>
      </c>
      <c r="C584" s="21">
        <v>2</v>
      </c>
      <c r="D584" s="21" t="s">
        <v>227</v>
      </c>
      <c r="E584" s="21">
        <v>0</v>
      </c>
      <c r="F584" s="21">
        <v>0</v>
      </c>
      <c r="G584" s="21">
        <v>0</v>
      </c>
    </row>
    <row r="585" spans="1:7" ht="15" customHeight="1" x14ac:dyDescent="0.3">
      <c r="A585" s="21" t="s">
        <v>189</v>
      </c>
      <c r="B585" s="21">
        <v>2024</v>
      </c>
      <c r="C585" s="21">
        <v>3</v>
      </c>
      <c r="D585" s="21" t="s">
        <v>227</v>
      </c>
      <c r="E585" s="21">
        <v>0</v>
      </c>
      <c r="F585" s="21">
        <v>0</v>
      </c>
      <c r="G585" s="21">
        <v>0</v>
      </c>
    </row>
    <row r="586" spans="1:7" ht="15" customHeight="1" x14ac:dyDescent="0.3">
      <c r="A586" s="21" t="s">
        <v>190</v>
      </c>
      <c r="B586" s="21">
        <v>2024</v>
      </c>
      <c r="C586" s="21">
        <v>4</v>
      </c>
      <c r="D586" s="21" t="s">
        <v>227</v>
      </c>
      <c r="E586" s="21">
        <v>0.8</v>
      </c>
      <c r="F586" s="21">
        <v>99.92</v>
      </c>
      <c r="G586" s="21">
        <v>3422.98</v>
      </c>
    </row>
    <row r="587" spans="1:7" ht="15" customHeight="1" x14ac:dyDescent="0.3">
      <c r="A587" s="21" t="s">
        <v>191</v>
      </c>
      <c r="B587" s="21">
        <v>2024</v>
      </c>
      <c r="C587" s="21">
        <v>5</v>
      </c>
      <c r="D587" s="21" t="s">
        <v>227</v>
      </c>
      <c r="E587" s="21">
        <v>0</v>
      </c>
      <c r="F587" s="21">
        <v>0</v>
      </c>
      <c r="G587" s="21">
        <v>0</v>
      </c>
    </row>
    <row r="588" spans="1:7" ht="15" customHeight="1" x14ac:dyDescent="0.3">
      <c r="A588" s="21" t="s">
        <v>192</v>
      </c>
      <c r="B588" s="21">
        <v>2024</v>
      </c>
      <c r="C588" s="21">
        <v>6</v>
      </c>
      <c r="D588" s="21" t="s">
        <v>227</v>
      </c>
      <c r="E588" s="21">
        <v>1.2</v>
      </c>
      <c r="F588" s="21">
        <v>160.22</v>
      </c>
      <c r="G588" s="21">
        <v>5483.97</v>
      </c>
    </row>
    <row r="589" spans="1:7" ht="15" customHeight="1" x14ac:dyDescent="0.3">
      <c r="A589" s="21" t="s">
        <v>193</v>
      </c>
      <c r="B589" s="21">
        <v>2024</v>
      </c>
      <c r="C589" s="21">
        <v>7</v>
      </c>
      <c r="D589" s="21" t="s">
        <v>227</v>
      </c>
      <c r="E589" s="21">
        <v>0.6</v>
      </c>
      <c r="F589" s="21">
        <v>84.83</v>
      </c>
      <c r="G589" s="21">
        <v>2899.34</v>
      </c>
    </row>
    <row r="590" spans="1:7" ht="15" customHeight="1" x14ac:dyDescent="0.3">
      <c r="A590" s="21" t="s">
        <v>194</v>
      </c>
      <c r="B590" s="21">
        <v>2024</v>
      </c>
      <c r="C590" s="21">
        <v>8</v>
      </c>
      <c r="D590" s="21" t="s">
        <v>227</v>
      </c>
      <c r="E590" s="21">
        <v>2.2999999999999998</v>
      </c>
      <c r="F590" s="21">
        <v>347.1</v>
      </c>
      <c r="G590" s="21">
        <v>11879.85</v>
      </c>
    </row>
    <row r="591" spans="1:7" ht="15" customHeight="1" x14ac:dyDescent="0.3">
      <c r="A591" s="21" t="s">
        <v>195</v>
      </c>
      <c r="B591" s="21">
        <v>2024</v>
      </c>
      <c r="C591" s="21">
        <v>9</v>
      </c>
      <c r="D591" s="21" t="s">
        <v>227</v>
      </c>
      <c r="E591" s="21">
        <v>1.9</v>
      </c>
      <c r="F591" s="21">
        <v>279.55</v>
      </c>
      <c r="G591" s="21">
        <v>9559.2099999999991</v>
      </c>
    </row>
    <row r="592" spans="1:7" ht="15" customHeight="1" x14ac:dyDescent="0.3">
      <c r="A592" s="21" t="s">
        <v>196</v>
      </c>
      <c r="B592" s="21">
        <v>2024</v>
      </c>
      <c r="C592" s="21">
        <v>10</v>
      </c>
      <c r="D592" s="21" t="s">
        <v>227</v>
      </c>
      <c r="E592" s="21">
        <v>0.6</v>
      </c>
      <c r="F592" s="21">
        <v>104.99</v>
      </c>
      <c r="G592" s="21">
        <v>3593.2</v>
      </c>
    </row>
    <row r="593" spans="1:7" ht="15" customHeight="1" x14ac:dyDescent="0.3">
      <c r="A593" s="21" t="s">
        <v>197</v>
      </c>
      <c r="B593" s="21">
        <v>2024</v>
      </c>
      <c r="C593" s="21">
        <v>11</v>
      </c>
      <c r="D593" s="21" t="s">
        <v>227</v>
      </c>
      <c r="E593" s="21">
        <v>0.7</v>
      </c>
      <c r="F593" s="21">
        <v>106.81</v>
      </c>
      <c r="G593" s="21">
        <v>3657.01</v>
      </c>
    </row>
    <row r="594" spans="1:7" ht="15" customHeight="1" x14ac:dyDescent="0.3">
      <c r="A594" s="21" t="s">
        <v>198</v>
      </c>
      <c r="B594" s="21">
        <v>2024</v>
      </c>
      <c r="C594" s="21">
        <v>12</v>
      </c>
      <c r="D594" s="21" t="s">
        <v>227</v>
      </c>
      <c r="E594" s="21">
        <v>1.3</v>
      </c>
      <c r="F594" s="21">
        <v>210.71</v>
      </c>
      <c r="G594" s="21">
        <v>7215.16</v>
      </c>
    </row>
    <row r="595" spans="1:7" ht="15" customHeight="1" x14ac:dyDescent="0.3">
      <c r="A595" s="21" t="s">
        <v>199</v>
      </c>
      <c r="B595" s="21">
        <v>2025</v>
      </c>
      <c r="C595" s="21">
        <v>1</v>
      </c>
      <c r="D595" s="21" t="s">
        <v>227</v>
      </c>
      <c r="E595" s="21">
        <v>1.6</v>
      </c>
      <c r="F595" s="21">
        <v>277.43</v>
      </c>
      <c r="G595" s="21">
        <v>9506.44</v>
      </c>
    </row>
    <row r="596" spans="1:7" ht="15" customHeight="1" x14ac:dyDescent="0.3">
      <c r="A596" s="21" t="s">
        <v>200</v>
      </c>
      <c r="B596" s="21">
        <v>2025</v>
      </c>
      <c r="C596" s="21">
        <v>2</v>
      </c>
      <c r="D596" s="21" t="s">
        <v>227</v>
      </c>
      <c r="E596" s="21">
        <v>0</v>
      </c>
      <c r="F596" s="21">
        <v>0</v>
      </c>
      <c r="G596" s="21">
        <v>0</v>
      </c>
    </row>
  </sheetData>
  <mergeCells count="9">
    <mergeCell ref="A4:C4"/>
    <mergeCell ref="D4:F4"/>
    <mergeCell ref="G4:I4"/>
    <mergeCell ref="J4:L4"/>
    <mergeCell ref="A1:N1"/>
    <mergeCell ref="A3:C3"/>
    <mergeCell ref="D3:F3"/>
    <mergeCell ref="G3:I3"/>
    <mergeCell ref="J3:L3"/>
  </mergeCells>
  <conditionalFormatting sqref="J8:M14">
    <cfRule type="expression" dxfId="3" priority="2">
      <formula>M8&gt;=LARGE($M$8:$M$14,5)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C8A"/>
  </sheetPr>
  <dimension ref="A1:AJ1254"/>
  <sheetViews>
    <sheetView showGridLines="0" topLeftCell="M1" zoomScale="46" zoomScaleNormal="90" workbookViewId="0">
      <pane ySplit="1" topLeftCell="A59" activePane="bottomLeft" state="frozen"/>
      <selection pane="bottomLeft" activeCell="G48" sqref="G48"/>
    </sheetView>
  </sheetViews>
  <sheetFormatPr defaultColWidth="8.6640625" defaultRowHeight="14.4" x14ac:dyDescent="0.3"/>
  <cols>
    <col min="1" max="1" width="16" customWidth="1"/>
    <col min="2" max="2" width="10" customWidth="1"/>
    <col min="3" max="3" width="20" customWidth="1"/>
    <col min="4" max="4" width="19" customWidth="1"/>
    <col min="5" max="5" width="18" customWidth="1"/>
    <col min="6" max="6" width="15" customWidth="1"/>
    <col min="7" max="7" width="20" customWidth="1"/>
    <col min="9" max="12" width="17" customWidth="1"/>
    <col min="14" max="16" width="17" customWidth="1"/>
    <col min="18" max="20" width="17" customWidth="1"/>
    <col min="22" max="28" width="13" customWidth="1"/>
    <col min="30" max="36" width="13" customWidth="1"/>
  </cols>
  <sheetData>
    <row r="1" spans="1:36" ht="25.5" customHeight="1" x14ac:dyDescent="0.35">
      <c r="A1" s="11" t="s">
        <v>228</v>
      </c>
      <c r="B1" s="11"/>
      <c r="C1" s="11"/>
      <c r="D1" s="11"/>
      <c r="E1" s="11"/>
      <c r="F1" s="11"/>
      <c r="G1" s="11"/>
    </row>
    <row r="3" spans="1:36" ht="15" customHeight="1" x14ac:dyDescent="0.3">
      <c r="A3" s="10" t="s">
        <v>229</v>
      </c>
      <c r="B3" s="10"/>
      <c r="C3" s="10"/>
      <c r="D3" s="10" t="s">
        <v>230</v>
      </c>
      <c r="E3" s="10"/>
      <c r="F3" s="10"/>
      <c r="G3" s="10" t="s">
        <v>231</v>
      </c>
      <c r="H3" s="10"/>
      <c r="I3" s="10"/>
      <c r="J3" s="10" t="s">
        <v>232</v>
      </c>
      <c r="K3" s="10"/>
      <c r="L3" s="10"/>
    </row>
    <row r="4" spans="1:36" ht="17.25" customHeight="1" x14ac:dyDescent="0.3">
      <c r="A4" s="6" t="str">
        <f>INDEX(Tbl_State[state],MATCH(MAX(Tbl_State[volume_millions]),Tbl_State[volume_millions],0))</f>
        <v>Maharashtra</v>
      </c>
      <c r="B4" s="6"/>
      <c r="C4" s="6"/>
      <c r="D4" s="6" t="str">
        <f>INDEX(Tbl_State[state],MATCH(MAX(Tbl_State[value_crores]),Tbl_State[value_crores],0))</f>
        <v>Maharashtra</v>
      </c>
      <c r="E4" s="6"/>
      <c r="F4" s="6"/>
      <c r="G4" s="6" t="str">
        <f>INDEX(Tbl_State[state],MATCH(MAX(Tbl_State[avg_txn_value_inr]),Tbl_State[avg_txn_value_inr],0))</f>
        <v>Arunachal Pradesh</v>
      </c>
      <c r="H4" s="6"/>
      <c r="I4" s="6"/>
      <c r="J4" s="9">
        <f>36</f>
        <v>36</v>
      </c>
      <c r="K4" s="9"/>
      <c r="L4" s="9"/>
    </row>
    <row r="6" spans="1:36" ht="15" customHeight="1" x14ac:dyDescent="0.3">
      <c r="A6" s="19" t="s">
        <v>233</v>
      </c>
      <c r="I6" s="19" t="s">
        <v>234</v>
      </c>
      <c r="N6" s="19" t="s">
        <v>235</v>
      </c>
      <c r="R6" s="19" t="s">
        <v>236</v>
      </c>
      <c r="V6" s="19" t="s">
        <v>237</v>
      </c>
      <c r="AD6" s="19" t="s">
        <v>238</v>
      </c>
    </row>
    <row r="7" spans="1:36" ht="24.75" customHeight="1" x14ac:dyDescent="0.3">
      <c r="A7" s="20" t="s">
        <v>73</v>
      </c>
      <c r="B7" s="20" t="s">
        <v>74</v>
      </c>
      <c r="C7" s="20" t="s">
        <v>239</v>
      </c>
      <c r="D7" s="20" t="s">
        <v>212</v>
      </c>
      <c r="E7" s="20" t="s">
        <v>66</v>
      </c>
      <c r="F7" s="20" t="s">
        <v>68</v>
      </c>
      <c r="G7" s="20" t="s">
        <v>240</v>
      </c>
      <c r="I7" s="20" t="s">
        <v>241</v>
      </c>
      <c r="J7" s="20" t="s">
        <v>216</v>
      </c>
      <c r="K7" s="20" t="s">
        <v>217</v>
      </c>
      <c r="L7" s="20" t="s">
        <v>242</v>
      </c>
      <c r="N7" s="20" t="s">
        <v>225</v>
      </c>
      <c r="O7" s="20" t="s">
        <v>241</v>
      </c>
      <c r="P7" s="20" t="s">
        <v>226</v>
      </c>
      <c r="R7" s="20" t="s">
        <v>225</v>
      </c>
      <c r="S7" s="20" t="s">
        <v>241</v>
      </c>
      <c r="T7" s="20" t="s">
        <v>217</v>
      </c>
      <c r="V7" s="20" t="s">
        <v>83</v>
      </c>
      <c r="W7" s="20" t="s">
        <v>243</v>
      </c>
      <c r="X7" s="20" t="s">
        <v>244</v>
      </c>
      <c r="Y7" s="20" t="s">
        <v>245</v>
      </c>
      <c r="Z7" s="20" t="s">
        <v>246</v>
      </c>
      <c r="AA7" s="20" t="s">
        <v>247</v>
      </c>
      <c r="AB7" s="20" t="s">
        <v>248</v>
      </c>
      <c r="AD7" s="20" t="s">
        <v>84</v>
      </c>
      <c r="AE7" s="20" t="s">
        <v>243</v>
      </c>
      <c r="AF7" s="20" t="s">
        <v>244</v>
      </c>
      <c r="AG7" s="20" t="s">
        <v>245</v>
      </c>
      <c r="AH7" s="20" t="s">
        <v>246</v>
      </c>
      <c r="AI7" s="20" t="s">
        <v>247</v>
      </c>
      <c r="AJ7" s="20" t="s">
        <v>248</v>
      </c>
    </row>
    <row r="8" spans="1:36" ht="15" customHeight="1" x14ac:dyDescent="0.3">
      <c r="A8" s="21" t="s">
        <v>86</v>
      </c>
      <c r="B8" s="21" t="s">
        <v>87</v>
      </c>
      <c r="C8" s="21" t="s">
        <v>243</v>
      </c>
      <c r="D8" s="21">
        <v>15.03</v>
      </c>
      <c r="E8" s="21">
        <v>0.03</v>
      </c>
      <c r="F8" s="21">
        <v>1.26</v>
      </c>
      <c r="G8" s="21">
        <v>420</v>
      </c>
      <c r="I8" s="22" t="s">
        <v>249</v>
      </c>
      <c r="J8" s="23">
        <f>SUMIFS(Tbl_State[volume_millions],Tbl_State[state],I8)</f>
        <v>234.04999999999998</v>
      </c>
      <c r="K8" s="23">
        <f>SUMIFS(Tbl_State[value_crores],Tbl_State[state],I8)</f>
        <v>8019.0800000000008</v>
      </c>
      <c r="L8" s="23">
        <f>AVERAGEIFS(Tbl_State[avg_txn_value_inr],Tbl_State[state],I8)</f>
        <v>329.84371428571438</v>
      </c>
      <c r="N8" s="22">
        <v>1</v>
      </c>
      <c r="O8" s="22" t="str">
        <f>INDEX($I$8:$I$43,MATCH(LARGE($J$8:$J$43,1),$J$8:$J$43,0))</f>
        <v>Maharashtra</v>
      </c>
      <c r="P8" s="23">
        <f>LARGE($J$8:$J$43,1)</f>
        <v>76635.66</v>
      </c>
      <c r="R8" s="22">
        <v>1</v>
      </c>
      <c r="S8" s="22" t="str">
        <f>INDEX($I$8:$I$43,MATCH(LARGE($K$8:$K$43,1),$K$8:$K$43,0))</f>
        <v>Maharashtra</v>
      </c>
      <c r="T8" s="23">
        <f>LARGE($K$8:$K$43,1)</f>
        <v>2625403.7999999998</v>
      </c>
      <c r="V8" s="22" t="s">
        <v>88</v>
      </c>
      <c r="W8" s="23">
        <f>SUMIFS(Tbl_State[volume_millions],Tbl_State[quarter],V8,Tbl_State[state],"Maharashtra")</f>
        <v>16366.42</v>
      </c>
      <c r="X8" s="23">
        <f>SUMIFS(Tbl_State[volume_millions],Tbl_State[quarter],V8,Tbl_State[state],"Karnataka")</f>
        <v>12843.79</v>
      </c>
      <c r="Y8" s="23">
        <f>SUMIFS(Tbl_State[volume_millions],Tbl_State[quarter],V8,Tbl_State[state],"Delhi")</f>
        <v>8356.9599999999991</v>
      </c>
      <c r="Z8" s="23">
        <f>SUMIFS(Tbl_State[volume_millions],Tbl_State[quarter],V8,Tbl_State[state],"Tamil Nadu")</f>
        <v>7229.55</v>
      </c>
      <c r="AA8" s="23">
        <f>SUMIFS(Tbl_State[volume_millions],Tbl_State[quarter],V8,Tbl_State[state],"Telangana")</f>
        <v>6422.74</v>
      </c>
      <c r="AB8" s="23">
        <f>SUMIFS(Tbl_State[volume_millions],Tbl_State[quarter],V8,Tbl_State[state],"Gujarat")</f>
        <v>5801.9400000000005</v>
      </c>
      <c r="AD8" s="22" t="s">
        <v>86</v>
      </c>
      <c r="AE8" s="23">
        <f>SUMIFS(Tbl_State[volume_millions],Tbl_State[fiscal_year],AD8,Tbl_State[state],"Maharashtra")</f>
        <v>0.49</v>
      </c>
      <c r="AF8" s="23">
        <f>SUMIFS(Tbl_State[volume_millions],Tbl_State[fiscal_year],AD8,Tbl_State[state],"Karnataka")</f>
        <v>0.39</v>
      </c>
      <c r="AG8" s="23">
        <f>SUMIFS(Tbl_State[volume_millions],Tbl_State[fiscal_year],AD8,Tbl_State[state],"Delhi")</f>
        <v>0.25</v>
      </c>
      <c r="AH8" s="23">
        <f>SUMIFS(Tbl_State[volume_millions],Tbl_State[fiscal_year],AD8,Tbl_State[state],"Tamil Nadu")</f>
        <v>0.21</v>
      </c>
      <c r="AI8" s="23">
        <f>SUMIFS(Tbl_State[volume_millions],Tbl_State[fiscal_year],AD8,Tbl_State[state],"Telangana")</f>
        <v>0.21</v>
      </c>
      <c r="AJ8" s="23">
        <f>SUMIFS(Tbl_State[volume_millions],Tbl_State[fiscal_year],AD8,Tbl_State[state],"Gujarat")</f>
        <v>0.17</v>
      </c>
    </row>
    <row r="9" spans="1:36" ht="15" customHeight="1" x14ac:dyDescent="0.3">
      <c r="A9" s="21" t="s">
        <v>86</v>
      </c>
      <c r="B9" s="21" t="s">
        <v>87</v>
      </c>
      <c r="C9" s="21" t="s">
        <v>244</v>
      </c>
      <c r="D9" s="21">
        <v>12.4</v>
      </c>
      <c r="E9" s="21">
        <v>0.03</v>
      </c>
      <c r="F9" s="21">
        <v>1.04</v>
      </c>
      <c r="G9" s="21">
        <v>346.67</v>
      </c>
      <c r="I9" s="22" t="s">
        <v>250</v>
      </c>
      <c r="J9" s="23">
        <f>SUMIFS(Tbl_State[volume_millions],Tbl_State[state],I9)</f>
        <v>14780.460000000001</v>
      </c>
      <c r="K9" s="23">
        <f>SUMIFS(Tbl_State[value_crores],Tbl_State[state],I9)</f>
        <v>506414.1</v>
      </c>
      <c r="L9" s="23">
        <f>AVERAGEIFS(Tbl_State[avg_txn_value_inr],Tbl_State[state],I9)</f>
        <v>346.97617647058826</v>
      </c>
      <c r="N9" s="22">
        <v>2</v>
      </c>
      <c r="O9" s="22" t="str">
        <f>INDEX($I$8:$I$43,MATCH(LARGE($J$8:$J$43,2),$J$8:$J$43,0))</f>
        <v>Karnataka</v>
      </c>
      <c r="P9" s="23">
        <f>LARGE($J$8:$J$43,2)</f>
        <v>59546.41</v>
      </c>
      <c r="R9" s="22">
        <v>2</v>
      </c>
      <c r="S9" s="22" t="str">
        <f>INDEX($I$8:$I$43,MATCH(LARGE($K$8:$K$43,2),$K$8:$K$43,0))</f>
        <v>Karnataka</v>
      </c>
      <c r="T9" s="23">
        <f>LARGE($K$8:$K$43,2)</f>
        <v>2040132.4300000002</v>
      </c>
      <c r="V9" s="22" t="s">
        <v>87</v>
      </c>
      <c r="W9" s="23">
        <f>SUMIFS(Tbl_State[volume_millions],Tbl_State[quarter],V9,Tbl_State[state],"Maharashtra")</f>
        <v>18649.980000000003</v>
      </c>
      <c r="X9" s="23">
        <f>SUMIFS(Tbl_State[volume_millions],Tbl_State[quarter],V9,Tbl_State[state],"Karnataka")</f>
        <v>13854.439999999999</v>
      </c>
      <c r="Y9" s="23">
        <f>SUMIFS(Tbl_State[volume_millions],Tbl_State[quarter],V9,Tbl_State[state],"Delhi")</f>
        <v>9368.16</v>
      </c>
      <c r="Z9" s="23">
        <f>SUMIFS(Tbl_State[volume_millions],Tbl_State[quarter],V9,Tbl_State[state],"Tamil Nadu")</f>
        <v>7946.88</v>
      </c>
      <c r="AA9" s="23">
        <f>SUMIFS(Tbl_State[volume_millions],Tbl_State[quarter],V9,Tbl_State[state],"Telangana")</f>
        <v>7698.4699999999993</v>
      </c>
      <c r="AB9" s="23">
        <f>SUMIFS(Tbl_State[volume_millions],Tbl_State[quarter],V9,Tbl_State[state],"Gujarat")</f>
        <v>6717.1100000000006</v>
      </c>
      <c r="AD9" s="22" t="s">
        <v>90</v>
      </c>
      <c r="AE9" s="23">
        <f>SUMIFS(Tbl_State[volume_millions],Tbl_State[fiscal_year],AD9,Tbl_State[state],"Maharashtra")</f>
        <v>153.11000000000001</v>
      </c>
      <c r="AF9" s="23">
        <f>SUMIFS(Tbl_State[volume_millions],Tbl_State[fiscal_year],AD9,Tbl_State[state],"Karnataka")</f>
        <v>127.11</v>
      </c>
      <c r="AG9" s="23">
        <f>SUMIFS(Tbl_State[volume_millions],Tbl_State[fiscal_year],AD9,Tbl_State[state],"Delhi")</f>
        <v>80.67</v>
      </c>
      <c r="AH9" s="23">
        <f>SUMIFS(Tbl_State[volume_millions],Tbl_State[fiscal_year],AD9,Tbl_State[state],"Tamil Nadu")</f>
        <v>67.7</v>
      </c>
      <c r="AI9" s="23">
        <f>SUMIFS(Tbl_State[volume_millions],Tbl_State[fiscal_year],AD9,Tbl_State[state],"Telangana")</f>
        <v>56.71</v>
      </c>
      <c r="AJ9" s="23">
        <f>SUMIFS(Tbl_State[volume_millions],Tbl_State[fiscal_year],AD9,Tbl_State[state],"Gujarat")</f>
        <v>55.14</v>
      </c>
    </row>
    <row r="10" spans="1:36" ht="15" customHeight="1" x14ac:dyDescent="0.3">
      <c r="A10" s="21" t="s">
        <v>86</v>
      </c>
      <c r="B10" s="21" t="s">
        <v>87</v>
      </c>
      <c r="C10" s="21" t="s">
        <v>245</v>
      </c>
      <c r="D10" s="21">
        <v>8.44</v>
      </c>
      <c r="E10" s="21">
        <v>0.02</v>
      </c>
      <c r="F10" s="21">
        <v>0.71</v>
      </c>
      <c r="G10" s="21">
        <v>355</v>
      </c>
      <c r="I10" s="22" t="s">
        <v>251</v>
      </c>
      <c r="J10" s="23">
        <f>SUMIFS(Tbl_State[volume_millions],Tbl_State[state],I10)</f>
        <v>465.53</v>
      </c>
      <c r="K10" s="23">
        <f>SUMIFS(Tbl_State[value_crores],Tbl_State[state],I10)</f>
        <v>15946.86</v>
      </c>
      <c r="L10" s="23">
        <f>AVERAGEIFS(Tbl_State[avg_txn_value_inr],Tbl_State[state],I10)</f>
        <v>333.29</v>
      </c>
      <c r="N10" s="22">
        <v>3</v>
      </c>
      <c r="O10" s="22" t="str">
        <f>INDEX($I$8:$I$43,MATCH(LARGE($J$8:$J$43,3),$J$8:$J$43,0))</f>
        <v>Delhi</v>
      </c>
      <c r="P10" s="23">
        <f>LARGE($J$8:$J$43,3)</f>
        <v>38564.17</v>
      </c>
      <c r="R10" s="22">
        <v>3</v>
      </c>
      <c r="S10" s="22" t="str">
        <f>INDEX($I$8:$I$43,MATCH(LARGE($K$8:$K$43,3),$K$8:$K$43,0))</f>
        <v>Delhi</v>
      </c>
      <c r="T10" s="23">
        <f>LARGE($K$8:$K$43,3)</f>
        <v>1321186.58</v>
      </c>
      <c r="V10" s="22" t="s">
        <v>92</v>
      </c>
      <c r="W10" s="23">
        <f>SUMIFS(Tbl_State[volume_millions],Tbl_State[quarter],V10,Tbl_State[state],"Maharashtra")</f>
        <v>22330.920000000002</v>
      </c>
      <c r="X10" s="23">
        <f>SUMIFS(Tbl_State[volume_millions],Tbl_State[quarter],V10,Tbl_State[state],"Karnataka")</f>
        <v>17161.939999999999</v>
      </c>
      <c r="Y10" s="23">
        <f>SUMIFS(Tbl_State[volume_millions],Tbl_State[quarter],V10,Tbl_State[state],"Delhi")</f>
        <v>10992.099999999999</v>
      </c>
      <c r="Z10" s="23">
        <f>SUMIFS(Tbl_State[volume_millions],Tbl_State[quarter],V10,Tbl_State[state],"Tamil Nadu")</f>
        <v>8904.69</v>
      </c>
      <c r="AA10" s="23">
        <f>SUMIFS(Tbl_State[volume_millions],Tbl_State[quarter],V10,Tbl_State[state],"Telangana")</f>
        <v>8391.84</v>
      </c>
      <c r="AB10" s="23">
        <f>SUMIFS(Tbl_State[volume_millions],Tbl_State[quarter],V10,Tbl_State[state],"Gujarat")</f>
        <v>7912</v>
      </c>
      <c r="AD10" s="22" t="s">
        <v>93</v>
      </c>
      <c r="AE10" s="23">
        <f>SUMIFS(Tbl_State[volume_millions],Tbl_State[fiscal_year],AD10,Tbl_State[state],"Maharashtra")</f>
        <v>883.18000000000006</v>
      </c>
      <c r="AF10" s="23">
        <f>SUMIFS(Tbl_State[volume_millions],Tbl_State[fiscal_year],AD10,Tbl_State[state],"Karnataka")</f>
        <v>702.88</v>
      </c>
      <c r="AG10" s="23">
        <f>SUMIFS(Tbl_State[volume_millions],Tbl_State[fiscal_year],AD10,Tbl_State[state],"Delhi")</f>
        <v>447.27</v>
      </c>
      <c r="AH10" s="23">
        <f>SUMIFS(Tbl_State[volume_millions],Tbl_State[fiscal_year],AD10,Tbl_State[state],"Tamil Nadu")</f>
        <v>385.98</v>
      </c>
      <c r="AI10" s="23">
        <f>SUMIFS(Tbl_State[volume_millions],Tbl_State[fiscal_year],AD10,Tbl_State[state],"Telangana")</f>
        <v>347.77</v>
      </c>
      <c r="AJ10" s="23">
        <f>SUMIFS(Tbl_State[volume_millions],Tbl_State[fiscal_year],AD10,Tbl_State[state],"Gujarat")</f>
        <v>323.12</v>
      </c>
    </row>
    <row r="11" spans="1:36" ht="15" customHeight="1" x14ac:dyDescent="0.3">
      <c r="A11" s="21" t="s">
        <v>86</v>
      </c>
      <c r="B11" s="21" t="s">
        <v>87</v>
      </c>
      <c r="C11" s="21" t="s">
        <v>246</v>
      </c>
      <c r="D11" s="21">
        <v>7.28</v>
      </c>
      <c r="E11" s="21">
        <v>0.02</v>
      </c>
      <c r="F11" s="21">
        <v>0.61</v>
      </c>
      <c r="G11" s="21">
        <v>305</v>
      </c>
      <c r="I11" s="22" t="s">
        <v>252</v>
      </c>
      <c r="J11" s="23">
        <f>SUMIFS(Tbl_State[volume_millions],Tbl_State[state],I11)</f>
        <v>5591.1600000000008</v>
      </c>
      <c r="K11" s="23">
        <f>SUMIFS(Tbl_State[value_crores],Tbl_State[state],I11)</f>
        <v>191538.27</v>
      </c>
      <c r="L11" s="23">
        <f>AVERAGEIFS(Tbl_State[avg_txn_value_inr],Tbl_State[state],I11)</f>
        <v>341.83057142857149</v>
      </c>
      <c r="N11" s="22">
        <v>4</v>
      </c>
      <c r="O11" s="22" t="str">
        <f>INDEX($I$8:$I$43,MATCH(LARGE($J$8:$J$43,4),$J$8:$J$43,0))</f>
        <v>Tamil Nadu</v>
      </c>
      <c r="P11" s="23">
        <f>LARGE($J$8:$J$43,4)</f>
        <v>32679.000000000004</v>
      </c>
      <c r="R11" s="22">
        <v>4</v>
      </c>
      <c r="S11" s="22" t="str">
        <f>INDEX($I$8:$I$43,MATCH(LARGE($K$8:$K$43,4),$K$8:$K$43,0))</f>
        <v>Tamil Nadu</v>
      </c>
      <c r="T11" s="23">
        <f>LARGE($K$8:$K$43,4)</f>
        <v>1119510.58</v>
      </c>
      <c r="V11" s="22" t="s">
        <v>95</v>
      </c>
      <c r="W11" s="23">
        <f>SUMIFS(Tbl_State[volume_millions],Tbl_State[quarter],V11,Tbl_State[state],"Maharashtra")</f>
        <v>19288.34</v>
      </c>
      <c r="X11" s="23">
        <f>SUMIFS(Tbl_State[volume_millions],Tbl_State[quarter],V11,Tbl_State[state],"Karnataka")</f>
        <v>15686.240000000002</v>
      </c>
      <c r="Y11" s="23">
        <f>SUMIFS(Tbl_State[volume_millions],Tbl_State[quarter],V11,Tbl_State[state],"Delhi")</f>
        <v>9846.9500000000007</v>
      </c>
      <c r="Z11" s="23">
        <f>SUMIFS(Tbl_State[volume_millions],Tbl_State[quarter],V11,Tbl_State[state],"Tamil Nadu")</f>
        <v>8597.8799999999992</v>
      </c>
      <c r="AA11" s="23">
        <f>SUMIFS(Tbl_State[volume_millions],Tbl_State[quarter],V11,Tbl_State[state],"Telangana")</f>
        <v>8115.119999999999</v>
      </c>
      <c r="AB11" s="23">
        <f>SUMIFS(Tbl_State[volume_millions],Tbl_State[quarter],V11,Tbl_State[state],"Gujarat")</f>
        <v>7304.88</v>
      </c>
      <c r="AD11" s="22" t="s">
        <v>96</v>
      </c>
      <c r="AE11" s="23">
        <f>SUMIFS(Tbl_State[volume_millions],Tbl_State[fiscal_year],AD11,Tbl_State[state],"Maharashtra")</f>
        <v>2062.2600000000002</v>
      </c>
      <c r="AF11" s="23">
        <f>SUMIFS(Tbl_State[volume_millions],Tbl_State[fiscal_year],AD11,Tbl_State[state],"Karnataka")</f>
        <v>1639.37</v>
      </c>
      <c r="AG11" s="23">
        <f>SUMIFS(Tbl_State[volume_millions],Tbl_State[fiscal_year],AD11,Tbl_State[state],"Delhi")</f>
        <v>983.32</v>
      </c>
      <c r="AH11" s="23">
        <f>SUMIFS(Tbl_State[volume_millions],Tbl_State[fiscal_year],AD11,Tbl_State[state],"Tamil Nadu")</f>
        <v>837.37999999999988</v>
      </c>
      <c r="AI11" s="23">
        <f>SUMIFS(Tbl_State[volume_millions],Tbl_State[fiscal_year],AD11,Tbl_State[state],"Telangana")</f>
        <v>826.96</v>
      </c>
      <c r="AJ11" s="23">
        <f>SUMIFS(Tbl_State[volume_millions],Tbl_State[fiscal_year],AD11,Tbl_State[state],"Gujarat")</f>
        <v>732.89</v>
      </c>
    </row>
    <row r="12" spans="1:36" ht="15" customHeight="1" x14ac:dyDescent="0.3">
      <c r="A12" s="21" t="s">
        <v>86</v>
      </c>
      <c r="B12" s="21" t="s">
        <v>87</v>
      </c>
      <c r="C12" s="21" t="s">
        <v>247</v>
      </c>
      <c r="D12" s="21">
        <v>6.85</v>
      </c>
      <c r="E12" s="21">
        <v>0.02</v>
      </c>
      <c r="F12" s="21">
        <v>0.56999999999999995</v>
      </c>
      <c r="G12" s="21">
        <v>285</v>
      </c>
      <c r="I12" s="22" t="s">
        <v>253</v>
      </c>
      <c r="J12" s="23">
        <f>SUMIFS(Tbl_State[volume_millions],Tbl_State[state],I12)</f>
        <v>10139.93</v>
      </c>
      <c r="K12" s="23">
        <f>SUMIFS(Tbl_State[value_crores],Tbl_State[state],I12)</f>
        <v>347399.07999999996</v>
      </c>
      <c r="L12" s="23">
        <f>AVERAGEIFS(Tbl_State[avg_txn_value_inr],Tbl_State[state],I12)</f>
        <v>340.35428571428577</v>
      </c>
      <c r="N12" s="22">
        <v>5</v>
      </c>
      <c r="O12" s="22" t="str">
        <f>INDEX($I$8:$I$43,MATCH(LARGE($J$8:$J$43,5),$J$8:$J$43,0))</f>
        <v>Telangana</v>
      </c>
      <c r="P12" s="23">
        <f>LARGE($J$8:$J$43,5)</f>
        <v>30628.170000000006</v>
      </c>
      <c r="R12" s="22">
        <v>5</v>
      </c>
      <c r="S12" s="22" t="str">
        <f>INDEX($I$8:$I$43,MATCH(LARGE($K$8:$K$43,5),$K$8:$K$43,0))</f>
        <v>Telangana</v>
      </c>
      <c r="T12" s="23">
        <f>LARGE($K$8:$K$43,5)</f>
        <v>1049319.1300000001</v>
      </c>
      <c r="AD12" s="22" t="s">
        <v>98</v>
      </c>
      <c r="AE12" s="23">
        <f>SUMIFS(Tbl_State[volume_millions],Tbl_State[fiscal_year],AD12,Tbl_State[state],"Maharashtra")</f>
        <v>3576.41</v>
      </c>
      <c r="AF12" s="23">
        <f>SUMIFS(Tbl_State[volume_millions],Tbl_State[fiscal_year],AD12,Tbl_State[state],"Karnataka")</f>
        <v>2723.3900000000003</v>
      </c>
      <c r="AG12" s="23">
        <f>SUMIFS(Tbl_State[volume_millions],Tbl_State[fiscal_year],AD12,Tbl_State[state],"Delhi")</f>
        <v>1828.48</v>
      </c>
      <c r="AH12" s="23">
        <f>SUMIFS(Tbl_State[volume_millions],Tbl_State[fiscal_year],AD12,Tbl_State[state],"Tamil Nadu")</f>
        <v>1550.45</v>
      </c>
      <c r="AI12" s="23">
        <f>SUMIFS(Tbl_State[volume_millions],Tbl_State[fiscal_year],AD12,Tbl_State[state],"Telangana")</f>
        <v>1448.33</v>
      </c>
      <c r="AJ12" s="23">
        <f>SUMIFS(Tbl_State[volume_millions],Tbl_State[fiscal_year],AD12,Tbl_State[state],"Gujarat")</f>
        <v>1232.42</v>
      </c>
    </row>
    <row r="13" spans="1:36" ht="15" customHeight="1" x14ac:dyDescent="0.3">
      <c r="A13" s="21" t="s">
        <v>86</v>
      </c>
      <c r="B13" s="21" t="s">
        <v>87</v>
      </c>
      <c r="C13" s="21" t="s">
        <v>248</v>
      </c>
      <c r="D13" s="21">
        <v>5.45</v>
      </c>
      <c r="E13" s="21">
        <v>0.01</v>
      </c>
      <c r="F13" s="21">
        <v>0.46</v>
      </c>
      <c r="G13" s="21">
        <v>460</v>
      </c>
      <c r="I13" s="22" t="s">
        <v>254</v>
      </c>
      <c r="J13" s="23">
        <f>SUMIFS(Tbl_State[volume_millions],Tbl_State[state],I13)</f>
        <v>1660.46</v>
      </c>
      <c r="K13" s="23">
        <f>SUMIFS(Tbl_State[value_crores],Tbl_State[state],I13)</f>
        <v>56881.13</v>
      </c>
      <c r="L13" s="23">
        <f>AVERAGEIFS(Tbl_State[avg_txn_value_inr],Tbl_State[state],I13)</f>
        <v>339.73371428571437</v>
      </c>
      <c r="N13" s="22">
        <v>6</v>
      </c>
      <c r="O13" s="22" t="str">
        <f>INDEX($I$8:$I$43,MATCH(LARGE($J$8:$J$43,6),$J$8:$J$43,0))</f>
        <v>Gujarat</v>
      </c>
      <c r="P13" s="23">
        <f>LARGE($J$8:$J$43,6)</f>
        <v>27735.929999999997</v>
      </c>
      <c r="R13" s="22">
        <v>6</v>
      </c>
      <c r="S13" s="22" t="str">
        <f>INDEX($I$8:$I$43,MATCH(LARGE($K$8:$K$43,6),$K$8:$K$43,0))</f>
        <v>Gujarat</v>
      </c>
      <c r="T13" s="23">
        <f>LARGE($K$8:$K$43,6)</f>
        <v>950141.21000000008</v>
      </c>
      <c r="AD13" s="22" t="s">
        <v>100</v>
      </c>
      <c r="AE13" s="23">
        <f>SUMIFS(Tbl_State[volume_millions],Tbl_State[fiscal_year],AD13,Tbl_State[state],"Maharashtra")</f>
        <v>7618.1100000000006</v>
      </c>
      <c r="AF13" s="23">
        <f>SUMIFS(Tbl_State[volume_millions],Tbl_State[fiscal_year],AD13,Tbl_State[state],"Karnataka")</f>
        <v>5641.66</v>
      </c>
      <c r="AG13" s="23">
        <f>SUMIFS(Tbl_State[volume_millions],Tbl_State[fiscal_year],AD13,Tbl_State[state],"Delhi")</f>
        <v>3799.63</v>
      </c>
      <c r="AH13" s="23">
        <f>SUMIFS(Tbl_State[volume_millions],Tbl_State[fiscal_year],AD13,Tbl_State[state],"Tamil Nadu")</f>
        <v>3190.02</v>
      </c>
      <c r="AI13" s="23">
        <f>SUMIFS(Tbl_State[volume_millions],Tbl_State[fiscal_year],AD13,Tbl_State[state],"Telangana")</f>
        <v>2969.38</v>
      </c>
      <c r="AJ13" s="23">
        <f>SUMIFS(Tbl_State[volume_millions],Tbl_State[fiscal_year],AD13,Tbl_State[state],"Gujarat")</f>
        <v>2633.3</v>
      </c>
    </row>
    <row r="14" spans="1:36" ht="15" customHeight="1" x14ac:dyDescent="0.3">
      <c r="A14" s="21" t="s">
        <v>86</v>
      </c>
      <c r="B14" s="21" t="s">
        <v>87</v>
      </c>
      <c r="C14" s="21" t="s">
        <v>255</v>
      </c>
      <c r="D14" s="21">
        <v>4.8600000000000003</v>
      </c>
      <c r="E14" s="21">
        <v>0.01</v>
      </c>
      <c r="F14" s="21">
        <v>0.41</v>
      </c>
      <c r="G14" s="21">
        <v>410</v>
      </c>
      <c r="I14" s="22" t="s">
        <v>256</v>
      </c>
      <c r="J14" s="23">
        <f>SUMIFS(Tbl_State[volume_millions],Tbl_State[state],I14)</f>
        <v>4226.88</v>
      </c>
      <c r="K14" s="23">
        <f>SUMIFS(Tbl_State[value_crores],Tbl_State[state],I14)</f>
        <v>144804.81</v>
      </c>
      <c r="L14" s="23">
        <f>AVERAGEIFS(Tbl_State[avg_txn_value_inr],Tbl_State[state],I14)</f>
        <v>342.46857142857152</v>
      </c>
      <c r="N14" s="22">
        <v>7</v>
      </c>
      <c r="O14" s="22" t="str">
        <f>INDEX($I$8:$I$43,MATCH(LARGE($J$8:$J$43,7),$J$8:$J$43,0))</f>
        <v>Uttar Pradesh</v>
      </c>
      <c r="P14" s="23">
        <f>LARGE($J$8:$J$43,7)</f>
        <v>25776.199999999997</v>
      </c>
      <c r="R14" s="22">
        <v>7</v>
      </c>
      <c r="S14" s="22" t="str">
        <f>INDEX($I$8:$I$43,MATCH(LARGE($K$8:$K$43,7),$K$8:$K$43,0))</f>
        <v>Uttar Pradesh</v>
      </c>
      <c r="T14" s="23">
        <f>LARGE($K$8:$K$43,7)</f>
        <v>882987.7</v>
      </c>
      <c r="AD14" s="22" t="s">
        <v>102</v>
      </c>
      <c r="AE14" s="23">
        <f>SUMIFS(Tbl_State[volume_millions],Tbl_State[fiscal_year],AD14,Tbl_State[state],"Maharashtra")</f>
        <v>14064.66</v>
      </c>
      <c r="AF14" s="23">
        <f>SUMIFS(Tbl_State[volume_millions],Tbl_State[fiscal_year],AD14,Tbl_State[state],"Karnataka")</f>
        <v>11035.81</v>
      </c>
      <c r="AG14" s="23">
        <f>SUMIFS(Tbl_State[volume_millions],Tbl_State[fiscal_year],AD14,Tbl_State[state],"Delhi")</f>
        <v>6796.63</v>
      </c>
      <c r="AH14" s="23">
        <f>SUMIFS(Tbl_State[volume_millions],Tbl_State[fiscal_year],AD14,Tbl_State[state],"Tamil Nadu")</f>
        <v>5794.19</v>
      </c>
      <c r="AI14" s="23">
        <f>SUMIFS(Tbl_State[volume_millions],Tbl_State[fiscal_year],AD14,Tbl_State[state],"Telangana")</f>
        <v>5346.3700000000008</v>
      </c>
      <c r="AJ14" s="23">
        <f>SUMIFS(Tbl_State[volume_millions],Tbl_State[fiscal_year],AD14,Tbl_State[state],"Gujarat")</f>
        <v>4957.5999999999995</v>
      </c>
    </row>
    <row r="15" spans="1:36" ht="15" customHeight="1" x14ac:dyDescent="0.3">
      <c r="A15" s="21" t="s">
        <v>86</v>
      </c>
      <c r="B15" s="21" t="s">
        <v>87</v>
      </c>
      <c r="C15" s="21" t="s">
        <v>257</v>
      </c>
      <c r="D15" s="21">
        <v>5.01</v>
      </c>
      <c r="E15" s="21">
        <v>0.01</v>
      </c>
      <c r="F15" s="21">
        <v>0.42</v>
      </c>
      <c r="G15" s="21">
        <v>420</v>
      </c>
      <c r="I15" s="22" t="s">
        <v>258</v>
      </c>
      <c r="J15" s="23">
        <f>SUMIFS(Tbl_State[volume_millions],Tbl_State[state],I15)</f>
        <v>283.06</v>
      </c>
      <c r="K15" s="23">
        <f>SUMIFS(Tbl_State[value_crores],Tbl_State[state],I15)</f>
        <v>9698.23</v>
      </c>
      <c r="L15" s="23">
        <f>AVERAGEIFS(Tbl_State[avg_txn_value_inr],Tbl_State[state],I15)</f>
        <v>325.20285714285723</v>
      </c>
      <c r="N15" s="22">
        <v>8</v>
      </c>
      <c r="O15" s="22" t="str">
        <f>INDEX($I$8:$I$43,MATCH(LARGE($J$8:$J$43,8),$J$8:$J$43,0))</f>
        <v>Rajasthan</v>
      </c>
      <c r="P15" s="23">
        <f>LARGE($J$8:$J$43,8)</f>
        <v>22013.72</v>
      </c>
      <c r="R15" s="22">
        <v>8</v>
      </c>
      <c r="S15" s="22" t="str">
        <f>INDEX($I$8:$I$43,MATCH(LARGE($K$8:$K$43,8),$K$8:$K$43,0))</f>
        <v>Rajasthan</v>
      </c>
      <c r="T15" s="23">
        <f>LARGE($K$8:$K$43,8)</f>
        <v>754173.88</v>
      </c>
      <c r="AD15" s="22" t="s">
        <v>104</v>
      </c>
      <c r="AE15" s="23">
        <f>SUMIFS(Tbl_State[volume_millions],Tbl_State[fiscal_year],AD15,Tbl_State[state],"Maharashtra")</f>
        <v>21109.379999999997</v>
      </c>
      <c r="AF15" s="23">
        <f>SUMIFS(Tbl_State[volume_millions],Tbl_State[fiscal_year],AD15,Tbl_State[state],"Karnataka")</f>
        <v>16690.36</v>
      </c>
      <c r="AG15" s="23">
        <f>SUMIFS(Tbl_State[volume_millions],Tbl_State[fiscal_year],AD15,Tbl_State[state],"Delhi")</f>
        <v>10735.57</v>
      </c>
      <c r="AH15" s="23">
        <f>SUMIFS(Tbl_State[volume_millions],Tbl_State[fiscal_year],AD15,Tbl_State[state],"Tamil Nadu")</f>
        <v>9181.2599999999984</v>
      </c>
      <c r="AI15" s="23">
        <f>SUMIFS(Tbl_State[volume_millions],Tbl_State[fiscal_year],AD15,Tbl_State[state],"Telangana")</f>
        <v>8476.52</v>
      </c>
      <c r="AJ15" s="23">
        <f>SUMIFS(Tbl_State[volume_millions],Tbl_State[fiscal_year],AD15,Tbl_State[state],"Gujarat")</f>
        <v>7610.3599999999988</v>
      </c>
    </row>
    <row r="16" spans="1:36" ht="15" customHeight="1" x14ac:dyDescent="0.3">
      <c r="A16" s="21" t="s">
        <v>86</v>
      </c>
      <c r="B16" s="21" t="s">
        <v>87</v>
      </c>
      <c r="C16" s="21" t="s">
        <v>259</v>
      </c>
      <c r="D16" s="21">
        <v>4.03</v>
      </c>
      <c r="E16" s="21">
        <v>0.01</v>
      </c>
      <c r="F16" s="21">
        <v>0.34</v>
      </c>
      <c r="G16" s="21">
        <v>340</v>
      </c>
      <c r="I16" s="22" t="s">
        <v>245</v>
      </c>
      <c r="J16" s="23">
        <f>SUMIFS(Tbl_State[volume_millions],Tbl_State[state],I16)</f>
        <v>38564.17</v>
      </c>
      <c r="K16" s="23">
        <f>SUMIFS(Tbl_State[value_crores],Tbl_State[state],I16)</f>
        <v>1321186.58</v>
      </c>
      <c r="L16" s="23">
        <f>AVERAGEIFS(Tbl_State[avg_txn_value_inr],Tbl_State[state],I16)</f>
        <v>348.68647058823535</v>
      </c>
      <c r="N16" s="22">
        <v>9</v>
      </c>
      <c r="O16" s="22" t="str">
        <f>INDEX($I$8:$I$43,MATCH(LARGE($J$8:$J$43,9),$J$8:$J$43,0))</f>
        <v>West Bengal</v>
      </c>
      <c r="P16" s="23">
        <f>LARGE($J$8:$J$43,9)</f>
        <v>19824.32</v>
      </c>
      <c r="R16" s="22">
        <v>9</v>
      </c>
      <c r="S16" s="22" t="str">
        <f>INDEX($I$8:$I$43,MATCH(LARGE($K$8:$K$43,9),$K$8:$K$43,0))</f>
        <v>West Bengal</v>
      </c>
      <c r="T16" s="23">
        <f>LARGE($K$8:$K$43,9)</f>
        <v>679120.12999999989</v>
      </c>
      <c r="AD16" s="22" t="s">
        <v>106</v>
      </c>
      <c r="AE16" s="23">
        <f>SUMIFS(Tbl_State[volume_millions],Tbl_State[fiscal_year],AD16,Tbl_State[state],"Maharashtra")</f>
        <v>27168.060000000005</v>
      </c>
      <c r="AF16" s="23">
        <f>SUMIFS(Tbl_State[volume_millions],Tbl_State[fiscal_year],AD16,Tbl_State[state],"Karnataka")</f>
        <v>20985.439999999999</v>
      </c>
      <c r="AG16" s="23">
        <f>SUMIFS(Tbl_State[volume_millions],Tbl_State[fiscal_year],AD16,Tbl_State[state],"Delhi")</f>
        <v>13892.349999999999</v>
      </c>
      <c r="AH16" s="23">
        <f>SUMIFS(Tbl_State[volume_millions],Tbl_State[fiscal_year],AD16,Tbl_State[state],"Tamil Nadu")</f>
        <v>11671.81</v>
      </c>
      <c r="AI16" s="23">
        <f>SUMIFS(Tbl_State[volume_millions],Tbl_State[fiscal_year],AD16,Tbl_State[state],"Telangana")</f>
        <v>11155.92</v>
      </c>
      <c r="AJ16" s="23">
        <f>SUMIFS(Tbl_State[volume_millions],Tbl_State[fiscal_year],AD16,Tbl_State[state],"Gujarat")</f>
        <v>10190.93</v>
      </c>
    </row>
    <row r="17" spans="1:20" ht="15" customHeight="1" x14ac:dyDescent="0.3">
      <c r="A17" s="21" t="s">
        <v>86</v>
      </c>
      <c r="B17" s="21" t="s">
        <v>87</v>
      </c>
      <c r="C17" s="21" t="s">
        <v>260</v>
      </c>
      <c r="D17" s="21">
        <v>3.42</v>
      </c>
      <c r="E17" s="21">
        <v>0.01</v>
      </c>
      <c r="F17" s="21">
        <v>0.28999999999999998</v>
      </c>
      <c r="G17" s="21">
        <v>290</v>
      </c>
      <c r="I17" s="22" t="s">
        <v>261</v>
      </c>
      <c r="J17" s="23">
        <f>SUMIFS(Tbl_State[volume_millions],Tbl_State[state],I17)</f>
        <v>2334.9199999999996</v>
      </c>
      <c r="K17" s="23">
        <f>SUMIFS(Tbl_State[value_crores],Tbl_State[state],I17)</f>
        <v>80005.87999999999</v>
      </c>
      <c r="L17" s="23">
        <f>AVERAGEIFS(Tbl_State[avg_txn_value_inr],Tbl_State[state],I17)</f>
        <v>344.86228571428563</v>
      </c>
      <c r="N17" s="22">
        <v>10</v>
      </c>
      <c r="O17" s="22" t="str">
        <f>INDEX($I$8:$I$43,MATCH(LARGE($J$8:$J$43,10),$J$8:$J$43,0))</f>
        <v>Kerala</v>
      </c>
      <c r="P17" s="23">
        <f>LARGE($J$8:$J$43,10)</f>
        <v>18055.96</v>
      </c>
      <c r="R17" s="22">
        <v>10</v>
      </c>
      <c r="S17" s="22" t="str">
        <f>INDEX($I$8:$I$43,MATCH(LARGE($K$8:$K$43,10),$K$8:$K$43,0))</f>
        <v>Kerala</v>
      </c>
      <c r="T17" s="23">
        <f>LARGE($K$8:$K$43,10)</f>
        <v>618571.28</v>
      </c>
    </row>
    <row r="18" spans="1:20" ht="15" customHeight="1" x14ac:dyDescent="0.3">
      <c r="A18" s="21" t="s">
        <v>86</v>
      </c>
      <c r="B18" s="21" t="s">
        <v>87</v>
      </c>
      <c r="C18" s="21" t="s">
        <v>262</v>
      </c>
      <c r="D18" s="21">
        <v>3.53</v>
      </c>
      <c r="E18" s="21">
        <v>0.01</v>
      </c>
      <c r="F18" s="21">
        <v>0.3</v>
      </c>
      <c r="G18" s="21">
        <v>300</v>
      </c>
      <c r="I18" s="22" t="s">
        <v>248</v>
      </c>
      <c r="J18" s="23">
        <f>SUMIFS(Tbl_State[volume_millions],Tbl_State[state],I18)</f>
        <v>27735.929999999997</v>
      </c>
      <c r="K18" s="23">
        <f>SUMIFS(Tbl_State[value_crores],Tbl_State[state],I18)</f>
        <v>950141.21000000008</v>
      </c>
      <c r="L18" s="23">
        <f>AVERAGEIFS(Tbl_State[avg_txn_value_inr],Tbl_State[state],I18)</f>
        <v>352.05529411764707</v>
      </c>
      <c r="N18" s="22">
        <v>11</v>
      </c>
      <c r="O18" s="22" t="str">
        <f>INDEX($I$8:$I$43,MATCH(LARGE($J$8:$J$43,11),$J$8:$J$43,0))</f>
        <v>Madhya Pradesh</v>
      </c>
      <c r="P18" s="23">
        <f>LARGE($J$8:$J$43,11)</f>
        <v>16636.179999999997</v>
      </c>
      <c r="R18" s="22">
        <v>11</v>
      </c>
      <c r="S18" s="22" t="str">
        <f>INDEX($I$8:$I$43,MATCH(LARGE($K$8:$K$43,11),$K$8:$K$43,0))</f>
        <v>Madhya Pradesh</v>
      </c>
      <c r="T18" s="23">
        <f>LARGE($K$8:$K$43,11)</f>
        <v>569878.31000000006</v>
      </c>
    </row>
    <row r="19" spans="1:20" ht="15" customHeight="1" x14ac:dyDescent="0.3">
      <c r="A19" s="21" t="s">
        <v>86</v>
      </c>
      <c r="B19" s="21" t="s">
        <v>87</v>
      </c>
      <c r="C19" s="21" t="s">
        <v>250</v>
      </c>
      <c r="D19" s="21">
        <v>3.33</v>
      </c>
      <c r="E19" s="21">
        <v>0.01</v>
      </c>
      <c r="F19" s="21">
        <v>0.28000000000000003</v>
      </c>
      <c r="G19" s="21">
        <v>280</v>
      </c>
      <c r="I19" s="22" t="s">
        <v>263</v>
      </c>
      <c r="J19" s="23">
        <f>SUMIFS(Tbl_State[volume_millions],Tbl_State[state],I19)</f>
        <v>13143.8</v>
      </c>
      <c r="K19" s="23">
        <f>SUMIFS(Tbl_State[value_crores],Tbl_State[state],I19)</f>
        <v>450258.41000000003</v>
      </c>
      <c r="L19" s="23">
        <f>AVERAGEIFS(Tbl_State[avg_txn_value_inr],Tbl_State[state],I19)</f>
        <v>344.47352941176473</v>
      </c>
      <c r="N19" s="22">
        <v>12</v>
      </c>
      <c r="O19" s="22" t="str">
        <f>INDEX($I$8:$I$43,MATCH(LARGE($J$8:$J$43,12),$J$8:$J$43,0))</f>
        <v>Andhra Pradesh</v>
      </c>
      <c r="P19" s="23">
        <f>LARGE($J$8:$J$43,12)</f>
        <v>14780.460000000001</v>
      </c>
      <c r="R19" s="22">
        <v>12</v>
      </c>
      <c r="S19" s="22" t="str">
        <f>INDEX($I$8:$I$43,MATCH(LARGE($K$8:$K$43,12),$K$8:$K$43,0))</f>
        <v>Andhra Pradesh</v>
      </c>
      <c r="T19" s="23">
        <f>LARGE($K$8:$K$43,12)</f>
        <v>506414.1</v>
      </c>
    </row>
    <row r="20" spans="1:20" ht="15" customHeight="1" x14ac:dyDescent="0.3">
      <c r="A20" s="21" t="s">
        <v>86</v>
      </c>
      <c r="B20" s="21" t="s">
        <v>87</v>
      </c>
      <c r="C20" s="21" t="s">
        <v>263</v>
      </c>
      <c r="D20" s="21">
        <v>2.78</v>
      </c>
      <c r="E20" s="21">
        <v>0.01</v>
      </c>
      <c r="F20" s="21">
        <v>0.23</v>
      </c>
      <c r="G20" s="21">
        <v>230</v>
      </c>
      <c r="I20" s="22" t="s">
        <v>264</v>
      </c>
      <c r="J20" s="23">
        <f>SUMIFS(Tbl_State[volume_millions],Tbl_State[state],I20)</f>
        <v>2789.0400000000004</v>
      </c>
      <c r="K20" s="23">
        <f>SUMIFS(Tbl_State[value_crores],Tbl_State[state],I20)</f>
        <v>95557.01999999999</v>
      </c>
      <c r="L20" s="23">
        <f>AVERAGEIFS(Tbl_State[avg_txn_value_inr],Tbl_State[state],I20)</f>
        <v>338.55399999999997</v>
      </c>
      <c r="N20" s="22">
        <v>13</v>
      </c>
      <c r="O20" s="22" t="str">
        <f>INDEX($I$8:$I$43,MATCH(LARGE($J$8:$J$43,13),$J$8:$J$43,0))</f>
        <v>Haryana</v>
      </c>
      <c r="P20" s="23">
        <f>LARGE($J$8:$J$43,13)</f>
        <v>13143.8</v>
      </c>
      <c r="R20" s="22">
        <v>13</v>
      </c>
      <c r="S20" s="22" t="str">
        <f>INDEX($I$8:$I$43,MATCH(LARGE($K$8:$K$43,13),$K$8:$K$43,0))</f>
        <v>Haryana</v>
      </c>
      <c r="T20" s="23">
        <f>LARGE($K$8:$K$43,13)</f>
        <v>450258.41000000003</v>
      </c>
    </row>
    <row r="21" spans="1:20" ht="15" customHeight="1" x14ac:dyDescent="0.3">
      <c r="A21" s="21" t="s">
        <v>86</v>
      </c>
      <c r="B21" s="21" t="s">
        <v>87</v>
      </c>
      <c r="C21" s="21" t="s">
        <v>265</v>
      </c>
      <c r="D21" s="21">
        <v>2.44</v>
      </c>
      <c r="E21" s="21">
        <v>0.01</v>
      </c>
      <c r="F21" s="21">
        <v>0.2</v>
      </c>
      <c r="G21" s="21">
        <v>200</v>
      </c>
      <c r="I21" s="22" t="s">
        <v>266</v>
      </c>
      <c r="J21" s="23">
        <f>SUMIFS(Tbl_State[volume_millions],Tbl_State[state],I21)</f>
        <v>2109.21</v>
      </c>
      <c r="K21" s="23">
        <f>SUMIFS(Tbl_State[value_crores],Tbl_State[state],I21)</f>
        <v>72261.86</v>
      </c>
      <c r="L21" s="23">
        <f>AVERAGEIFS(Tbl_State[avg_txn_value_inr],Tbl_State[state],I21)</f>
        <v>343.97257142857143</v>
      </c>
      <c r="N21" s="22">
        <v>14</v>
      </c>
      <c r="O21" s="22" t="str">
        <f>INDEX($I$8:$I$43,MATCH(LARGE($J$8:$J$43,14),$J$8:$J$43,0))</f>
        <v>Punjab</v>
      </c>
      <c r="P21" s="23">
        <f>LARGE($J$8:$J$43,14)</f>
        <v>11944.970000000001</v>
      </c>
      <c r="R21" s="22">
        <v>14</v>
      </c>
      <c r="S21" s="22" t="str">
        <f>INDEX($I$8:$I$43,MATCH(LARGE($K$8:$K$43,14),$K$8:$K$43,0))</f>
        <v>Punjab</v>
      </c>
      <c r="T21" s="23">
        <f>LARGE($K$8:$K$43,14)</f>
        <v>409236.58999999997</v>
      </c>
    </row>
    <row r="22" spans="1:20" ht="15" customHeight="1" x14ac:dyDescent="0.3">
      <c r="A22" s="21" t="s">
        <v>86</v>
      </c>
      <c r="B22" s="21" t="s">
        <v>87</v>
      </c>
      <c r="C22" s="21" t="s">
        <v>253</v>
      </c>
      <c r="D22" s="21">
        <v>2.1800000000000002</v>
      </c>
      <c r="E22" s="21">
        <v>0</v>
      </c>
      <c r="F22" s="21">
        <v>0.18</v>
      </c>
      <c r="G22" s="21">
        <v>0</v>
      </c>
      <c r="I22" s="22" t="s">
        <v>267</v>
      </c>
      <c r="J22" s="23">
        <f>SUMIFS(Tbl_State[volume_millions],Tbl_State[state],I22)</f>
        <v>4697.869999999999</v>
      </c>
      <c r="K22" s="23">
        <f>SUMIFS(Tbl_State[value_crores],Tbl_State[state],I22)</f>
        <v>160937.84999999998</v>
      </c>
      <c r="L22" s="23">
        <f>AVERAGEIFS(Tbl_State[avg_txn_value_inr],Tbl_State[state],I22)</f>
        <v>338.58942857142853</v>
      </c>
      <c r="N22" s="22">
        <v>15</v>
      </c>
      <c r="O22" s="22" t="str">
        <f>INDEX($I$8:$I$43,MATCH(LARGE($J$8:$J$43,15),$J$8:$J$43,0))</f>
        <v>Bihar</v>
      </c>
      <c r="P22" s="23">
        <f>LARGE($J$8:$J$43,15)</f>
        <v>10139.93</v>
      </c>
      <c r="R22" s="22">
        <v>15</v>
      </c>
      <c r="S22" s="22" t="str">
        <f>INDEX($I$8:$I$43,MATCH(LARGE($K$8:$K$43,15),$K$8:$K$43,0))</f>
        <v>Bihar</v>
      </c>
      <c r="T22" s="23">
        <f>LARGE($K$8:$K$43,15)</f>
        <v>347399.07999999996</v>
      </c>
    </row>
    <row r="23" spans="1:20" ht="15" customHeight="1" x14ac:dyDescent="0.3">
      <c r="A23" s="21" t="s">
        <v>86</v>
      </c>
      <c r="B23" s="21" t="s">
        <v>87</v>
      </c>
      <c r="C23" s="21" t="s">
        <v>268</v>
      </c>
      <c r="D23" s="21">
        <v>1.77</v>
      </c>
      <c r="E23" s="21">
        <v>0</v>
      </c>
      <c r="F23" s="21">
        <v>0.15</v>
      </c>
      <c r="G23" s="21">
        <v>0</v>
      </c>
      <c r="I23" s="22" t="s">
        <v>244</v>
      </c>
      <c r="J23" s="23">
        <f>SUMIFS(Tbl_State[volume_millions],Tbl_State[state],I23)</f>
        <v>59546.41</v>
      </c>
      <c r="K23" s="23">
        <f>SUMIFS(Tbl_State[value_crores],Tbl_State[state],I23)</f>
        <v>2040132.4300000002</v>
      </c>
      <c r="L23" s="23">
        <f>AVERAGEIFS(Tbl_State[avg_txn_value_inr],Tbl_State[state],I23)</f>
        <v>348.6076470588236</v>
      </c>
    </row>
    <row r="24" spans="1:20" ht="15" customHeight="1" x14ac:dyDescent="0.3">
      <c r="A24" s="21" t="s">
        <v>86</v>
      </c>
      <c r="B24" s="21" t="s">
        <v>87</v>
      </c>
      <c r="C24" s="21" t="s">
        <v>252</v>
      </c>
      <c r="D24" s="21">
        <v>1.1200000000000001</v>
      </c>
      <c r="E24" s="21">
        <v>0</v>
      </c>
      <c r="F24" s="21">
        <v>0.09</v>
      </c>
      <c r="G24" s="21">
        <v>0</v>
      </c>
      <c r="I24" s="22" t="s">
        <v>260</v>
      </c>
      <c r="J24" s="23">
        <f>SUMIFS(Tbl_State[volume_millions],Tbl_State[state],I24)</f>
        <v>18055.96</v>
      </c>
      <c r="K24" s="23">
        <f>SUMIFS(Tbl_State[value_crores],Tbl_State[state],I24)</f>
        <v>618571.28</v>
      </c>
      <c r="L24" s="23">
        <f>AVERAGEIFS(Tbl_State[avg_txn_value_inr],Tbl_State[state],I24)</f>
        <v>346.80794117647065</v>
      </c>
    </row>
    <row r="25" spans="1:20" ht="15" customHeight="1" x14ac:dyDescent="0.3">
      <c r="A25" s="21" t="s">
        <v>86</v>
      </c>
      <c r="B25" s="21" t="s">
        <v>87</v>
      </c>
      <c r="C25" s="21" t="s">
        <v>267</v>
      </c>
      <c r="D25" s="21">
        <v>0.96</v>
      </c>
      <c r="E25" s="21">
        <v>0</v>
      </c>
      <c r="F25" s="21">
        <v>0.08</v>
      </c>
      <c r="G25" s="21">
        <v>0</v>
      </c>
      <c r="I25" s="22" t="s">
        <v>269</v>
      </c>
      <c r="J25" s="23">
        <f>SUMIFS(Tbl_State[volume_millions],Tbl_State[state],I25)</f>
        <v>140.49000000000004</v>
      </c>
      <c r="K25" s="23">
        <f>SUMIFS(Tbl_State[value_crores],Tbl_State[state],I25)</f>
        <v>4812.8399999999992</v>
      </c>
      <c r="L25" s="23">
        <f>AVERAGEIFS(Tbl_State[avg_txn_value_inr],Tbl_State[state],I25)</f>
        <v>315.02885714285713</v>
      </c>
    </row>
    <row r="26" spans="1:20" ht="15" customHeight="1" x14ac:dyDescent="0.3">
      <c r="A26" s="21" t="s">
        <v>86</v>
      </c>
      <c r="B26" s="21" t="s">
        <v>87</v>
      </c>
      <c r="C26" s="21" t="s">
        <v>256</v>
      </c>
      <c r="D26" s="21">
        <v>0.92</v>
      </c>
      <c r="E26" s="21">
        <v>0</v>
      </c>
      <c r="F26" s="21">
        <v>0.08</v>
      </c>
      <c r="G26" s="21">
        <v>0</v>
      </c>
      <c r="I26" s="22" t="s">
        <v>270</v>
      </c>
      <c r="J26" s="23">
        <f>SUMIFS(Tbl_State[volume_millions],Tbl_State[state],I26)</f>
        <v>47.410000000000004</v>
      </c>
      <c r="K26" s="23">
        <f>SUMIFS(Tbl_State[value_crores],Tbl_State[state],I26)</f>
        <v>1625.41</v>
      </c>
      <c r="L26" s="23">
        <f>AVERAGEIFS(Tbl_State[avg_txn_value_inr],Tbl_State[state],I26)</f>
        <v>306.96314285714288</v>
      </c>
    </row>
    <row r="27" spans="1:20" ht="15" customHeight="1" x14ac:dyDescent="0.3">
      <c r="A27" s="21" t="s">
        <v>86</v>
      </c>
      <c r="B27" s="21" t="s">
        <v>87</v>
      </c>
      <c r="C27" s="21" t="s">
        <v>271</v>
      </c>
      <c r="D27" s="21">
        <v>0.81</v>
      </c>
      <c r="E27" s="21">
        <v>0</v>
      </c>
      <c r="F27" s="21">
        <v>7.0000000000000007E-2</v>
      </c>
      <c r="G27" s="21">
        <v>0</v>
      </c>
      <c r="I27" s="22" t="s">
        <v>262</v>
      </c>
      <c r="J27" s="23">
        <f>SUMIFS(Tbl_State[volume_millions],Tbl_State[state],I27)</f>
        <v>16636.179999999997</v>
      </c>
      <c r="K27" s="23">
        <f>SUMIFS(Tbl_State[value_crores],Tbl_State[state],I27)</f>
        <v>569878.31000000006</v>
      </c>
      <c r="L27" s="23">
        <f>AVERAGEIFS(Tbl_State[avg_txn_value_inr],Tbl_State[state],I27)</f>
        <v>346.56029411764712</v>
      </c>
    </row>
    <row r="28" spans="1:20" ht="15" customHeight="1" x14ac:dyDescent="0.3">
      <c r="A28" s="21" t="s">
        <v>86</v>
      </c>
      <c r="B28" s="21" t="s">
        <v>87</v>
      </c>
      <c r="C28" s="21" t="s">
        <v>264</v>
      </c>
      <c r="D28" s="21">
        <v>0.61</v>
      </c>
      <c r="E28" s="21">
        <v>0</v>
      </c>
      <c r="F28" s="21">
        <v>0.05</v>
      </c>
      <c r="G28" s="21">
        <v>0</v>
      </c>
      <c r="I28" s="22" t="s">
        <v>243</v>
      </c>
      <c r="J28" s="23">
        <f>SUMIFS(Tbl_State[volume_millions],Tbl_State[state],I28)</f>
        <v>76635.66</v>
      </c>
      <c r="K28" s="23">
        <f>SUMIFS(Tbl_State[value_crores],Tbl_State[state],I28)</f>
        <v>2625403.7999999998</v>
      </c>
      <c r="L28" s="23">
        <f>AVERAGEIFS(Tbl_State[avg_txn_value_inr],Tbl_State[state],I28)</f>
        <v>350.65147058823533</v>
      </c>
    </row>
    <row r="29" spans="1:20" ht="15" customHeight="1" x14ac:dyDescent="0.3">
      <c r="A29" s="21" t="s">
        <v>86</v>
      </c>
      <c r="B29" s="21" t="s">
        <v>87</v>
      </c>
      <c r="C29" s="21" t="s">
        <v>261</v>
      </c>
      <c r="D29" s="21">
        <v>0.48</v>
      </c>
      <c r="E29" s="21">
        <v>0</v>
      </c>
      <c r="F29" s="21">
        <v>0.04</v>
      </c>
      <c r="G29" s="21">
        <v>0</v>
      </c>
      <c r="I29" s="22" t="s">
        <v>272</v>
      </c>
      <c r="J29" s="23">
        <f>SUMIFS(Tbl_State[volume_millions],Tbl_State[state],I29)</f>
        <v>699.24</v>
      </c>
      <c r="K29" s="23">
        <f>SUMIFS(Tbl_State[value_crores],Tbl_State[state],I29)</f>
        <v>23954.559999999998</v>
      </c>
      <c r="L29" s="23">
        <f>AVERAGEIFS(Tbl_State[avg_txn_value_inr],Tbl_State[state],I29)</f>
        <v>329.38171428571434</v>
      </c>
    </row>
    <row r="30" spans="1:20" ht="15" customHeight="1" x14ac:dyDescent="0.3">
      <c r="A30" s="21" t="s">
        <v>86</v>
      </c>
      <c r="B30" s="21" t="s">
        <v>87</v>
      </c>
      <c r="C30" s="21" t="s">
        <v>273</v>
      </c>
      <c r="D30" s="21">
        <v>0.3</v>
      </c>
      <c r="E30" s="21">
        <v>0</v>
      </c>
      <c r="F30" s="21">
        <v>0.02</v>
      </c>
      <c r="G30" s="21">
        <v>0</v>
      </c>
      <c r="I30" s="22" t="s">
        <v>274</v>
      </c>
      <c r="J30" s="23">
        <f>SUMIFS(Tbl_State[volume_millions],Tbl_State[state],I30)</f>
        <v>937.76</v>
      </c>
      <c r="K30" s="23">
        <f>SUMIFS(Tbl_State[value_crores],Tbl_State[state],I30)</f>
        <v>32129.629999999997</v>
      </c>
      <c r="L30" s="23">
        <f>AVERAGEIFS(Tbl_State[avg_txn_value_inr],Tbl_State[state],I30)</f>
        <v>334.58028571428571</v>
      </c>
    </row>
    <row r="31" spans="1:20" ht="15" customHeight="1" x14ac:dyDescent="0.3">
      <c r="A31" s="21" t="s">
        <v>86</v>
      </c>
      <c r="B31" s="21" t="s">
        <v>87</v>
      </c>
      <c r="C31" s="21" t="s">
        <v>274</v>
      </c>
      <c r="D31" s="21">
        <v>0.18</v>
      </c>
      <c r="E31" s="21">
        <v>0</v>
      </c>
      <c r="F31" s="21">
        <v>0.01</v>
      </c>
      <c r="G31" s="21">
        <v>0</v>
      </c>
      <c r="I31" s="22" t="s">
        <v>275</v>
      </c>
      <c r="J31" s="23">
        <f>SUMIFS(Tbl_State[volume_millions],Tbl_State[state],I31)</f>
        <v>371.63000000000005</v>
      </c>
      <c r="K31" s="23">
        <f>SUMIFS(Tbl_State[value_crores],Tbl_State[state],I31)</f>
        <v>12732.350000000002</v>
      </c>
      <c r="L31" s="23">
        <f>AVERAGEIFS(Tbl_State[avg_txn_value_inr],Tbl_State[state],I31)</f>
        <v>330.86371428571437</v>
      </c>
    </row>
    <row r="32" spans="1:20" ht="15" customHeight="1" x14ac:dyDescent="0.3">
      <c r="A32" s="21" t="s">
        <v>86</v>
      </c>
      <c r="B32" s="21" t="s">
        <v>87</v>
      </c>
      <c r="C32" s="21" t="s">
        <v>272</v>
      </c>
      <c r="D32" s="21">
        <v>0.15</v>
      </c>
      <c r="E32" s="21">
        <v>0</v>
      </c>
      <c r="F32" s="21">
        <v>0.01</v>
      </c>
      <c r="G32" s="21">
        <v>0</v>
      </c>
      <c r="I32" s="22" t="s">
        <v>276</v>
      </c>
      <c r="J32" s="23">
        <f>SUMIFS(Tbl_State[volume_millions],Tbl_State[state],I32)</f>
        <v>554.98</v>
      </c>
      <c r="K32" s="23">
        <f>SUMIFS(Tbl_State[value_crores],Tbl_State[state],I32)</f>
        <v>19015.239999999998</v>
      </c>
      <c r="L32" s="23">
        <f>AVERAGEIFS(Tbl_State[avg_txn_value_inr],Tbl_State[state],I32)</f>
        <v>326.69285714285712</v>
      </c>
    </row>
    <row r="33" spans="1:12" ht="15" customHeight="1" x14ac:dyDescent="0.3">
      <c r="A33" s="21" t="s">
        <v>86</v>
      </c>
      <c r="B33" s="21" t="s">
        <v>87</v>
      </c>
      <c r="C33" s="21" t="s">
        <v>276</v>
      </c>
      <c r="D33" s="21">
        <v>0.13</v>
      </c>
      <c r="E33" s="21">
        <v>0</v>
      </c>
      <c r="F33" s="21">
        <v>0.01</v>
      </c>
      <c r="G33" s="21">
        <v>0</v>
      </c>
      <c r="I33" s="22" t="s">
        <v>268</v>
      </c>
      <c r="J33" s="23">
        <f>SUMIFS(Tbl_State[volume_millions],Tbl_State[state],I33)</f>
        <v>8370.64</v>
      </c>
      <c r="K33" s="23">
        <f>SUMIFS(Tbl_State[value_crores],Tbl_State[state],I33)</f>
        <v>286755.65999999997</v>
      </c>
      <c r="L33" s="23">
        <f>AVERAGEIFS(Tbl_State[avg_txn_value_inr],Tbl_State[state],I33)</f>
        <v>339.33857142857141</v>
      </c>
    </row>
    <row r="34" spans="1:12" ht="15" customHeight="1" x14ac:dyDescent="0.3">
      <c r="A34" s="21" t="s">
        <v>86</v>
      </c>
      <c r="B34" s="21" t="s">
        <v>87</v>
      </c>
      <c r="C34" s="21" t="s">
        <v>251</v>
      </c>
      <c r="D34" s="21">
        <v>0.09</v>
      </c>
      <c r="E34" s="21">
        <v>0</v>
      </c>
      <c r="F34" s="21">
        <v>0.01</v>
      </c>
      <c r="G34" s="21">
        <v>0</v>
      </c>
      <c r="I34" s="22" t="s">
        <v>277</v>
      </c>
      <c r="J34" s="23">
        <f>SUMIFS(Tbl_State[volume_millions],Tbl_State[state],I34)</f>
        <v>1153.8699999999999</v>
      </c>
      <c r="K34" s="23">
        <f>SUMIFS(Tbl_State[value_crores],Tbl_State[state],I34)</f>
        <v>39528.359999999993</v>
      </c>
      <c r="L34" s="23">
        <f>AVERAGEIFS(Tbl_State[avg_txn_value_inr],Tbl_State[state],I34)</f>
        <v>337.75942857142854</v>
      </c>
    </row>
    <row r="35" spans="1:12" ht="15" customHeight="1" x14ac:dyDescent="0.3">
      <c r="A35" s="21" t="s">
        <v>86</v>
      </c>
      <c r="B35" s="21" t="s">
        <v>87</v>
      </c>
      <c r="C35" s="21" t="s">
        <v>275</v>
      </c>
      <c r="D35" s="21">
        <v>0.08</v>
      </c>
      <c r="E35" s="21">
        <v>0</v>
      </c>
      <c r="F35" s="21">
        <v>0.01</v>
      </c>
      <c r="G35" s="21">
        <v>0</v>
      </c>
      <c r="I35" s="22" t="s">
        <v>265</v>
      </c>
      <c r="J35" s="23">
        <f>SUMIFS(Tbl_State[volume_millions],Tbl_State[state],I35)</f>
        <v>11944.970000000001</v>
      </c>
      <c r="K35" s="23">
        <f>SUMIFS(Tbl_State[value_crores],Tbl_State[state],I35)</f>
        <v>409236.58999999997</v>
      </c>
      <c r="L35" s="23">
        <f>AVERAGEIFS(Tbl_State[avg_txn_value_inr],Tbl_State[state],I35)</f>
        <v>345.47485714285716</v>
      </c>
    </row>
    <row r="36" spans="1:12" ht="15" customHeight="1" x14ac:dyDescent="0.3">
      <c r="A36" s="21" t="s">
        <v>86</v>
      </c>
      <c r="B36" s="21" t="s">
        <v>87</v>
      </c>
      <c r="C36" s="21" t="s">
        <v>278</v>
      </c>
      <c r="D36" s="21">
        <v>7.0000000000000007E-2</v>
      </c>
      <c r="E36" s="21">
        <v>0</v>
      </c>
      <c r="F36" s="21">
        <v>0.01</v>
      </c>
      <c r="G36" s="21">
        <v>0</v>
      </c>
      <c r="I36" s="22" t="s">
        <v>257</v>
      </c>
      <c r="J36" s="23">
        <f>SUMIFS(Tbl_State[volume_millions],Tbl_State[state],I36)</f>
        <v>22013.72</v>
      </c>
      <c r="K36" s="23">
        <f>SUMIFS(Tbl_State[value_crores],Tbl_State[state],I36)</f>
        <v>754173.88</v>
      </c>
      <c r="L36" s="23">
        <f>AVERAGEIFS(Tbl_State[avg_txn_value_inr],Tbl_State[state],I36)</f>
        <v>350.37617647058823</v>
      </c>
    </row>
    <row r="37" spans="1:12" ht="15" customHeight="1" x14ac:dyDescent="0.3">
      <c r="A37" s="21" t="s">
        <v>86</v>
      </c>
      <c r="B37" s="21" t="s">
        <v>87</v>
      </c>
      <c r="C37" s="21" t="s">
        <v>254</v>
      </c>
      <c r="D37" s="21">
        <v>0.37</v>
      </c>
      <c r="E37" s="21">
        <v>0</v>
      </c>
      <c r="F37" s="21">
        <v>0.03</v>
      </c>
      <c r="G37" s="21">
        <v>0</v>
      </c>
      <c r="I37" s="22" t="s">
        <v>278</v>
      </c>
      <c r="J37" s="23">
        <f>SUMIFS(Tbl_State[volume_millions],Tbl_State[state],I37)</f>
        <v>321.34000000000003</v>
      </c>
      <c r="K37" s="23">
        <f>SUMIFS(Tbl_State[value_crores],Tbl_State[state],I37)</f>
        <v>11009.599999999999</v>
      </c>
      <c r="L37" s="23">
        <f>AVERAGEIFS(Tbl_State[avg_txn_value_inr],Tbl_State[state],I37)</f>
        <v>328.75371428571424</v>
      </c>
    </row>
    <row r="38" spans="1:12" ht="15" customHeight="1" x14ac:dyDescent="0.3">
      <c r="A38" s="21" t="s">
        <v>86</v>
      </c>
      <c r="B38" s="21" t="s">
        <v>87</v>
      </c>
      <c r="C38" s="21" t="s">
        <v>277</v>
      </c>
      <c r="D38" s="21">
        <v>0.24</v>
      </c>
      <c r="E38" s="21">
        <v>0</v>
      </c>
      <c r="F38" s="21">
        <v>0.02</v>
      </c>
      <c r="G38" s="21">
        <v>0</v>
      </c>
      <c r="I38" s="22" t="s">
        <v>246</v>
      </c>
      <c r="J38" s="23">
        <f>SUMIFS(Tbl_State[volume_millions],Tbl_State[state],I38)</f>
        <v>32679.000000000004</v>
      </c>
      <c r="K38" s="23">
        <f>SUMIFS(Tbl_State[value_crores],Tbl_State[state],I38)</f>
        <v>1119510.58</v>
      </c>
      <c r="L38" s="23">
        <f>AVERAGEIFS(Tbl_State[avg_txn_value_inr],Tbl_State[state],I38)</f>
        <v>347.29911764705884</v>
      </c>
    </row>
    <row r="39" spans="1:12" ht="15" customHeight="1" x14ac:dyDescent="0.3">
      <c r="A39" s="21" t="s">
        <v>86</v>
      </c>
      <c r="B39" s="21" t="s">
        <v>87</v>
      </c>
      <c r="C39" s="21" t="s">
        <v>266</v>
      </c>
      <c r="D39" s="21">
        <v>0.43</v>
      </c>
      <c r="E39" s="21">
        <v>0</v>
      </c>
      <c r="F39" s="21">
        <v>0.04</v>
      </c>
      <c r="G39" s="21">
        <v>0</v>
      </c>
      <c r="I39" s="22" t="s">
        <v>247</v>
      </c>
      <c r="J39" s="23">
        <f>SUMIFS(Tbl_State[volume_millions],Tbl_State[state],I39)</f>
        <v>30628.170000000006</v>
      </c>
      <c r="K39" s="23">
        <f>SUMIFS(Tbl_State[value_crores],Tbl_State[state],I39)</f>
        <v>1049319.1300000001</v>
      </c>
      <c r="L39" s="23">
        <f>AVERAGEIFS(Tbl_State[avg_txn_value_inr],Tbl_State[state],I39)</f>
        <v>346.62676470588241</v>
      </c>
    </row>
    <row r="40" spans="1:12" ht="15" customHeight="1" x14ac:dyDescent="0.3">
      <c r="A40" s="21" t="s">
        <v>86</v>
      </c>
      <c r="B40" s="21" t="s">
        <v>87</v>
      </c>
      <c r="C40" s="21" t="s">
        <v>269</v>
      </c>
      <c r="D40" s="21">
        <v>0.03</v>
      </c>
      <c r="E40" s="21">
        <v>0</v>
      </c>
      <c r="F40" s="21">
        <v>0</v>
      </c>
      <c r="G40" s="21">
        <v>0</v>
      </c>
      <c r="I40" s="22" t="s">
        <v>273</v>
      </c>
      <c r="J40" s="23">
        <f>SUMIFS(Tbl_State[volume_millions],Tbl_State[state],I40)</f>
        <v>1402.9199999999998</v>
      </c>
      <c r="K40" s="23">
        <f>SUMIFS(Tbl_State[value_crores],Tbl_State[state],I40)</f>
        <v>48067.040000000001</v>
      </c>
      <c r="L40" s="23">
        <f>AVERAGEIFS(Tbl_State[avg_txn_value_inr],Tbl_State[state],I40)</f>
        <v>340.24714285714293</v>
      </c>
    </row>
    <row r="41" spans="1:12" ht="15" customHeight="1" x14ac:dyDescent="0.3">
      <c r="A41" s="21" t="s">
        <v>86</v>
      </c>
      <c r="B41" s="21" t="s">
        <v>87</v>
      </c>
      <c r="C41" s="21" t="s">
        <v>249</v>
      </c>
      <c r="D41" s="21">
        <v>0.05</v>
      </c>
      <c r="E41" s="21">
        <v>0</v>
      </c>
      <c r="F41" s="21">
        <v>0</v>
      </c>
      <c r="G41" s="21">
        <v>0</v>
      </c>
      <c r="I41" s="22" t="s">
        <v>255</v>
      </c>
      <c r="J41" s="23">
        <f>SUMIFS(Tbl_State[volume_millions],Tbl_State[state],I41)</f>
        <v>25776.199999999997</v>
      </c>
      <c r="K41" s="23">
        <f>SUMIFS(Tbl_State[value_crores],Tbl_State[state],I41)</f>
        <v>882987.7</v>
      </c>
      <c r="L41" s="23">
        <f>AVERAGEIFS(Tbl_State[avg_txn_value_inr],Tbl_State[state],I41)</f>
        <v>350.62882352941182</v>
      </c>
    </row>
    <row r="42" spans="1:12" ht="15" customHeight="1" x14ac:dyDescent="0.3">
      <c r="A42" s="21" t="s">
        <v>86</v>
      </c>
      <c r="B42" s="21" t="s">
        <v>87</v>
      </c>
      <c r="C42" s="21" t="s">
        <v>258</v>
      </c>
      <c r="D42" s="21">
        <v>7.0000000000000007E-2</v>
      </c>
      <c r="E42" s="21">
        <v>0</v>
      </c>
      <c r="F42" s="21">
        <v>0.01</v>
      </c>
      <c r="G42" s="21">
        <v>0</v>
      </c>
      <c r="I42" s="22" t="s">
        <v>271</v>
      </c>
      <c r="J42" s="23">
        <f>SUMIFS(Tbl_State[volume_millions],Tbl_State[state],I42)</f>
        <v>3752.76</v>
      </c>
      <c r="K42" s="23">
        <f>SUMIFS(Tbl_State[value_crores],Tbl_State[state],I42)</f>
        <v>128569.69</v>
      </c>
      <c r="L42" s="23">
        <f>AVERAGEIFS(Tbl_State[avg_txn_value_inr],Tbl_State[state],I42)</f>
        <v>340.06428571428575</v>
      </c>
    </row>
    <row r="43" spans="1:12" ht="15" customHeight="1" x14ac:dyDescent="0.3">
      <c r="A43" s="21" t="s">
        <v>86</v>
      </c>
      <c r="B43" s="21" t="s">
        <v>87</v>
      </c>
      <c r="C43" s="21" t="s">
        <v>270</v>
      </c>
      <c r="D43" s="21">
        <v>0.01</v>
      </c>
      <c r="E43" s="21">
        <v>0</v>
      </c>
      <c r="F43" s="21">
        <v>0</v>
      </c>
      <c r="G43" s="21">
        <v>0</v>
      </c>
      <c r="I43" s="22" t="s">
        <v>259</v>
      </c>
      <c r="J43" s="23">
        <f>SUMIFS(Tbl_State[volume_millions],Tbl_State[state],I43)</f>
        <v>19824.32</v>
      </c>
      <c r="K43" s="23">
        <f>SUMIFS(Tbl_State[value_crores],Tbl_State[state],I43)</f>
        <v>679120.12999999989</v>
      </c>
      <c r="L43" s="23">
        <f>AVERAGEIFS(Tbl_State[avg_txn_value_inr],Tbl_State[state],I43)</f>
        <v>347.85029411764708</v>
      </c>
    </row>
    <row r="44" spans="1:12" ht="15" customHeight="1" x14ac:dyDescent="0.3">
      <c r="A44" s="21" t="s">
        <v>86</v>
      </c>
      <c r="B44" s="21" t="s">
        <v>92</v>
      </c>
      <c r="C44" s="21" t="s">
        <v>243</v>
      </c>
      <c r="D44" s="21">
        <v>16.48</v>
      </c>
      <c r="E44" s="21">
        <v>0.46</v>
      </c>
      <c r="F44" s="21">
        <v>18.36</v>
      </c>
      <c r="G44" s="21">
        <v>399.13</v>
      </c>
    </row>
    <row r="45" spans="1:12" ht="15" customHeight="1" x14ac:dyDescent="0.3">
      <c r="A45" s="21" t="s">
        <v>86</v>
      </c>
      <c r="B45" s="21" t="s">
        <v>92</v>
      </c>
      <c r="C45" s="21" t="s">
        <v>244</v>
      </c>
      <c r="D45" s="21">
        <v>13.01</v>
      </c>
      <c r="E45" s="21">
        <v>0.36</v>
      </c>
      <c r="F45" s="21">
        <v>14.49</v>
      </c>
      <c r="G45" s="21">
        <v>402.5</v>
      </c>
    </row>
    <row r="46" spans="1:12" ht="15" customHeight="1" x14ac:dyDescent="0.3">
      <c r="A46" s="21" t="s">
        <v>86</v>
      </c>
      <c r="B46" s="21" t="s">
        <v>92</v>
      </c>
      <c r="C46" s="21" t="s">
        <v>245</v>
      </c>
      <c r="D46" s="21">
        <v>8.1999999999999993</v>
      </c>
      <c r="E46" s="21">
        <v>0.23</v>
      </c>
      <c r="F46" s="21">
        <v>9.1300000000000008</v>
      </c>
      <c r="G46" s="21">
        <v>396.96</v>
      </c>
    </row>
    <row r="47" spans="1:12" ht="15" customHeight="1" x14ac:dyDescent="0.3">
      <c r="A47" s="21" t="s">
        <v>86</v>
      </c>
      <c r="B47" s="21" t="s">
        <v>92</v>
      </c>
      <c r="C47" s="21" t="s">
        <v>246</v>
      </c>
      <c r="D47" s="21">
        <v>6.81</v>
      </c>
      <c r="E47" s="21">
        <v>0.19</v>
      </c>
      <c r="F47" s="21">
        <v>7.59</v>
      </c>
      <c r="G47" s="21">
        <v>399.47</v>
      </c>
    </row>
    <row r="48" spans="1:12" ht="15" customHeight="1" x14ac:dyDescent="0.3">
      <c r="A48" s="21" t="s">
        <v>86</v>
      </c>
      <c r="B48" s="21" t="s">
        <v>92</v>
      </c>
      <c r="C48" s="21" t="s">
        <v>247</v>
      </c>
      <c r="D48" s="21">
        <v>6.77</v>
      </c>
      <c r="E48" s="21">
        <v>0.19</v>
      </c>
      <c r="F48" s="21">
        <v>7.54</v>
      </c>
      <c r="G48" s="21">
        <v>396.84</v>
      </c>
    </row>
    <row r="49" spans="1:7" ht="15" customHeight="1" x14ac:dyDescent="0.3">
      <c r="A49" s="21" t="s">
        <v>86</v>
      </c>
      <c r="B49" s="21" t="s">
        <v>92</v>
      </c>
      <c r="C49" s="21" t="s">
        <v>248</v>
      </c>
      <c r="D49" s="21">
        <v>5.87</v>
      </c>
      <c r="E49" s="21">
        <v>0.16</v>
      </c>
      <c r="F49" s="21">
        <v>6.53</v>
      </c>
      <c r="G49" s="21">
        <v>408.12</v>
      </c>
    </row>
    <row r="50" spans="1:7" ht="15" customHeight="1" x14ac:dyDescent="0.3">
      <c r="A50" s="21" t="s">
        <v>86</v>
      </c>
      <c r="B50" s="21" t="s">
        <v>92</v>
      </c>
      <c r="C50" s="21" t="s">
        <v>255</v>
      </c>
      <c r="D50" s="21">
        <v>5.5</v>
      </c>
      <c r="E50" s="21">
        <v>0.15</v>
      </c>
      <c r="F50" s="21">
        <v>6.13</v>
      </c>
      <c r="G50" s="21">
        <v>408.67</v>
      </c>
    </row>
    <row r="51" spans="1:7" ht="15" customHeight="1" x14ac:dyDescent="0.3">
      <c r="A51" s="21" t="s">
        <v>86</v>
      </c>
      <c r="B51" s="21" t="s">
        <v>92</v>
      </c>
      <c r="C51" s="21" t="s">
        <v>257</v>
      </c>
      <c r="D51" s="21">
        <v>4.57</v>
      </c>
      <c r="E51" s="21">
        <v>0.13</v>
      </c>
      <c r="F51" s="21">
        <v>5.09</v>
      </c>
      <c r="G51" s="21">
        <v>391.54</v>
      </c>
    </row>
    <row r="52" spans="1:7" ht="15" customHeight="1" x14ac:dyDescent="0.3">
      <c r="A52" s="21" t="s">
        <v>86</v>
      </c>
      <c r="B52" s="21" t="s">
        <v>92</v>
      </c>
      <c r="C52" s="21" t="s">
        <v>259</v>
      </c>
      <c r="D52" s="21">
        <v>4.47</v>
      </c>
      <c r="E52" s="21">
        <v>0.13</v>
      </c>
      <c r="F52" s="21">
        <v>4.9800000000000004</v>
      </c>
      <c r="G52" s="21">
        <v>383.08</v>
      </c>
    </row>
    <row r="53" spans="1:7" ht="15" customHeight="1" x14ac:dyDescent="0.3">
      <c r="A53" s="21" t="s">
        <v>86</v>
      </c>
      <c r="B53" s="21" t="s">
        <v>92</v>
      </c>
      <c r="C53" s="21" t="s">
        <v>260</v>
      </c>
      <c r="D53" s="21">
        <v>3.93</v>
      </c>
      <c r="E53" s="21">
        <v>0.11</v>
      </c>
      <c r="F53" s="21">
        <v>4.37</v>
      </c>
      <c r="G53" s="21">
        <v>397.27</v>
      </c>
    </row>
    <row r="54" spans="1:7" ht="15" customHeight="1" x14ac:dyDescent="0.3">
      <c r="A54" s="21" t="s">
        <v>86</v>
      </c>
      <c r="B54" s="21" t="s">
        <v>92</v>
      </c>
      <c r="C54" s="21" t="s">
        <v>262</v>
      </c>
      <c r="D54" s="21">
        <v>3.4</v>
      </c>
      <c r="E54" s="21">
        <v>0.1</v>
      </c>
      <c r="F54" s="21">
        <v>3.79</v>
      </c>
      <c r="G54" s="21">
        <v>379</v>
      </c>
    </row>
    <row r="55" spans="1:7" ht="15" customHeight="1" x14ac:dyDescent="0.3">
      <c r="A55" s="21" t="s">
        <v>86</v>
      </c>
      <c r="B55" s="21" t="s">
        <v>92</v>
      </c>
      <c r="C55" s="21" t="s">
        <v>250</v>
      </c>
      <c r="D55" s="21">
        <v>3.36</v>
      </c>
      <c r="E55" s="21">
        <v>0.09</v>
      </c>
      <c r="F55" s="21">
        <v>3.74</v>
      </c>
      <c r="G55" s="21">
        <v>415.56</v>
      </c>
    </row>
    <row r="56" spans="1:7" ht="15" customHeight="1" x14ac:dyDescent="0.3">
      <c r="A56" s="21" t="s">
        <v>86</v>
      </c>
      <c r="B56" s="21" t="s">
        <v>92</v>
      </c>
      <c r="C56" s="21" t="s">
        <v>263</v>
      </c>
      <c r="D56" s="21">
        <v>2.73</v>
      </c>
      <c r="E56" s="21">
        <v>0.08</v>
      </c>
      <c r="F56" s="21">
        <v>3.04</v>
      </c>
      <c r="G56" s="21">
        <v>380</v>
      </c>
    </row>
    <row r="57" spans="1:7" ht="15" customHeight="1" x14ac:dyDescent="0.3">
      <c r="A57" s="21" t="s">
        <v>86</v>
      </c>
      <c r="B57" s="21" t="s">
        <v>92</v>
      </c>
      <c r="C57" s="21" t="s">
        <v>265</v>
      </c>
      <c r="D57" s="21">
        <v>2.4</v>
      </c>
      <c r="E57" s="21">
        <v>7.0000000000000007E-2</v>
      </c>
      <c r="F57" s="21">
        <v>2.68</v>
      </c>
      <c r="G57" s="21">
        <v>382.86</v>
      </c>
    </row>
    <row r="58" spans="1:7" ht="15" customHeight="1" x14ac:dyDescent="0.3">
      <c r="A58" s="21" t="s">
        <v>86</v>
      </c>
      <c r="B58" s="21" t="s">
        <v>92</v>
      </c>
      <c r="C58" s="21" t="s">
        <v>253</v>
      </c>
      <c r="D58" s="21">
        <v>2.12</v>
      </c>
      <c r="E58" s="21">
        <v>0.06</v>
      </c>
      <c r="F58" s="21">
        <v>2.36</v>
      </c>
      <c r="G58" s="21">
        <v>393.33</v>
      </c>
    </row>
    <row r="59" spans="1:7" ht="15" customHeight="1" x14ac:dyDescent="0.3">
      <c r="A59" s="21" t="s">
        <v>86</v>
      </c>
      <c r="B59" s="21" t="s">
        <v>92</v>
      </c>
      <c r="C59" s="21" t="s">
        <v>268</v>
      </c>
      <c r="D59" s="21">
        <v>1.64</v>
      </c>
      <c r="E59" s="21">
        <v>0.05</v>
      </c>
      <c r="F59" s="21">
        <v>1.83</v>
      </c>
      <c r="G59" s="21">
        <v>366</v>
      </c>
    </row>
    <row r="60" spans="1:7" ht="15" customHeight="1" x14ac:dyDescent="0.3">
      <c r="A60" s="21" t="s">
        <v>86</v>
      </c>
      <c r="B60" s="21" t="s">
        <v>92</v>
      </c>
      <c r="C60" s="21" t="s">
        <v>252</v>
      </c>
      <c r="D60" s="21">
        <v>1.23</v>
      </c>
      <c r="E60" s="21">
        <v>0.03</v>
      </c>
      <c r="F60" s="21">
        <v>1.37</v>
      </c>
      <c r="G60" s="21">
        <v>456.67</v>
      </c>
    </row>
    <row r="61" spans="1:7" ht="15" customHeight="1" x14ac:dyDescent="0.3">
      <c r="A61" s="21" t="s">
        <v>86</v>
      </c>
      <c r="B61" s="21" t="s">
        <v>92</v>
      </c>
      <c r="C61" s="21" t="s">
        <v>267</v>
      </c>
      <c r="D61" s="21">
        <v>0.91</v>
      </c>
      <c r="E61" s="21">
        <v>0.03</v>
      </c>
      <c r="F61" s="21">
        <v>1.01</v>
      </c>
      <c r="G61" s="21">
        <v>336.67</v>
      </c>
    </row>
    <row r="62" spans="1:7" ht="15" customHeight="1" x14ac:dyDescent="0.3">
      <c r="A62" s="21" t="s">
        <v>86</v>
      </c>
      <c r="B62" s="21" t="s">
        <v>92</v>
      </c>
      <c r="C62" s="21" t="s">
        <v>256</v>
      </c>
      <c r="D62" s="21">
        <v>0.84</v>
      </c>
      <c r="E62" s="21">
        <v>0.02</v>
      </c>
      <c r="F62" s="21">
        <v>0.94</v>
      </c>
      <c r="G62" s="21">
        <v>470</v>
      </c>
    </row>
    <row r="63" spans="1:7" ht="15" customHeight="1" x14ac:dyDescent="0.3">
      <c r="A63" s="21" t="s">
        <v>86</v>
      </c>
      <c r="B63" s="21" t="s">
        <v>92</v>
      </c>
      <c r="C63" s="21" t="s">
        <v>271</v>
      </c>
      <c r="D63" s="21">
        <v>0.72</v>
      </c>
      <c r="E63" s="21">
        <v>0.02</v>
      </c>
      <c r="F63" s="21">
        <v>0.8</v>
      </c>
      <c r="G63" s="21">
        <v>400</v>
      </c>
    </row>
    <row r="64" spans="1:7" ht="15" customHeight="1" x14ac:dyDescent="0.3">
      <c r="A64" s="21" t="s">
        <v>86</v>
      </c>
      <c r="B64" s="21" t="s">
        <v>92</v>
      </c>
      <c r="C64" s="21" t="s">
        <v>264</v>
      </c>
      <c r="D64" s="21">
        <v>0.6</v>
      </c>
      <c r="E64" s="21">
        <v>0.02</v>
      </c>
      <c r="F64" s="21">
        <v>0.67</v>
      </c>
      <c r="G64" s="21">
        <v>335</v>
      </c>
    </row>
    <row r="65" spans="1:24" ht="15" customHeight="1" x14ac:dyDescent="0.3">
      <c r="A65" s="21" t="s">
        <v>86</v>
      </c>
      <c r="B65" s="21" t="s">
        <v>92</v>
      </c>
      <c r="C65" s="21" t="s">
        <v>261</v>
      </c>
      <c r="D65" s="21">
        <v>0.5</v>
      </c>
      <c r="E65" s="21">
        <v>0.01</v>
      </c>
      <c r="F65" s="21">
        <v>0.55000000000000004</v>
      </c>
      <c r="G65" s="21">
        <v>550</v>
      </c>
    </row>
    <row r="66" spans="1:24" ht="15" customHeight="1" x14ac:dyDescent="0.3">
      <c r="A66" s="21" t="s">
        <v>86</v>
      </c>
      <c r="B66" s="21" t="s">
        <v>92</v>
      </c>
      <c r="C66" s="21" t="s">
        <v>273</v>
      </c>
      <c r="D66" s="21">
        <v>0.3</v>
      </c>
      <c r="E66" s="21">
        <v>0.01</v>
      </c>
      <c r="F66" s="21">
        <v>0.33</v>
      </c>
      <c r="G66" s="21">
        <v>330</v>
      </c>
    </row>
    <row r="67" spans="1:24" ht="15" customHeight="1" x14ac:dyDescent="0.3">
      <c r="A67" s="21" t="s">
        <v>86</v>
      </c>
      <c r="B67" s="21" t="s">
        <v>92</v>
      </c>
      <c r="C67" s="21" t="s">
        <v>274</v>
      </c>
      <c r="D67" s="21">
        <v>0.19</v>
      </c>
      <c r="E67" s="21">
        <v>0.01</v>
      </c>
      <c r="F67" s="21">
        <v>0.21</v>
      </c>
      <c r="G67" s="21">
        <v>210</v>
      </c>
      <c r="O67" s="20" t="s">
        <v>241</v>
      </c>
      <c r="P67" s="20" t="s">
        <v>86</v>
      </c>
      <c r="Q67" s="20" t="s">
        <v>90</v>
      </c>
      <c r="R67" s="20" t="s">
        <v>93</v>
      </c>
      <c r="S67" s="20" t="s">
        <v>96</v>
      </c>
      <c r="T67" s="20" t="s">
        <v>98</v>
      </c>
      <c r="U67" s="20" t="s">
        <v>100</v>
      </c>
      <c r="V67" s="20" t="s">
        <v>102</v>
      </c>
      <c r="W67" s="20" t="s">
        <v>104</v>
      </c>
      <c r="X67" s="20" t="s">
        <v>106</v>
      </c>
    </row>
    <row r="68" spans="1:24" ht="15" customHeight="1" x14ac:dyDescent="0.3">
      <c r="A68" s="21" t="s">
        <v>86</v>
      </c>
      <c r="B68" s="21" t="s">
        <v>92</v>
      </c>
      <c r="C68" s="21" t="s">
        <v>272</v>
      </c>
      <c r="D68" s="21">
        <v>0.14000000000000001</v>
      </c>
      <c r="E68" s="21">
        <v>0</v>
      </c>
      <c r="F68" s="21">
        <v>0.16</v>
      </c>
      <c r="G68" s="21">
        <v>0</v>
      </c>
      <c r="O68" s="21" t="s">
        <v>243</v>
      </c>
      <c r="P68" s="25">
        <f>SUMIFS(Tbl_State[volume_millions],Tbl_State[state],$O68,Tbl_State[fiscal_year],P$67)</f>
        <v>0.49</v>
      </c>
      <c r="Q68" s="25">
        <f>SUMIFS(Tbl_State[volume_millions],Tbl_State[state],$O68,Tbl_State[fiscal_year],Q$67)</f>
        <v>153.11000000000001</v>
      </c>
      <c r="R68" s="25">
        <f>SUMIFS(Tbl_State[volume_millions],Tbl_State[state],$O68,Tbl_State[fiscal_year],R$67)</f>
        <v>883.18000000000006</v>
      </c>
      <c r="S68" s="25">
        <f>SUMIFS(Tbl_State[volume_millions],Tbl_State[state],$O68,Tbl_State[fiscal_year],S$67)</f>
        <v>2062.2600000000002</v>
      </c>
      <c r="T68" s="25">
        <f>SUMIFS(Tbl_State[volume_millions],Tbl_State[state],$O68,Tbl_State[fiscal_year],T$67)</f>
        <v>3576.41</v>
      </c>
      <c r="U68" s="25">
        <f>SUMIFS(Tbl_State[volume_millions],Tbl_State[state],$O68,Tbl_State[fiscal_year],U$67)</f>
        <v>7618.1100000000006</v>
      </c>
      <c r="V68" s="23">
        <f>SUMIFS(Tbl_State[volume_millions],Tbl_State[state],$O68,Tbl_State[fiscal_year],V$67)</f>
        <v>14064.66</v>
      </c>
      <c r="W68" s="23">
        <f>SUMIFS(Tbl_State[volume_millions],Tbl_State[state],$O68,Tbl_State[fiscal_year],W$67)</f>
        <v>21109.379999999997</v>
      </c>
      <c r="X68" s="23">
        <f>SUMIFS(Tbl_State[volume_millions],Tbl_State[state],$O68,Tbl_State[fiscal_year],X$67)</f>
        <v>27168.060000000005</v>
      </c>
    </row>
    <row r="69" spans="1:24" ht="15" customHeight="1" x14ac:dyDescent="0.3">
      <c r="A69" s="21" t="s">
        <v>86</v>
      </c>
      <c r="B69" s="21" t="s">
        <v>92</v>
      </c>
      <c r="C69" s="21" t="s">
        <v>276</v>
      </c>
      <c r="D69" s="21">
        <v>0.12</v>
      </c>
      <c r="E69" s="21">
        <v>0</v>
      </c>
      <c r="F69" s="21">
        <v>0.14000000000000001</v>
      </c>
      <c r="G69" s="21">
        <v>0</v>
      </c>
      <c r="O69" s="21" t="s">
        <v>244</v>
      </c>
      <c r="P69" s="25">
        <f>SUMIFS(Tbl_State[volume_millions],Tbl_State[state],$O69,Tbl_State[fiscal_year],P$67)</f>
        <v>0.39</v>
      </c>
      <c r="Q69" s="25">
        <f>SUMIFS(Tbl_State[volume_millions],Tbl_State[state],$O69,Tbl_State[fiscal_year],Q$67)</f>
        <v>127.11</v>
      </c>
      <c r="R69" s="25">
        <f>SUMIFS(Tbl_State[volume_millions],Tbl_State[state],$O69,Tbl_State[fiscal_year],R$67)</f>
        <v>702.88</v>
      </c>
      <c r="S69" s="25">
        <f>SUMIFS(Tbl_State[volume_millions],Tbl_State[state],$O69,Tbl_State[fiscal_year],S$67)</f>
        <v>1639.37</v>
      </c>
      <c r="T69" s="25">
        <f>SUMIFS(Tbl_State[volume_millions],Tbl_State[state],$O69,Tbl_State[fiscal_year],T$67)</f>
        <v>2723.3900000000003</v>
      </c>
      <c r="U69" s="25">
        <f>SUMIFS(Tbl_State[volume_millions],Tbl_State[state],$O69,Tbl_State[fiscal_year],U$67)</f>
        <v>5641.66</v>
      </c>
      <c r="V69" s="23">
        <f>SUMIFS(Tbl_State[volume_millions],Tbl_State[state],$O69,Tbl_State[fiscal_year],V$67)</f>
        <v>11035.81</v>
      </c>
      <c r="W69" s="23">
        <f>SUMIFS(Tbl_State[volume_millions],Tbl_State[state],$O69,Tbl_State[fiscal_year],W$67)</f>
        <v>16690.36</v>
      </c>
      <c r="X69" s="23">
        <f>SUMIFS(Tbl_State[volume_millions],Tbl_State[state],$O69,Tbl_State[fiscal_year],X$67)</f>
        <v>20985.439999999999</v>
      </c>
    </row>
    <row r="70" spans="1:24" ht="15" customHeight="1" x14ac:dyDescent="0.3">
      <c r="A70" s="21" t="s">
        <v>86</v>
      </c>
      <c r="B70" s="21" t="s">
        <v>92</v>
      </c>
      <c r="C70" s="21" t="s">
        <v>251</v>
      </c>
      <c r="D70" s="21">
        <v>0.1</v>
      </c>
      <c r="E70" s="21">
        <v>0</v>
      </c>
      <c r="F70" s="21">
        <v>0.11</v>
      </c>
      <c r="G70" s="21">
        <v>0</v>
      </c>
      <c r="O70" s="21" t="s">
        <v>245</v>
      </c>
      <c r="P70" s="25">
        <f>SUMIFS(Tbl_State[volume_millions],Tbl_State[state],$O70,Tbl_State[fiscal_year],P$67)</f>
        <v>0.25</v>
      </c>
      <c r="Q70" s="25">
        <f>SUMIFS(Tbl_State[volume_millions],Tbl_State[state],$O70,Tbl_State[fiscal_year],Q$67)</f>
        <v>80.67</v>
      </c>
      <c r="R70" s="25">
        <f>SUMIFS(Tbl_State[volume_millions],Tbl_State[state],$O70,Tbl_State[fiscal_year],R$67)</f>
        <v>447.27</v>
      </c>
      <c r="S70" s="25">
        <f>SUMIFS(Tbl_State[volume_millions],Tbl_State[state],$O70,Tbl_State[fiscal_year],S$67)</f>
        <v>983.32</v>
      </c>
      <c r="T70" s="25">
        <f>SUMIFS(Tbl_State[volume_millions],Tbl_State[state],$O70,Tbl_State[fiscal_year],T$67)</f>
        <v>1828.48</v>
      </c>
      <c r="U70" s="25">
        <f>SUMIFS(Tbl_State[volume_millions],Tbl_State[state],$O70,Tbl_State[fiscal_year],U$67)</f>
        <v>3799.63</v>
      </c>
      <c r="V70" s="23">
        <f>SUMIFS(Tbl_State[volume_millions],Tbl_State[state],$O70,Tbl_State[fiscal_year],V$67)</f>
        <v>6796.63</v>
      </c>
      <c r="W70" s="23">
        <f>SUMIFS(Tbl_State[volume_millions],Tbl_State[state],$O70,Tbl_State[fiscal_year],W$67)</f>
        <v>10735.57</v>
      </c>
      <c r="X70" s="23">
        <f>SUMIFS(Tbl_State[volume_millions],Tbl_State[state],$O70,Tbl_State[fiscal_year],X$67)</f>
        <v>13892.349999999999</v>
      </c>
    </row>
    <row r="71" spans="1:24" ht="15" customHeight="1" x14ac:dyDescent="0.3">
      <c r="A71" s="21" t="s">
        <v>86</v>
      </c>
      <c r="B71" s="21" t="s">
        <v>92</v>
      </c>
      <c r="C71" s="21" t="s">
        <v>275</v>
      </c>
      <c r="D71" s="21">
        <v>0.08</v>
      </c>
      <c r="E71" s="21">
        <v>0</v>
      </c>
      <c r="F71" s="21">
        <v>0.09</v>
      </c>
      <c r="G71" s="21">
        <v>0</v>
      </c>
      <c r="O71" s="21" t="s">
        <v>246</v>
      </c>
      <c r="P71" s="25">
        <f>SUMIFS(Tbl_State[volume_millions],Tbl_State[state],$O71,Tbl_State[fiscal_year],P$67)</f>
        <v>0.21</v>
      </c>
      <c r="Q71" s="25">
        <f>SUMIFS(Tbl_State[volume_millions],Tbl_State[state],$O71,Tbl_State[fiscal_year],Q$67)</f>
        <v>67.7</v>
      </c>
      <c r="R71" s="25">
        <f>SUMIFS(Tbl_State[volume_millions],Tbl_State[state],$O71,Tbl_State[fiscal_year],R$67)</f>
        <v>385.98</v>
      </c>
      <c r="S71" s="25">
        <f>SUMIFS(Tbl_State[volume_millions],Tbl_State[state],$O71,Tbl_State[fiscal_year],S$67)</f>
        <v>837.37999999999988</v>
      </c>
      <c r="T71" s="25">
        <f>SUMIFS(Tbl_State[volume_millions],Tbl_State[state],$O71,Tbl_State[fiscal_year],T$67)</f>
        <v>1550.45</v>
      </c>
      <c r="U71" s="25">
        <f>SUMIFS(Tbl_State[volume_millions],Tbl_State[state],$O71,Tbl_State[fiscal_year],U$67)</f>
        <v>3190.02</v>
      </c>
      <c r="V71" s="23">
        <f>SUMIFS(Tbl_State[volume_millions],Tbl_State[state],$O71,Tbl_State[fiscal_year],V$67)</f>
        <v>5794.19</v>
      </c>
      <c r="W71" s="23">
        <f>SUMIFS(Tbl_State[volume_millions],Tbl_State[state],$O71,Tbl_State[fiscal_year],W$67)</f>
        <v>9181.2599999999984</v>
      </c>
      <c r="X71" s="23">
        <f>SUMIFS(Tbl_State[volume_millions],Tbl_State[state],$O71,Tbl_State[fiscal_year],X$67)</f>
        <v>11671.81</v>
      </c>
    </row>
    <row r="72" spans="1:24" ht="15" customHeight="1" x14ac:dyDescent="0.3">
      <c r="A72" s="21" t="s">
        <v>86</v>
      </c>
      <c r="B72" s="21" t="s">
        <v>92</v>
      </c>
      <c r="C72" s="21" t="s">
        <v>278</v>
      </c>
      <c r="D72" s="21">
        <v>7.0000000000000007E-2</v>
      </c>
      <c r="E72" s="21">
        <v>0</v>
      </c>
      <c r="F72" s="21">
        <v>7.0000000000000007E-2</v>
      </c>
      <c r="G72" s="21">
        <v>0</v>
      </c>
      <c r="O72" s="21" t="s">
        <v>247</v>
      </c>
      <c r="P72" s="25">
        <f>SUMIFS(Tbl_State[volume_millions],Tbl_State[state],$O72,Tbl_State[fiscal_year],P$67)</f>
        <v>0.21</v>
      </c>
      <c r="Q72" s="25">
        <f>SUMIFS(Tbl_State[volume_millions],Tbl_State[state],$O72,Tbl_State[fiscal_year],Q$67)</f>
        <v>56.71</v>
      </c>
      <c r="R72" s="25">
        <f>SUMIFS(Tbl_State[volume_millions],Tbl_State[state],$O72,Tbl_State[fiscal_year],R$67)</f>
        <v>347.77</v>
      </c>
      <c r="S72" s="25">
        <f>SUMIFS(Tbl_State[volume_millions],Tbl_State[state],$O72,Tbl_State[fiscal_year],S$67)</f>
        <v>826.96</v>
      </c>
      <c r="T72" s="25">
        <f>SUMIFS(Tbl_State[volume_millions],Tbl_State[state],$O72,Tbl_State[fiscal_year],T$67)</f>
        <v>1448.33</v>
      </c>
      <c r="U72" s="25">
        <f>SUMIFS(Tbl_State[volume_millions],Tbl_State[state],$O72,Tbl_State[fiscal_year],U$67)</f>
        <v>2969.38</v>
      </c>
      <c r="V72" s="23">
        <f>SUMIFS(Tbl_State[volume_millions],Tbl_State[state],$O72,Tbl_State[fiscal_year],V$67)</f>
        <v>5346.3700000000008</v>
      </c>
      <c r="W72" s="23">
        <f>SUMIFS(Tbl_State[volume_millions],Tbl_State[state],$O72,Tbl_State[fiscal_year],W$67)</f>
        <v>8476.52</v>
      </c>
      <c r="X72" s="23">
        <f>SUMIFS(Tbl_State[volume_millions],Tbl_State[state],$O72,Tbl_State[fiscal_year],X$67)</f>
        <v>11155.92</v>
      </c>
    </row>
    <row r="73" spans="1:24" ht="15" customHeight="1" x14ac:dyDescent="0.3">
      <c r="A73" s="21" t="s">
        <v>86</v>
      </c>
      <c r="B73" s="21" t="s">
        <v>92</v>
      </c>
      <c r="C73" s="21" t="s">
        <v>254</v>
      </c>
      <c r="D73" s="21">
        <v>0.35</v>
      </c>
      <c r="E73" s="21">
        <v>0.01</v>
      </c>
      <c r="F73" s="21">
        <v>0.39</v>
      </c>
      <c r="G73" s="21">
        <v>390</v>
      </c>
      <c r="O73" s="21" t="s">
        <v>248</v>
      </c>
      <c r="P73" s="25">
        <f>SUMIFS(Tbl_State[volume_millions],Tbl_State[state],$O73,Tbl_State[fiscal_year],P$67)</f>
        <v>0.17</v>
      </c>
      <c r="Q73" s="25">
        <f>SUMIFS(Tbl_State[volume_millions],Tbl_State[state],$O73,Tbl_State[fiscal_year],Q$67)</f>
        <v>55.14</v>
      </c>
      <c r="R73" s="25">
        <f>SUMIFS(Tbl_State[volume_millions],Tbl_State[state],$O73,Tbl_State[fiscal_year],R$67)</f>
        <v>323.12</v>
      </c>
      <c r="S73" s="25">
        <f>SUMIFS(Tbl_State[volume_millions],Tbl_State[state],$O73,Tbl_State[fiscal_year],S$67)</f>
        <v>732.89</v>
      </c>
      <c r="T73" s="25">
        <f>SUMIFS(Tbl_State[volume_millions],Tbl_State[state],$O73,Tbl_State[fiscal_year],T$67)</f>
        <v>1232.42</v>
      </c>
      <c r="U73" s="25">
        <f>SUMIFS(Tbl_State[volume_millions],Tbl_State[state],$O73,Tbl_State[fiscal_year],U$67)</f>
        <v>2633.3</v>
      </c>
      <c r="V73" s="23">
        <f>SUMIFS(Tbl_State[volume_millions],Tbl_State[state],$O73,Tbl_State[fiscal_year],V$67)</f>
        <v>4957.5999999999995</v>
      </c>
      <c r="W73" s="23">
        <f>SUMIFS(Tbl_State[volume_millions],Tbl_State[state],$O73,Tbl_State[fiscal_year],W$67)</f>
        <v>7610.3599999999988</v>
      </c>
      <c r="X73" s="23">
        <f>SUMIFS(Tbl_State[volume_millions],Tbl_State[state],$O73,Tbl_State[fiscal_year],X$67)</f>
        <v>10190.93</v>
      </c>
    </row>
    <row r="74" spans="1:24" ht="15" customHeight="1" x14ac:dyDescent="0.3">
      <c r="A74" s="21" t="s">
        <v>86</v>
      </c>
      <c r="B74" s="21" t="s">
        <v>92</v>
      </c>
      <c r="C74" s="21" t="s">
        <v>277</v>
      </c>
      <c r="D74" s="21">
        <v>0.27</v>
      </c>
      <c r="E74" s="21">
        <v>0.01</v>
      </c>
      <c r="F74" s="21">
        <v>0.3</v>
      </c>
      <c r="G74" s="21">
        <v>300</v>
      </c>
      <c r="O74" s="21" t="s">
        <v>255</v>
      </c>
      <c r="P74" s="25">
        <f>SUMIFS(Tbl_State[volume_millions],Tbl_State[state],$O74,Tbl_State[fiscal_year],P$67)</f>
        <v>0.16</v>
      </c>
      <c r="Q74" s="25">
        <f>SUMIFS(Tbl_State[volume_millions],Tbl_State[state],$O74,Tbl_State[fiscal_year],Q$67)</f>
        <v>52.75</v>
      </c>
      <c r="R74" s="25">
        <f>SUMIFS(Tbl_State[volume_millions],Tbl_State[state],$O74,Tbl_State[fiscal_year],R$67)</f>
        <v>299.82</v>
      </c>
      <c r="S74" s="25">
        <f>SUMIFS(Tbl_State[volume_millions],Tbl_State[state],$O74,Tbl_State[fiscal_year],S$67)</f>
        <v>674.65</v>
      </c>
      <c r="T74" s="25">
        <f>SUMIFS(Tbl_State[volume_millions],Tbl_State[state],$O74,Tbl_State[fiscal_year],T$67)</f>
        <v>1260.4099999999999</v>
      </c>
      <c r="U74" s="25">
        <f>SUMIFS(Tbl_State[volume_millions],Tbl_State[state],$O74,Tbl_State[fiscal_year],U$67)</f>
        <v>2501.56</v>
      </c>
      <c r="V74" s="23">
        <f>SUMIFS(Tbl_State[volume_millions],Tbl_State[state],$O74,Tbl_State[fiscal_year],V$67)</f>
        <v>4519.9400000000005</v>
      </c>
      <c r="W74" s="23">
        <f>SUMIFS(Tbl_State[volume_millions],Tbl_State[state],$O74,Tbl_State[fiscal_year],W$67)</f>
        <v>7005.51</v>
      </c>
      <c r="X74" s="23">
        <f>SUMIFS(Tbl_State[volume_millions],Tbl_State[state],$O74,Tbl_State[fiscal_year],X$67)</f>
        <v>9461.4000000000015</v>
      </c>
    </row>
    <row r="75" spans="1:24" ht="15" customHeight="1" x14ac:dyDescent="0.3">
      <c r="A75" s="21" t="s">
        <v>86</v>
      </c>
      <c r="B75" s="21" t="s">
        <v>92</v>
      </c>
      <c r="C75" s="21" t="s">
        <v>266</v>
      </c>
      <c r="D75" s="21">
        <v>0.46</v>
      </c>
      <c r="E75" s="21">
        <v>0.01</v>
      </c>
      <c r="F75" s="21">
        <v>0.52</v>
      </c>
      <c r="G75" s="21">
        <v>520</v>
      </c>
      <c r="O75" s="21" t="s">
        <v>257</v>
      </c>
      <c r="P75" s="25">
        <f>SUMIFS(Tbl_State[volume_millions],Tbl_State[state],$O75,Tbl_State[fiscal_year],P$67)</f>
        <v>0.14000000000000001</v>
      </c>
      <c r="Q75" s="25">
        <f>SUMIFS(Tbl_State[volume_millions],Tbl_State[state],$O75,Tbl_State[fiscal_year],Q$67)</f>
        <v>45.15</v>
      </c>
      <c r="R75" s="25">
        <f>SUMIFS(Tbl_State[volume_millions],Tbl_State[state],$O75,Tbl_State[fiscal_year],R$67)</f>
        <v>252.86</v>
      </c>
      <c r="S75" s="25">
        <f>SUMIFS(Tbl_State[volume_millions],Tbl_State[state],$O75,Tbl_State[fiscal_year],S$67)</f>
        <v>553.17000000000007</v>
      </c>
      <c r="T75" s="25">
        <f>SUMIFS(Tbl_State[volume_millions],Tbl_State[state],$O75,Tbl_State[fiscal_year],T$67)</f>
        <v>1099.0500000000002</v>
      </c>
      <c r="U75" s="25">
        <f>SUMIFS(Tbl_State[volume_millions],Tbl_State[state],$O75,Tbl_State[fiscal_year],U$67)</f>
        <v>2227.44</v>
      </c>
      <c r="V75" s="23">
        <f>SUMIFS(Tbl_State[volume_millions],Tbl_State[state],$O75,Tbl_State[fiscal_year],V$67)</f>
        <v>3874.9</v>
      </c>
      <c r="W75" s="23">
        <f>SUMIFS(Tbl_State[volume_millions],Tbl_State[state],$O75,Tbl_State[fiscal_year],W$67)</f>
        <v>6057.9600000000009</v>
      </c>
      <c r="X75" s="23">
        <f>SUMIFS(Tbl_State[volume_millions],Tbl_State[state],$O75,Tbl_State[fiscal_year],X$67)</f>
        <v>7903.0499999999993</v>
      </c>
    </row>
    <row r="76" spans="1:24" ht="15" customHeight="1" x14ac:dyDescent="0.3">
      <c r="A76" s="21" t="s">
        <v>86</v>
      </c>
      <c r="B76" s="21" t="s">
        <v>92</v>
      </c>
      <c r="C76" s="21" t="s">
        <v>269</v>
      </c>
      <c r="D76" s="21">
        <v>0.03</v>
      </c>
      <c r="E76" s="21">
        <v>0</v>
      </c>
      <c r="F76" s="21">
        <v>0.03</v>
      </c>
      <c r="G76" s="21">
        <v>0</v>
      </c>
      <c r="O76" s="21" t="s">
        <v>259</v>
      </c>
      <c r="P76" s="25">
        <f>SUMIFS(Tbl_State[volume_millions],Tbl_State[state],$O76,Tbl_State[fiscal_year],P$67)</f>
        <v>0.14000000000000001</v>
      </c>
      <c r="Q76" s="25">
        <f>SUMIFS(Tbl_State[volume_millions],Tbl_State[state],$O76,Tbl_State[fiscal_year],Q$67)</f>
        <v>40.950000000000003</v>
      </c>
      <c r="R76" s="25">
        <f>SUMIFS(Tbl_State[volume_millions],Tbl_State[state],$O76,Tbl_State[fiscal_year],R$67)</f>
        <v>231.72000000000003</v>
      </c>
      <c r="S76" s="25">
        <f>SUMIFS(Tbl_State[volume_millions],Tbl_State[state],$O76,Tbl_State[fiscal_year],S$67)</f>
        <v>518.66</v>
      </c>
      <c r="T76" s="25">
        <f>SUMIFS(Tbl_State[volume_millions],Tbl_State[state],$O76,Tbl_State[fiscal_year],T$67)</f>
        <v>943.67000000000007</v>
      </c>
      <c r="U76" s="25">
        <f>SUMIFS(Tbl_State[volume_millions],Tbl_State[state],$O76,Tbl_State[fiscal_year],U$67)</f>
        <v>1976.8500000000001</v>
      </c>
      <c r="V76" s="23">
        <f>SUMIFS(Tbl_State[volume_millions],Tbl_State[state],$O76,Tbl_State[fiscal_year],V$67)</f>
        <v>3605.79</v>
      </c>
      <c r="W76" s="23">
        <f>SUMIFS(Tbl_State[volume_millions],Tbl_State[state],$O76,Tbl_State[fiscal_year],W$67)</f>
        <v>5448.0599999999995</v>
      </c>
      <c r="X76" s="23">
        <f>SUMIFS(Tbl_State[volume_millions],Tbl_State[state],$O76,Tbl_State[fiscal_year],X$67)</f>
        <v>7058.48</v>
      </c>
    </row>
    <row r="77" spans="1:24" ht="15" customHeight="1" x14ac:dyDescent="0.3">
      <c r="A77" s="21" t="s">
        <v>86</v>
      </c>
      <c r="B77" s="21" t="s">
        <v>92</v>
      </c>
      <c r="C77" s="21" t="s">
        <v>249</v>
      </c>
      <c r="D77" s="21">
        <v>0.05</v>
      </c>
      <c r="E77" s="21">
        <v>0</v>
      </c>
      <c r="F77" s="21">
        <v>0.06</v>
      </c>
      <c r="G77" s="21">
        <v>0</v>
      </c>
      <c r="O77" s="21" t="s">
        <v>260</v>
      </c>
      <c r="P77" s="25">
        <f>SUMIFS(Tbl_State[volume_millions],Tbl_State[state],$O77,Tbl_State[fiscal_year],P$67)</f>
        <v>0.12</v>
      </c>
      <c r="Q77" s="25">
        <f>SUMIFS(Tbl_State[volume_millions],Tbl_State[state],$O77,Tbl_State[fiscal_year],Q$67)</f>
        <v>36.799999999999997</v>
      </c>
      <c r="R77" s="25">
        <f>SUMIFS(Tbl_State[volume_millions],Tbl_State[state],$O77,Tbl_State[fiscal_year],R$67)</f>
        <v>213.09</v>
      </c>
      <c r="S77" s="25">
        <f>SUMIFS(Tbl_State[volume_millions],Tbl_State[state],$O77,Tbl_State[fiscal_year],S$67)</f>
        <v>482.49</v>
      </c>
      <c r="T77" s="25">
        <f>SUMIFS(Tbl_State[volume_millions],Tbl_State[state],$O77,Tbl_State[fiscal_year],T$67)</f>
        <v>831.66</v>
      </c>
      <c r="U77" s="25">
        <f>SUMIFS(Tbl_State[volume_millions],Tbl_State[state],$O77,Tbl_State[fiscal_year],U$67)</f>
        <v>1827.22</v>
      </c>
      <c r="V77" s="23">
        <f>SUMIFS(Tbl_State[volume_millions],Tbl_State[state],$O77,Tbl_State[fiscal_year],V$67)</f>
        <v>3112.46</v>
      </c>
      <c r="W77" s="23">
        <f>SUMIFS(Tbl_State[volume_millions],Tbl_State[state],$O77,Tbl_State[fiscal_year],W$67)</f>
        <v>5046.7000000000007</v>
      </c>
      <c r="X77" s="23">
        <f>SUMIFS(Tbl_State[volume_millions],Tbl_State[state],$O77,Tbl_State[fiscal_year],X$67)</f>
        <v>6505.42</v>
      </c>
    </row>
    <row r="78" spans="1:24" ht="15" customHeight="1" x14ac:dyDescent="0.3">
      <c r="A78" s="21" t="s">
        <v>86</v>
      </c>
      <c r="B78" s="21" t="s">
        <v>92</v>
      </c>
      <c r="C78" s="21" t="s">
        <v>258</v>
      </c>
      <c r="D78" s="21">
        <v>0.06</v>
      </c>
      <c r="E78" s="21">
        <v>0</v>
      </c>
      <c r="F78" s="21">
        <v>7.0000000000000007E-2</v>
      </c>
      <c r="G78" s="21">
        <v>0</v>
      </c>
      <c r="O78" s="21" t="s">
        <v>262</v>
      </c>
      <c r="P78" s="25">
        <f>SUMIFS(Tbl_State[volume_millions],Tbl_State[state],$O78,Tbl_State[fiscal_year],P$67)</f>
        <v>0.11</v>
      </c>
      <c r="Q78" s="25">
        <f>SUMIFS(Tbl_State[volume_millions],Tbl_State[state],$O78,Tbl_State[fiscal_year],Q$67)</f>
        <v>31.82</v>
      </c>
      <c r="R78" s="25">
        <f>SUMIFS(Tbl_State[volume_millions],Tbl_State[state],$O78,Tbl_State[fiscal_year],R$67)</f>
        <v>185.95999999999998</v>
      </c>
      <c r="S78" s="25">
        <f>SUMIFS(Tbl_State[volume_millions],Tbl_State[state],$O78,Tbl_State[fiscal_year],S$67)</f>
        <v>439.02</v>
      </c>
      <c r="T78" s="25">
        <f>SUMIFS(Tbl_State[volume_millions],Tbl_State[state],$O78,Tbl_State[fiscal_year],T$67)</f>
        <v>773.45</v>
      </c>
      <c r="U78" s="25">
        <f>SUMIFS(Tbl_State[volume_millions],Tbl_State[state],$O78,Tbl_State[fiscal_year],U$67)</f>
        <v>1615.61</v>
      </c>
      <c r="V78" s="23">
        <f>SUMIFS(Tbl_State[volume_millions],Tbl_State[state],$O78,Tbl_State[fiscal_year],V$67)</f>
        <v>3061.1</v>
      </c>
      <c r="W78" s="23">
        <f>SUMIFS(Tbl_State[volume_millions],Tbl_State[state],$O78,Tbl_State[fiscal_year],W$67)</f>
        <v>4592.62</v>
      </c>
      <c r="X78" s="23">
        <f>SUMIFS(Tbl_State[volume_millions],Tbl_State[state],$O78,Tbl_State[fiscal_year],X$67)</f>
        <v>5936.49</v>
      </c>
    </row>
    <row r="79" spans="1:24" ht="15" customHeight="1" x14ac:dyDescent="0.3">
      <c r="A79" s="21" t="s">
        <v>3517</v>
      </c>
      <c r="B79" s="21" t="s">
        <v>92</v>
      </c>
      <c r="C79" s="21" t="s">
        <v>270</v>
      </c>
      <c r="D79" s="21">
        <v>0.01</v>
      </c>
      <c r="E79" s="21">
        <v>0</v>
      </c>
      <c r="F79" s="21">
        <v>0.01</v>
      </c>
      <c r="G79" s="21">
        <v>0</v>
      </c>
      <c r="O79" s="21" t="s">
        <v>250</v>
      </c>
      <c r="P79" s="25">
        <f>SUMIFS(Tbl_State[volume_millions],Tbl_State[state],$O79,Tbl_State[fiscal_year],P$67)</f>
        <v>9.9999999999999992E-2</v>
      </c>
      <c r="Q79" s="25">
        <f>SUMIFS(Tbl_State[volume_millions],Tbl_State[state],$O79,Tbl_State[fiscal_year],Q$67)</f>
        <v>29.979999999999997</v>
      </c>
      <c r="R79" s="25">
        <f>SUMIFS(Tbl_State[volume_millions],Tbl_State[state],$O79,Tbl_State[fiscal_year],R$67)</f>
        <v>176.98000000000002</v>
      </c>
      <c r="S79" s="25">
        <f>SUMIFS(Tbl_State[volume_millions],Tbl_State[state],$O79,Tbl_State[fiscal_year],S$67)</f>
        <v>401.56</v>
      </c>
      <c r="T79" s="25">
        <f>SUMIFS(Tbl_State[volume_millions],Tbl_State[state],$O79,Tbl_State[fiscal_year],T$67)</f>
        <v>695.11</v>
      </c>
      <c r="U79" s="25">
        <f>SUMIFS(Tbl_State[volume_millions],Tbl_State[state],$O79,Tbl_State[fiscal_year],U$67)</f>
        <v>1462.9900000000002</v>
      </c>
      <c r="V79" s="23">
        <f>SUMIFS(Tbl_State[volume_millions],Tbl_State[state],$O79,Tbl_State[fiscal_year],V$67)</f>
        <v>2668.05</v>
      </c>
      <c r="W79" s="23">
        <f>SUMIFS(Tbl_State[volume_millions],Tbl_State[state],$O79,Tbl_State[fiscal_year],W$67)</f>
        <v>4180.1000000000004</v>
      </c>
      <c r="X79" s="23">
        <f>SUMIFS(Tbl_State[volume_millions],Tbl_State[state],$O79,Tbl_State[fiscal_year],X$67)</f>
        <v>5165.59</v>
      </c>
    </row>
    <row r="80" spans="1:24" ht="15" customHeight="1" x14ac:dyDescent="0.3">
      <c r="A80" s="21" t="s">
        <v>86</v>
      </c>
      <c r="B80" s="21" t="s">
        <v>95</v>
      </c>
      <c r="C80" s="21" t="s">
        <v>265</v>
      </c>
      <c r="D80" s="21">
        <v>2.58</v>
      </c>
      <c r="E80" s="21">
        <v>0.38</v>
      </c>
      <c r="F80" s="21">
        <v>15.37</v>
      </c>
      <c r="G80" s="21">
        <v>404.47</v>
      </c>
    </row>
    <row r="81" spans="1:7" ht="15" customHeight="1" x14ac:dyDescent="0.3">
      <c r="A81" s="21" t="s">
        <v>86</v>
      </c>
      <c r="B81" s="21" t="s">
        <v>95</v>
      </c>
      <c r="C81" s="21" t="s">
        <v>253</v>
      </c>
      <c r="D81" s="21">
        <v>2.29</v>
      </c>
      <c r="E81" s="21">
        <v>0.33</v>
      </c>
      <c r="F81" s="21">
        <v>13.63</v>
      </c>
      <c r="G81" s="21">
        <v>413.03</v>
      </c>
    </row>
    <row r="82" spans="1:7" ht="15" customHeight="1" x14ac:dyDescent="0.3">
      <c r="A82" s="21" t="s">
        <v>86</v>
      </c>
      <c r="B82" s="21" t="s">
        <v>95</v>
      </c>
      <c r="C82" s="21" t="s">
        <v>268</v>
      </c>
      <c r="D82" s="21">
        <v>1.71</v>
      </c>
      <c r="E82" s="21">
        <v>0.25</v>
      </c>
      <c r="F82" s="21">
        <v>10.18</v>
      </c>
      <c r="G82" s="21">
        <v>407.2</v>
      </c>
    </row>
    <row r="83" spans="1:7" ht="15" customHeight="1" x14ac:dyDescent="0.3">
      <c r="A83" s="21" t="s">
        <v>86</v>
      </c>
      <c r="B83" s="21" t="s">
        <v>95</v>
      </c>
      <c r="C83" s="21" t="s">
        <v>252</v>
      </c>
      <c r="D83" s="21">
        <v>1.23</v>
      </c>
      <c r="E83" s="21">
        <v>0.18</v>
      </c>
      <c r="F83" s="21">
        <v>7.29</v>
      </c>
      <c r="G83" s="21">
        <v>405</v>
      </c>
    </row>
    <row r="84" spans="1:7" ht="15" customHeight="1" x14ac:dyDescent="0.3">
      <c r="A84" s="21" t="s">
        <v>86</v>
      </c>
      <c r="B84" s="21" t="s">
        <v>95</v>
      </c>
      <c r="C84" s="21" t="s">
        <v>267</v>
      </c>
      <c r="D84" s="21">
        <v>0.96</v>
      </c>
      <c r="E84" s="21">
        <v>0.14000000000000001</v>
      </c>
      <c r="F84" s="21">
        <v>5.7</v>
      </c>
      <c r="G84" s="21">
        <v>407.14</v>
      </c>
    </row>
    <row r="85" spans="1:7" ht="15" customHeight="1" x14ac:dyDescent="0.3">
      <c r="A85" s="21" t="s">
        <v>86</v>
      </c>
      <c r="B85" s="21" t="s">
        <v>95</v>
      </c>
      <c r="C85" s="21" t="s">
        <v>256</v>
      </c>
      <c r="D85" s="21">
        <v>0.9</v>
      </c>
      <c r="E85" s="21">
        <v>0.13</v>
      </c>
      <c r="F85" s="21">
        <v>5.38</v>
      </c>
      <c r="G85" s="21">
        <v>413.85</v>
      </c>
    </row>
    <row r="86" spans="1:7" ht="15" customHeight="1" x14ac:dyDescent="0.3">
      <c r="A86" s="21" t="s">
        <v>86</v>
      </c>
      <c r="B86" s="21" t="s">
        <v>95</v>
      </c>
      <c r="C86" s="21" t="s">
        <v>271</v>
      </c>
      <c r="D86" s="21">
        <v>0.75</v>
      </c>
      <c r="E86" s="21">
        <v>0.11</v>
      </c>
      <c r="F86" s="21">
        <v>4.46</v>
      </c>
      <c r="G86" s="21">
        <v>405.45</v>
      </c>
    </row>
    <row r="87" spans="1:7" ht="15" customHeight="1" x14ac:dyDescent="0.3">
      <c r="A87" s="21" t="s">
        <v>86</v>
      </c>
      <c r="B87" s="21" t="s">
        <v>95</v>
      </c>
      <c r="C87" s="21" t="s">
        <v>264</v>
      </c>
      <c r="D87" s="21">
        <v>0.55000000000000004</v>
      </c>
      <c r="E87" s="21">
        <v>0.08</v>
      </c>
      <c r="F87" s="21">
        <v>3.25</v>
      </c>
      <c r="G87" s="21">
        <v>406.25</v>
      </c>
    </row>
    <row r="88" spans="1:7" ht="15" customHeight="1" x14ac:dyDescent="0.3">
      <c r="A88" s="21" t="s">
        <v>86</v>
      </c>
      <c r="B88" s="21" t="s">
        <v>95</v>
      </c>
      <c r="C88" s="21" t="s">
        <v>261</v>
      </c>
      <c r="D88" s="21">
        <v>0.49</v>
      </c>
      <c r="E88" s="21">
        <v>7.0000000000000007E-2</v>
      </c>
      <c r="F88" s="21">
        <v>2.92</v>
      </c>
      <c r="G88" s="21">
        <v>417.14</v>
      </c>
    </row>
    <row r="89" spans="1:7" ht="15" customHeight="1" x14ac:dyDescent="0.3">
      <c r="A89" s="21" t="s">
        <v>86</v>
      </c>
      <c r="B89" s="21" t="s">
        <v>95</v>
      </c>
      <c r="C89" s="21" t="s">
        <v>273</v>
      </c>
      <c r="D89" s="21">
        <v>0.3</v>
      </c>
      <c r="E89" s="21">
        <v>0.04</v>
      </c>
      <c r="F89" s="21">
        <v>1.77</v>
      </c>
      <c r="G89" s="21">
        <v>442.5</v>
      </c>
    </row>
    <row r="90" spans="1:7" ht="15" customHeight="1" x14ac:dyDescent="0.3">
      <c r="A90" s="21" t="s">
        <v>86</v>
      </c>
      <c r="B90" s="21" t="s">
        <v>95</v>
      </c>
      <c r="C90" s="21" t="s">
        <v>274</v>
      </c>
      <c r="D90" s="21">
        <v>0.2</v>
      </c>
      <c r="E90" s="21">
        <v>0.03</v>
      </c>
      <c r="F90" s="21">
        <v>1.17</v>
      </c>
      <c r="G90" s="21">
        <v>390</v>
      </c>
    </row>
    <row r="91" spans="1:7" ht="15" customHeight="1" x14ac:dyDescent="0.3">
      <c r="A91" s="21" t="s">
        <v>86</v>
      </c>
      <c r="B91" s="21" t="s">
        <v>95</v>
      </c>
      <c r="C91" s="21" t="s">
        <v>272</v>
      </c>
      <c r="D91" s="21">
        <v>0.14000000000000001</v>
      </c>
      <c r="E91" s="21">
        <v>0.02</v>
      </c>
      <c r="F91" s="21">
        <v>0.84</v>
      </c>
      <c r="G91" s="21">
        <v>420</v>
      </c>
    </row>
    <row r="92" spans="1:7" ht="15" customHeight="1" x14ac:dyDescent="0.3">
      <c r="A92" s="21" t="s">
        <v>86</v>
      </c>
      <c r="B92" s="21" t="s">
        <v>95</v>
      </c>
      <c r="C92" s="21" t="s">
        <v>276</v>
      </c>
      <c r="D92" s="21">
        <v>0.12</v>
      </c>
      <c r="E92" s="21">
        <v>0.02</v>
      </c>
      <c r="F92" s="21">
        <v>0.7</v>
      </c>
      <c r="G92" s="21">
        <v>350</v>
      </c>
    </row>
    <row r="93" spans="1:7" ht="15" customHeight="1" x14ac:dyDescent="0.3">
      <c r="A93" s="21" t="s">
        <v>86</v>
      </c>
      <c r="B93" s="21" t="s">
        <v>95</v>
      </c>
      <c r="C93" s="21" t="s">
        <v>251</v>
      </c>
      <c r="D93" s="21">
        <v>0.1</v>
      </c>
      <c r="E93" s="21">
        <v>0.01</v>
      </c>
      <c r="F93" s="21">
        <v>0.6</v>
      </c>
      <c r="G93" s="21">
        <v>600</v>
      </c>
    </row>
    <row r="94" spans="1:7" ht="15" customHeight="1" x14ac:dyDescent="0.3">
      <c r="A94" s="21" t="s">
        <v>86</v>
      </c>
      <c r="B94" s="21" t="s">
        <v>95</v>
      </c>
      <c r="C94" s="21" t="s">
        <v>275</v>
      </c>
      <c r="D94" s="21">
        <v>0.08</v>
      </c>
      <c r="E94" s="21">
        <v>0.01</v>
      </c>
      <c r="F94" s="21">
        <v>0.48</v>
      </c>
      <c r="G94" s="21">
        <v>480</v>
      </c>
    </row>
    <row r="95" spans="1:7" ht="15" customHeight="1" x14ac:dyDescent="0.3">
      <c r="A95" s="21" t="s">
        <v>86</v>
      </c>
      <c r="B95" s="21" t="s">
        <v>95</v>
      </c>
      <c r="C95" s="21" t="s">
        <v>278</v>
      </c>
      <c r="D95" s="21">
        <v>7.0000000000000007E-2</v>
      </c>
      <c r="E95" s="21">
        <v>0.01</v>
      </c>
      <c r="F95" s="21">
        <v>0.42</v>
      </c>
      <c r="G95" s="21">
        <v>420</v>
      </c>
    </row>
    <row r="96" spans="1:7" ht="15" customHeight="1" x14ac:dyDescent="0.3">
      <c r="A96" s="21" t="s">
        <v>86</v>
      </c>
      <c r="B96" s="21" t="s">
        <v>95</v>
      </c>
      <c r="C96" s="21" t="s">
        <v>254</v>
      </c>
      <c r="D96" s="21">
        <v>0.34</v>
      </c>
      <c r="E96" s="21">
        <v>0.05</v>
      </c>
      <c r="F96" s="21">
        <v>2.0099999999999998</v>
      </c>
      <c r="G96" s="21">
        <v>402</v>
      </c>
    </row>
    <row r="97" spans="1:7" ht="15" customHeight="1" x14ac:dyDescent="0.3">
      <c r="A97" s="21" t="s">
        <v>86</v>
      </c>
      <c r="B97" s="21" t="s">
        <v>95</v>
      </c>
      <c r="C97" s="21" t="s">
        <v>277</v>
      </c>
      <c r="D97" s="21">
        <v>0.26</v>
      </c>
      <c r="E97" s="21">
        <v>0.04</v>
      </c>
      <c r="F97" s="21">
        <v>1.58</v>
      </c>
      <c r="G97" s="21">
        <v>395</v>
      </c>
    </row>
    <row r="98" spans="1:7" ht="15" customHeight="1" x14ac:dyDescent="0.3">
      <c r="A98" s="21" t="s">
        <v>86</v>
      </c>
      <c r="B98" s="21" t="s">
        <v>95</v>
      </c>
      <c r="C98" s="21" t="s">
        <v>266</v>
      </c>
      <c r="D98" s="21">
        <v>0.42</v>
      </c>
      <c r="E98" s="21">
        <v>0.06</v>
      </c>
      <c r="F98" s="21">
        <v>2.52</v>
      </c>
      <c r="G98" s="21">
        <v>420</v>
      </c>
    </row>
    <row r="99" spans="1:7" ht="15" customHeight="1" x14ac:dyDescent="0.3">
      <c r="A99" s="21" t="s">
        <v>86</v>
      </c>
      <c r="B99" s="21" t="s">
        <v>95</v>
      </c>
      <c r="C99" s="21" t="s">
        <v>269</v>
      </c>
      <c r="D99" s="21">
        <v>0.03</v>
      </c>
      <c r="E99" s="21">
        <v>0</v>
      </c>
      <c r="F99" s="21">
        <v>0.18</v>
      </c>
      <c r="G99" s="21">
        <v>0</v>
      </c>
    </row>
    <row r="100" spans="1:7" ht="15" customHeight="1" x14ac:dyDescent="0.3">
      <c r="A100" s="21" t="s">
        <v>86</v>
      </c>
      <c r="B100" s="21" t="s">
        <v>95</v>
      </c>
      <c r="C100" s="21" t="s">
        <v>249</v>
      </c>
      <c r="D100" s="21">
        <v>0.05</v>
      </c>
      <c r="E100" s="21">
        <v>0.01</v>
      </c>
      <c r="F100" s="21">
        <v>0.32</v>
      </c>
      <c r="G100" s="21">
        <v>320</v>
      </c>
    </row>
    <row r="101" spans="1:7" ht="15" customHeight="1" x14ac:dyDescent="0.3">
      <c r="A101" s="21" t="s">
        <v>86</v>
      </c>
      <c r="B101" s="21" t="s">
        <v>95</v>
      </c>
      <c r="C101" s="21" t="s">
        <v>258</v>
      </c>
      <c r="D101" s="21">
        <v>0.06</v>
      </c>
      <c r="E101" s="21">
        <v>0.01</v>
      </c>
      <c r="F101" s="21">
        <v>0.37</v>
      </c>
      <c r="G101" s="21">
        <v>370</v>
      </c>
    </row>
    <row r="102" spans="1:7" ht="15" customHeight="1" x14ac:dyDescent="0.3">
      <c r="A102" s="21" t="s">
        <v>86</v>
      </c>
      <c r="B102" s="21" t="s">
        <v>95</v>
      </c>
      <c r="C102" s="21" t="s">
        <v>270</v>
      </c>
      <c r="D102" s="21">
        <v>0.01</v>
      </c>
      <c r="E102" s="21">
        <v>0</v>
      </c>
      <c r="F102" s="21">
        <v>0.06</v>
      </c>
      <c r="G102" s="21">
        <v>0</v>
      </c>
    </row>
    <row r="103" spans="1:7" ht="15" customHeight="1" x14ac:dyDescent="0.3">
      <c r="A103" s="21" t="s">
        <v>90</v>
      </c>
      <c r="B103" s="21" t="s">
        <v>88</v>
      </c>
      <c r="C103" s="21" t="s">
        <v>243</v>
      </c>
      <c r="D103" s="21">
        <v>16.059999999999999</v>
      </c>
      <c r="E103" s="21">
        <v>4.24</v>
      </c>
      <c r="F103" s="21">
        <v>179.92</v>
      </c>
      <c r="G103" s="21">
        <v>424.34</v>
      </c>
    </row>
    <row r="104" spans="1:7" ht="15" customHeight="1" x14ac:dyDescent="0.3">
      <c r="A104" s="21" t="s">
        <v>90</v>
      </c>
      <c r="B104" s="21" t="s">
        <v>88</v>
      </c>
      <c r="C104" s="21" t="s">
        <v>244</v>
      </c>
      <c r="D104" s="21">
        <v>13.46</v>
      </c>
      <c r="E104" s="21">
        <v>3.55</v>
      </c>
      <c r="F104" s="21">
        <v>150.79</v>
      </c>
      <c r="G104" s="21">
        <v>424.76</v>
      </c>
    </row>
    <row r="105" spans="1:7" ht="15" customHeight="1" x14ac:dyDescent="0.3">
      <c r="A105" s="21" t="s">
        <v>90</v>
      </c>
      <c r="B105" s="21" t="s">
        <v>88</v>
      </c>
      <c r="C105" s="21" t="s">
        <v>245</v>
      </c>
      <c r="D105" s="21">
        <v>7.62</v>
      </c>
      <c r="E105" s="21">
        <v>2.0099999999999998</v>
      </c>
      <c r="F105" s="21">
        <v>85.31</v>
      </c>
      <c r="G105" s="21">
        <v>424.43</v>
      </c>
    </row>
    <row r="106" spans="1:7" ht="15" customHeight="1" x14ac:dyDescent="0.3">
      <c r="A106" s="21" t="s">
        <v>90</v>
      </c>
      <c r="B106" s="21" t="s">
        <v>88</v>
      </c>
      <c r="C106" s="21" t="s">
        <v>246</v>
      </c>
      <c r="D106" s="21">
        <v>6.76</v>
      </c>
      <c r="E106" s="21">
        <v>1.78</v>
      </c>
      <c r="F106" s="21">
        <v>75.66</v>
      </c>
      <c r="G106" s="21">
        <v>425.06</v>
      </c>
    </row>
    <row r="107" spans="1:7" ht="15" customHeight="1" x14ac:dyDescent="0.3">
      <c r="A107" s="21" t="s">
        <v>90</v>
      </c>
      <c r="B107" s="21" t="s">
        <v>88</v>
      </c>
      <c r="C107" s="21" t="s">
        <v>247</v>
      </c>
      <c r="D107" s="21">
        <v>6.37</v>
      </c>
      <c r="E107" s="21">
        <v>1.68</v>
      </c>
      <c r="F107" s="21">
        <v>71.349999999999994</v>
      </c>
      <c r="G107" s="21">
        <v>424.7</v>
      </c>
    </row>
    <row r="108" spans="1:7" ht="15" customHeight="1" x14ac:dyDescent="0.3">
      <c r="A108" s="21" t="s">
        <v>90</v>
      </c>
      <c r="B108" s="21" t="s">
        <v>88</v>
      </c>
      <c r="C108" s="21" t="s">
        <v>248</v>
      </c>
      <c r="D108" s="21">
        <v>6.16</v>
      </c>
      <c r="E108" s="21">
        <v>1.63</v>
      </c>
      <c r="F108" s="21">
        <v>68.98</v>
      </c>
      <c r="G108" s="21">
        <v>423.19</v>
      </c>
    </row>
    <row r="109" spans="1:7" ht="15" customHeight="1" x14ac:dyDescent="0.3">
      <c r="A109" s="21" t="s">
        <v>90</v>
      </c>
      <c r="B109" s="21" t="s">
        <v>88</v>
      </c>
      <c r="C109" s="21" t="s">
        <v>255</v>
      </c>
      <c r="D109" s="21">
        <v>5.6</v>
      </c>
      <c r="E109" s="21">
        <v>1.48</v>
      </c>
      <c r="F109" s="21">
        <v>62.77</v>
      </c>
      <c r="G109" s="21">
        <v>424.12</v>
      </c>
    </row>
    <row r="110" spans="1:7" ht="15" customHeight="1" x14ac:dyDescent="0.3">
      <c r="A110" s="21" t="s">
        <v>90</v>
      </c>
      <c r="B110" s="21" t="s">
        <v>88</v>
      </c>
      <c r="C110" s="21" t="s">
        <v>257</v>
      </c>
      <c r="D110" s="21">
        <v>4.57</v>
      </c>
      <c r="E110" s="21">
        <v>1.21</v>
      </c>
      <c r="F110" s="21">
        <v>51.16</v>
      </c>
      <c r="G110" s="21">
        <v>422.81</v>
      </c>
    </row>
    <row r="111" spans="1:7" ht="15" customHeight="1" x14ac:dyDescent="0.3">
      <c r="A111" s="21" t="s">
        <v>90</v>
      </c>
      <c r="B111" s="21" t="s">
        <v>88</v>
      </c>
      <c r="C111" s="21" t="s">
        <v>259</v>
      </c>
      <c r="D111" s="21">
        <v>4.13</v>
      </c>
      <c r="E111" s="21">
        <v>1.0900000000000001</v>
      </c>
      <c r="F111" s="21">
        <v>46.31</v>
      </c>
      <c r="G111" s="21">
        <v>424.86</v>
      </c>
    </row>
    <row r="112" spans="1:7" ht="15" customHeight="1" x14ac:dyDescent="0.3">
      <c r="A112" s="21" t="s">
        <v>90</v>
      </c>
      <c r="B112" s="21" t="s">
        <v>88</v>
      </c>
      <c r="C112" s="21" t="s">
        <v>260</v>
      </c>
      <c r="D112" s="21">
        <v>3.68</v>
      </c>
      <c r="E112" s="21">
        <v>0.97</v>
      </c>
      <c r="F112" s="21">
        <v>41.25</v>
      </c>
      <c r="G112" s="21">
        <v>425.26</v>
      </c>
    </row>
    <row r="113" spans="1:7" ht="15" customHeight="1" x14ac:dyDescent="0.3">
      <c r="A113" s="21" t="s">
        <v>90</v>
      </c>
      <c r="B113" s="21" t="s">
        <v>88</v>
      </c>
      <c r="C113" s="21" t="s">
        <v>262</v>
      </c>
      <c r="D113" s="21">
        <v>3.38</v>
      </c>
      <c r="E113" s="21">
        <v>0.89</v>
      </c>
      <c r="F113" s="21">
        <v>37.81</v>
      </c>
      <c r="G113" s="21">
        <v>424.83</v>
      </c>
    </row>
    <row r="114" spans="1:7" ht="15" customHeight="1" x14ac:dyDescent="0.3">
      <c r="A114" s="21" t="s">
        <v>90</v>
      </c>
      <c r="B114" s="21" t="s">
        <v>88</v>
      </c>
      <c r="C114" s="21" t="s">
        <v>250</v>
      </c>
      <c r="D114" s="21">
        <v>3.36</v>
      </c>
      <c r="E114" s="21">
        <v>0.89</v>
      </c>
      <c r="F114" s="21">
        <v>37.590000000000003</v>
      </c>
      <c r="G114" s="21">
        <v>422.36</v>
      </c>
    </row>
    <row r="115" spans="1:7" ht="15" customHeight="1" x14ac:dyDescent="0.3">
      <c r="A115" s="21" t="s">
        <v>90</v>
      </c>
      <c r="B115" s="21" t="s">
        <v>88</v>
      </c>
      <c r="C115" s="21" t="s">
        <v>263</v>
      </c>
      <c r="D115" s="21">
        <v>2.61</v>
      </c>
      <c r="E115" s="21">
        <v>0.69</v>
      </c>
      <c r="F115" s="21">
        <v>29.21</v>
      </c>
      <c r="G115" s="21">
        <v>423.33</v>
      </c>
    </row>
    <row r="116" spans="1:7" ht="15" customHeight="1" x14ac:dyDescent="0.3">
      <c r="A116" s="21" t="s">
        <v>90</v>
      </c>
      <c r="B116" s="21" t="s">
        <v>88</v>
      </c>
      <c r="C116" s="21" t="s">
        <v>265</v>
      </c>
      <c r="D116" s="21">
        <v>2.7</v>
      </c>
      <c r="E116" s="21">
        <v>0.71</v>
      </c>
      <c r="F116" s="21">
        <v>30.25</v>
      </c>
      <c r="G116" s="21">
        <v>426.06</v>
      </c>
    </row>
    <row r="117" spans="1:7" ht="15" customHeight="1" x14ac:dyDescent="0.3">
      <c r="A117" s="21" t="s">
        <v>90</v>
      </c>
      <c r="B117" s="21" t="s">
        <v>88</v>
      </c>
      <c r="C117" s="21" t="s">
        <v>253</v>
      </c>
      <c r="D117" s="21">
        <v>2.29</v>
      </c>
      <c r="E117" s="21">
        <v>0.6</v>
      </c>
      <c r="F117" s="21">
        <v>25.66</v>
      </c>
      <c r="G117" s="21">
        <v>427.67</v>
      </c>
    </row>
    <row r="118" spans="1:7" ht="15" customHeight="1" x14ac:dyDescent="0.3">
      <c r="A118" s="21" t="s">
        <v>90</v>
      </c>
      <c r="B118" s="21" t="s">
        <v>88</v>
      </c>
      <c r="C118" s="21" t="s">
        <v>268</v>
      </c>
      <c r="D118" s="21">
        <v>1.9</v>
      </c>
      <c r="E118" s="21">
        <v>0.5</v>
      </c>
      <c r="F118" s="21">
        <v>21.26</v>
      </c>
      <c r="G118" s="21">
        <v>425.2</v>
      </c>
    </row>
    <row r="119" spans="1:7" ht="15" customHeight="1" x14ac:dyDescent="0.3">
      <c r="A119" s="21" t="s">
        <v>90</v>
      </c>
      <c r="B119" s="21" t="s">
        <v>88</v>
      </c>
      <c r="C119" s="21" t="s">
        <v>252</v>
      </c>
      <c r="D119" s="21">
        <v>1.17</v>
      </c>
      <c r="E119" s="21">
        <v>0.31</v>
      </c>
      <c r="F119" s="21">
        <v>13.13</v>
      </c>
      <c r="G119" s="21">
        <v>423.55</v>
      </c>
    </row>
    <row r="120" spans="1:7" ht="15" customHeight="1" x14ac:dyDescent="0.3">
      <c r="A120" s="21" t="s">
        <v>90</v>
      </c>
      <c r="B120" s="21" t="s">
        <v>88</v>
      </c>
      <c r="C120" s="21" t="s">
        <v>267</v>
      </c>
      <c r="D120" s="21">
        <v>0.99</v>
      </c>
      <c r="E120" s="21">
        <v>0.26</v>
      </c>
      <c r="F120" s="21">
        <v>11.12</v>
      </c>
      <c r="G120" s="21">
        <v>427.69</v>
      </c>
    </row>
    <row r="121" spans="1:7" ht="15" customHeight="1" x14ac:dyDescent="0.3">
      <c r="A121" s="21" t="s">
        <v>90</v>
      </c>
      <c r="B121" s="21" t="s">
        <v>88</v>
      </c>
      <c r="C121" s="21" t="s">
        <v>256</v>
      </c>
      <c r="D121" s="21">
        <v>0.84</v>
      </c>
      <c r="E121" s="21">
        <v>0.22</v>
      </c>
      <c r="F121" s="21">
        <v>9.36</v>
      </c>
      <c r="G121" s="21">
        <v>425.45</v>
      </c>
    </row>
    <row r="122" spans="1:7" ht="15" customHeight="1" x14ac:dyDescent="0.3">
      <c r="A122" s="21" t="s">
        <v>90</v>
      </c>
      <c r="B122" s="21" t="s">
        <v>88</v>
      </c>
      <c r="C122" s="21" t="s">
        <v>271</v>
      </c>
      <c r="D122" s="21">
        <v>0.78</v>
      </c>
      <c r="E122" s="21">
        <v>0.21</v>
      </c>
      <c r="F122" s="21">
        <v>8.7200000000000006</v>
      </c>
      <c r="G122" s="21">
        <v>415.24</v>
      </c>
    </row>
    <row r="123" spans="1:7" ht="15" customHeight="1" x14ac:dyDescent="0.3">
      <c r="A123" s="21" t="s">
        <v>90</v>
      </c>
      <c r="B123" s="21" t="s">
        <v>88</v>
      </c>
      <c r="C123" s="21" t="s">
        <v>264</v>
      </c>
      <c r="D123" s="21">
        <v>0.61</v>
      </c>
      <c r="E123" s="21">
        <v>0.16</v>
      </c>
      <c r="F123" s="21">
        <v>6.89</v>
      </c>
      <c r="G123" s="21">
        <v>430.62</v>
      </c>
    </row>
    <row r="124" spans="1:7" ht="15" customHeight="1" x14ac:dyDescent="0.3">
      <c r="A124" s="21" t="s">
        <v>90</v>
      </c>
      <c r="B124" s="21" t="s">
        <v>88</v>
      </c>
      <c r="C124" s="21" t="s">
        <v>261</v>
      </c>
      <c r="D124" s="21">
        <v>0.53</v>
      </c>
      <c r="E124" s="21">
        <v>0.14000000000000001</v>
      </c>
      <c r="F124" s="21">
        <v>5.96</v>
      </c>
      <c r="G124" s="21">
        <v>425.71</v>
      </c>
    </row>
    <row r="125" spans="1:7" ht="15" customHeight="1" x14ac:dyDescent="0.3">
      <c r="A125" s="21" t="s">
        <v>90</v>
      </c>
      <c r="B125" s="21" t="s">
        <v>88</v>
      </c>
      <c r="C125" s="21" t="s">
        <v>273</v>
      </c>
      <c r="D125" s="21">
        <v>0.28000000000000003</v>
      </c>
      <c r="E125" s="21">
        <v>7.0000000000000007E-2</v>
      </c>
      <c r="F125" s="21">
        <v>3.17</v>
      </c>
      <c r="G125" s="21">
        <v>452.86</v>
      </c>
    </row>
    <row r="126" spans="1:7" ht="15" customHeight="1" x14ac:dyDescent="0.3">
      <c r="A126" s="21" t="s">
        <v>90</v>
      </c>
      <c r="B126" s="21" t="s">
        <v>88</v>
      </c>
      <c r="C126" s="21" t="s">
        <v>274</v>
      </c>
      <c r="D126" s="21">
        <v>0.2</v>
      </c>
      <c r="E126" s="21">
        <v>0.05</v>
      </c>
      <c r="F126" s="21">
        <v>2.2000000000000002</v>
      </c>
      <c r="G126" s="21">
        <v>440</v>
      </c>
    </row>
    <row r="127" spans="1:7" ht="15" customHeight="1" x14ac:dyDescent="0.3">
      <c r="A127" s="21" t="s">
        <v>90</v>
      </c>
      <c r="B127" s="21" t="s">
        <v>88</v>
      </c>
      <c r="C127" s="21" t="s">
        <v>272</v>
      </c>
      <c r="D127" s="21">
        <v>0.15</v>
      </c>
      <c r="E127" s="21">
        <v>0.04</v>
      </c>
      <c r="F127" s="21">
        <v>1.67</v>
      </c>
      <c r="G127" s="21">
        <v>417.5</v>
      </c>
    </row>
    <row r="128" spans="1:7" ht="15" customHeight="1" x14ac:dyDescent="0.3">
      <c r="A128" s="21" t="s">
        <v>90</v>
      </c>
      <c r="B128" s="21" t="s">
        <v>88</v>
      </c>
      <c r="C128" s="21" t="s">
        <v>276</v>
      </c>
      <c r="D128" s="21">
        <v>0.11</v>
      </c>
      <c r="E128" s="21">
        <v>0.03</v>
      </c>
      <c r="F128" s="21">
        <v>1.25</v>
      </c>
      <c r="G128" s="21">
        <v>416.67</v>
      </c>
    </row>
    <row r="129" spans="1:7" ht="15" customHeight="1" x14ac:dyDescent="0.3">
      <c r="A129" s="21" t="s">
        <v>90</v>
      </c>
      <c r="B129" s="21" t="s">
        <v>88</v>
      </c>
      <c r="C129" s="21" t="s">
        <v>251</v>
      </c>
      <c r="D129" s="21">
        <v>0.1</v>
      </c>
      <c r="E129" s="21">
        <v>0.03</v>
      </c>
      <c r="F129" s="21">
        <v>1.1499999999999999</v>
      </c>
      <c r="G129" s="21">
        <v>383.33</v>
      </c>
    </row>
    <row r="130" spans="1:7" ht="15" customHeight="1" x14ac:dyDescent="0.3">
      <c r="A130" s="21" t="s">
        <v>90</v>
      </c>
      <c r="B130" s="21" t="s">
        <v>88</v>
      </c>
      <c r="C130" s="21" t="s">
        <v>275</v>
      </c>
      <c r="D130" s="21">
        <v>0.08</v>
      </c>
      <c r="E130" s="21">
        <v>0.02</v>
      </c>
      <c r="F130" s="21">
        <v>0.86</v>
      </c>
      <c r="G130" s="21">
        <v>430</v>
      </c>
    </row>
    <row r="131" spans="1:7" ht="15" customHeight="1" x14ac:dyDescent="0.3">
      <c r="A131" s="21" t="s">
        <v>90</v>
      </c>
      <c r="B131" s="21" t="s">
        <v>88</v>
      </c>
      <c r="C131" s="21" t="s">
        <v>278</v>
      </c>
      <c r="D131" s="21">
        <v>7.0000000000000007E-2</v>
      </c>
      <c r="E131" s="21">
        <v>0.02</v>
      </c>
      <c r="F131" s="21">
        <v>0.78</v>
      </c>
      <c r="G131" s="21">
        <v>390</v>
      </c>
    </row>
    <row r="132" spans="1:7" ht="15" customHeight="1" x14ac:dyDescent="0.3">
      <c r="A132" s="21" t="s">
        <v>90</v>
      </c>
      <c r="B132" s="21" t="s">
        <v>88</v>
      </c>
      <c r="C132" s="21" t="s">
        <v>254</v>
      </c>
      <c r="D132" s="21">
        <v>0.34</v>
      </c>
      <c r="E132" s="21">
        <v>0.09</v>
      </c>
      <c r="F132" s="21">
        <v>3.83</v>
      </c>
      <c r="G132" s="21">
        <v>425.56</v>
      </c>
    </row>
    <row r="133" spans="1:7" ht="15" customHeight="1" x14ac:dyDescent="0.3">
      <c r="A133" s="21" t="s">
        <v>90</v>
      </c>
      <c r="B133" s="21" t="s">
        <v>88</v>
      </c>
      <c r="C133" s="21" t="s">
        <v>277</v>
      </c>
      <c r="D133" s="21">
        <v>0.24</v>
      </c>
      <c r="E133" s="21">
        <v>0.06</v>
      </c>
      <c r="F133" s="21">
        <v>2.69</v>
      </c>
      <c r="G133" s="21">
        <v>448.33</v>
      </c>
    </row>
    <row r="134" spans="1:7" ht="15" customHeight="1" x14ac:dyDescent="0.3">
      <c r="A134" s="21" t="s">
        <v>90</v>
      </c>
      <c r="B134" s="21" t="s">
        <v>88</v>
      </c>
      <c r="C134" s="21" t="s">
        <v>266</v>
      </c>
      <c r="D134" s="21">
        <v>0.45</v>
      </c>
      <c r="E134" s="21">
        <v>0.12</v>
      </c>
      <c r="F134" s="21">
        <v>5.04</v>
      </c>
      <c r="G134" s="21">
        <v>420</v>
      </c>
    </row>
    <row r="135" spans="1:7" ht="15" customHeight="1" x14ac:dyDescent="0.3">
      <c r="A135" s="21" t="s">
        <v>90</v>
      </c>
      <c r="B135" s="21" t="s">
        <v>88</v>
      </c>
      <c r="C135" s="21" t="s">
        <v>269</v>
      </c>
      <c r="D135" s="21">
        <v>0.03</v>
      </c>
      <c r="E135" s="21">
        <v>0.01</v>
      </c>
      <c r="F135" s="21">
        <v>0.33</v>
      </c>
      <c r="G135" s="21">
        <v>330</v>
      </c>
    </row>
    <row r="136" spans="1:7" ht="15" customHeight="1" x14ac:dyDescent="0.3">
      <c r="A136" s="21" t="s">
        <v>90</v>
      </c>
      <c r="B136" s="21" t="s">
        <v>88</v>
      </c>
      <c r="C136" s="21" t="s">
        <v>249</v>
      </c>
      <c r="D136" s="21">
        <v>0.05</v>
      </c>
      <c r="E136" s="21">
        <v>0.01</v>
      </c>
      <c r="F136" s="21">
        <v>0.55000000000000004</v>
      </c>
      <c r="G136" s="21">
        <v>550</v>
      </c>
    </row>
    <row r="137" spans="1:7" ht="15" customHeight="1" x14ac:dyDescent="0.3">
      <c r="A137" s="21" t="s">
        <v>90</v>
      </c>
      <c r="B137" s="21" t="s">
        <v>88</v>
      </c>
      <c r="C137" s="21" t="s">
        <v>258</v>
      </c>
      <c r="D137" s="21">
        <v>0.06</v>
      </c>
      <c r="E137" s="21">
        <v>0.02</v>
      </c>
      <c r="F137" s="21">
        <v>0.65</v>
      </c>
      <c r="G137" s="21">
        <v>325</v>
      </c>
    </row>
    <row r="138" spans="1:7" ht="15" customHeight="1" x14ac:dyDescent="0.3">
      <c r="A138" s="21" t="s">
        <v>90</v>
      </c>
      <c r="B138" s="21" t="s">
        <v>88</v>
      </c>
      <c r="C138" s="21" t="s">
        <v>270</v>
      </c>
      <c r="D138" s="21">
        <v>0.01</v>
      </c>
      <c r="E138" s="21">
        <v>0</v>
      </c>
      <c r="F138" s="21">
        <v>0.11</v>
      </c>
      <c r="G138" s="21">
        <v>0</v>
      </c>
    </row>
    <row r="139" spans="1:7" ht="15" customHeight="1" x14ac:dyDescent="0.3">
      <c r="A139" s="21" t="s">
        <v>90</v>
      </c>
      <c r="B139" s="21" t="s">
        <v>87</v>
      </c>
      <c r="C139" s="21" t="s">
        <v>243</v>
      </c>
      <c r="D139" s="21">
        <v>17.86</v>
      </c>
      <c r="E139" s="21">
        <v>17.920000000000002</v>
      </c>
      <c r="F139" s="21">
        <v>636.5</v>
      </c>
      <c r="G139" s="21">
        <v>355.19</v>
      </c>
    </row>
    <row r="140" spans="1:7" ht="15" customHeight="1" x14ac:dyDescent="0.3">
      <c r="A140" s="21" t="s">
        <v>90</v>
      </c>
      <c r="B140" s="21" t="s">
        <v>87</v>
      </c>
      <c r="C140" s="21" t="s">
        <v>244</v>
      </c>
      <c r="D140" s="21">
        <v>12.89</v>
      </c>
      <c r="E140" s="21">
        <v>12.93</v>
      </c>
      <c r="F140" s="21">
        <v>459.25</v>
      </c>
      <c r="G140" s="21">
        <v>355.18</v>
      </c>
    </row>
    <row r="141" spans="1:7" ht="15" customHeight="1" x14ac:dyDescent="0.3">
      <c r="A141" s="21" t="s">
        <v>90</v>
      </c>
      <c r="B141" s="21" t="s">
        <v>87</v>
      </c>
      <c r="C141" s="21" t="s">
        <v>245</v>
      </c>
      <c r="D141" s="21">
        <v>8.61</v>
      </c>
      <c r="E141" s="21">
        <v>8.6300000000000008</v>
      </c>
      <c r="F141" s="21">
        <v>306.72000000000003</v>
      </c>
      <c r="G141" s="21">
        <v>355.41</v>
      </c>
    </row>
    <row r="142" spans="1:7" ht="15" customHeight="1" x14ac:dyDescent="0.3">
      <c r="A142" s="21" t="s">
        <v>90</v>
      </c>
      <c r="B142" s="21" t="s">
        <v>87</v>
      </c>
      <c r="C142" s="21" t="s">
        <v>246</v>
      </c>
      <c r="D142" s="21">
        <v>6.61</v>
      </c>
      <c r="E142" s="21">
        <v>6.63</v>
      </c>
      <c r="F142" s="21">
        <v>235.39</v>
      </c>
      <c r="G142" s="21">
        <v>355.04</v>
      </c>
    </row>
    <row r="143" spans="1:7" ht="15" customHeight="1" x14ac:dyDescent="0.3">
      <c r="A143" s="21" t="s">
        <v>90</v>
      </c>
      <c r="B143" s="21" t="s">
        <v>87</v>
      </c>
      <c r="C143" s="21" t="s">
        <v>247</v>
      </c>
      <c r="D143" s="21">
        <v>6.55</v>
      </c>
      <c r="E143" s="21">
        <v>6.57</v>
      </c>
      <c r="F143" s="21">
        <v>233.42</v>
      </c>
      <c r="G143" s="21">
        <v>355.28</v>
      </c>
    </row>
    <row r="144" spans="1:7" ht="15" customHeight="1" x14ac:dyDescent="0.3">
      <c r="A144" s="21" t="s">
        <v>90</v>
      </c>
      <c r="B144" s="21" t="s">
        <v>87</v>
      </c>
      <c r="C144" s="21" t="s">
        <v>248</v>
      </c>
      <c r="D144" s="21">
        <v>5.48</v>
      </c>
      <c r="E144" s="21">
        <v>5.5</v>
      </c>
      <c r="F144" s="21">
        <v>195.32</v>
      </c>
      <c r="G144" s="21">
        <v>355.13</v>
      </c>
    </row>
    <row r="145" spans="1:7" ht="15" customHeight="1" x14ac:dyDescent="0.3">
      <c r="A145" s="21" t="s">
        <v>90</v>
      </c>
      <c r="B145" s="21" t="s">
        <v>87</v>
      </c>
      <c r="C145" s="21" t="s">
        <v>255</v>
      </c>
      <c r="D145" s="21">
        <v>5.09</v>
      </c>
      <c r="E145" s="21">
        <v>5.1100000000000003</v>
      </c>
      <c r="F145" s="21">
        <v>181.49</v>
      </c>
      <c r="G145" s="21">
        <v>355.17</v>
      </c>
    </row>
    <row r="146" spans="1:7" ht="15" customHeight="1" x14ac:dyDescent="0.3">
      <c r="A146" s="21" t="s">
        <v>90</v>
      </c>
      <c r="B146" s="21" t="s">
        <v>87</v>
      </c>
      <c r="C146" s="21" t="s">
        <v>257</v>
      </c>
      <c r="D146" s="21">
        <v>4.62</v>
      </c>
      <c r="E146" s="21">
        <v>4.6399999999999997</v>
      </c>
      <c r="F146" s="21">
        <v>164.7</v>
      </c>
      <c r="G146" s="21">
        <v>354.96</v>
      </c>
    </row>
    <row r="147" spans="1:7" ht="15" customHeight="1" x14ac:dyDescent="0.3">
      <c r="A147" s="21" t="s">
        <v>90</v>
      </c>
      <c r="B147" s="21" t="s">
        <v>87</v>
      </c>
      <c r="C147" s="21" t="s">
        <v>259</v>
      </c>
      <c r="D147" s="21">
        <v>4.45</v>
      </c>
      <c r="E147" s="21">
        <v>4.46</v>
      </c>
      <c r="F147" s="21">
        <v>158.56</v>
      </c>
      <c r="G147" s="21">
        <v>355.52</v>
      </c>
    </row>
    <row r="148" spans="1:7" ht="15" customHeight="1" x14ac:dyDescent="0.3">
      <c r="A148" s="21" t="s">
        <v>90</v>
      </c>
      <c r="B148" s="21" t="s">
        <v>87</v>
      </c>
      <c r="C148" s="21" t="s">
        <v>260</v>
      </c>
      <c r="D148" s="21">
        <v>3.98</v>
      </c>
      <c r="E148" s="21">
        <v>3.99</v>
      </c>
      <c r="F148" s="21">
        <v>141.83000000000001</v>
      </c>
      <c r="G148" s="21">
        <v>355.46</v>
      </c>
    </row>
    <row r="149" spans="1:7" ht="15" customHeight="1" x14ac:dyDescent="0.3">
      <c r="A149" s="21" t="s">
        <v>90</v>
      </c>
      <c r="B149" s="21" t="s">
        <v>87</v>
      </c>
      <c r="C149" s="21" t="s">
        <v>262</v>
      </c>
      <c r="D149" s="21">
        <v>3.54</v>
      </c>
      <c r="E149" s="21">
        <v>3.55</v>
      </c>
      <c r="F149" s="21">
        <v>126.22</v>
      </c>
      <c r="G149" s="21">
        <v>355.55</v>
      </c>
    </row>
    <row r="150" spans="1:7" ht="15" customHeight="1" x14ac:dyDescent="0.3">
      <c r="A150" s="21" t="s">
        <v>90</v>
      </c>
      <c r="B150" s="21" t="s">
        <v>87</v>
      </c>
      <c r="C150" s="21" t="s">
        <v>250</v>
      </c>
      <c r="D150" s="21">
        <v>2.95</v>
      </c>
      <c r="E150" s="21">
        <v>2.96</v>
      </c>
      <c r="F150" s="21">
        <v>105.28</v>
      </c>
      <c r="G150" s="21">
        <v>355.68</v>
      </c>
    </row>
    <row r="151" spans="1:7" ht="15" customHeight="1" x14ac:dyDescent="0.3">
      <c r="A151" s="21" t="s">
        <v>90</v>
      </c>
      <c r="B151" s="21" t="s">
        <v>87</v>
      </c>
      <c r="C151" s="21" t="s">
        <v>263</v>
      </c>
      <c r="D151" s="21">
        <v>2.77</v>
      </c>
      <c r="E151" s="21">
        <v>2.78</v>
      </c>
      <c r="F151" s="21">
        <v>98.78</v>
      </c>
      <c r="G151" s="21">
        <v>355.32</v>
      </c>
    </row>
    <row r="152" spans="1:7" ht="15" customHeight="1" x14ac:dyDescent="0.3">
      <c r="A152" s="21" t="s">
        <v>90</v>
      </c>
      <c r="B152" s="21" t="s">
        <v>87</v>
      </c>
      <c r="C152" s="21" t="s">
        <v>265</v>
      </c>
      <c r="D152" s="21">
        <v>2.54</v>
      </c>
      <c r="E152" s="21">
        <v>2.5499999999999998</v>
      </c>
      <c r="F152" s="21">
        <v>90.42</v>
      </c>
      <c r="G152" s="21">
        <v>354.59</v>
      </c>
    </row>
    <row r="153" spans="1:7" ht="15" customHeight="1" x14ac:dyDescent="0.3">
      <c r="A153" s="21" t="s">
        <v>90</v>
      </c>
      <c r="B153" s="21" t="s">
        <v>87</v>
      </c>
      <c r="C153" s="21" t="s">
        <v>253</v>
      </c>
      <c r="D153" s="21">
        <v>2.2200000000000002</v>
      </c>
      <c r="E153" s="21">
        <v>2.23</v>
      </c>
      <c r="F153" s="21">
        <v>79.069999999999993</v>
      </c>
      <c r="G153" s="21">
        <v>354.57</v>
      </c>
    </row>
    <row r="154" spans="1:7" ht="15" customHeight="1" x14ac:dyDescent="0.3">
      <c r="A154" s="21" t="s">
        <v>90</v>
      </c>
      <c r="B154" s="21" t="s">
        <v>87</v>
      </c>
      <c r="C154" s="21" t="s">
        <v>268</v>
      </c>
      <c r="D154" s="21">
        <v>1.63</v>
      </c>
      <c r="E154" s="21">
        <v>1.64</v>
      </c>
      <c r="F154" s="21">
        <v>58.22</v>
      </c>
      <c r="G154" s="21">
        <v>355</v>
      </c>
    </row>
    <row r="155" spans="1:7" ht="15" customHeight="1" x14ac:dyDescent="0.3">
      <c r="A155" s="21" t="s">
        <v>90</v>
      </c>
      <c r="B155" s="21" t="s">
        <v>87</v>
      </c>
      <c r="C155" s="21" t="s">
        <v>252</v>
      </c>
      <c r="D155" s="21">
        <v>1.1499999999999999</v>
      </c>
      <c r="E155" s="21">
        <v>1.1499999999999999</v>
      </c>
      <c r="F155" s="21">
        <v>40.85</v>
      </c>
      <c r="G155" s="21">
        <v>355.22</v>
      </c>
    </row>
    <row r="156" spans="1:7" ht="15" customHeight="1" x14ac:dyDescent="0.3">
      <c r="A156" s="21" t="s">
        <v>90</v>
      </c>
      <c r="B156" s="21" t="s">
        <v>87</v>
      </c>
      <c r="C156" s="21" t="s">
        <v>267</v>
      </c>
      <c r="D156" s="21">
        <v>1</v>
      </c>
      <c r="E156" s="21">
        <v>1</v>
      </c>
      <c r="F156" s="21">
        <v>35.520000000000003</v>
      </c>
      <c r="G156" s="21">
        <v>355.2</v>
      </c>
    </row>
    <row r="157" spans="1:7" ht="15" customHeight="1" x14ac:dyDescent="0.3">
      <c r="A157" s="21" t="s">
        <v>90</v>
      </c>
      <c r="B157" s="21" t="s">
        <v>87</v>
      </c>
      <c r="C157" s="21" t="s">
        <v>256</v>
      </c>
      <c r="D157" s="21">
        <v>0.92</v>
      </c>
      <c r="E157" s="21">
        <v>0.93</v>
      </c>
      <c r="F157" s="21">
        <v>32.93</v>
      </c>
      <c r="G157" s="21">
        <v>354.09</v>
      </c>
    </row>
    <row r="158" spans="1:7" ht="15" customHeight="1" x14ac:dyDescent="0.3">
      <c r="A158" s="21" t="s">
        <v>90</v>
      </c>
      <c r="B158" s="21" t="s">
        <v>87</v>
      </c>
      <c r="C158" s="21" t="s">
        <v>271</v>
      </c>
      <c r="D158" s="21">
        <v>0.71</v>
      </c>
      <c r="E158" s="21">
        <v>0.71</v>
      </c>
      <c r="F158" s="21">
        <v>25.37</v>
      </c>
      <c r="G158" s="21">
        <v>357.32</v>
      </c>
    </row>
    <row r="159" spans="1:7" ht="15" customHeight="1" x14ac:dyDescent="0.3">
      <c r="A159" s="21" t="s">
        <v>90</v>
      </c>
      <c r="B159" s="21" t="s">
        <v>87</v>
      </c>
      <c r="C159" s="21" t="s">
        <v>264</v>
      </c>
      <c r="D159" s="21">
        <v>0.6</v>
      </c>
      <c r="E159" s="21">
        <v>0.6</v>
      </c>
      <c r="F159" s="21">
        <v>21.2</v>
      </c>
      <c r="G159" s="21">
        <v>353.33</v>
      </c>
    </row>
    <row r="160" spans="1:7" ht="15" customHeight="1" x14ac:dyDescent="0.3">
      <c r="A160" s="21" t="s">
        <v>90</v>
      </c>
      <c r="B160" s="21" t="s">
        <v>87</v>
      </c>
      <c r="C160" s="21" t="s">
        <v>261</v>
      </c>
      <c r="D160" s="21">
        <v>0.5</v>
      </c>
      <c r="E160" s="21">
        <v>0.51</v>
      </c>
      <c r="F160" s="21">
        <v>17.940000000000001</v>
      </c>
      <c r="G160" s="21">
        <v>351.76</v>
      </c>
    </row>
    <row r="161" spans="1:7" ht="15" customHeight="1" x14ac:dyDescent="0.3">
      <c r="A161" s="21" t="s">
        <v>90</v>
      </c>
      <c r="B161" s="21" t="s">
        <v>87</v>
      </c>
      <c r="C161" s="21" t="s">
        <v>273</v>
      </c>
      <c r="D161" s="21">
        <v>0.31</v>
      </c>
      <c r="E161" s="21">
        <v>0.31</v>
      </c>
      <c r="F161" s="21">
        <v>11.14</v>
      </c>
      <c r="G161" s="21">
        <v>359.35</v>
      </c>
    </row>
    <row r="162" spans="1:7" ht="15" customHeight="1" x14ac:dyDescent="0.3">
      <c r="A162" s="21" t="s">
        <v>90</v>
      </c>
      <c r="B162" s="21" t="s">
        <v>87</v>
      </c>
      <c r="C162" s="21" t="s">
        <v>274</v>
      </c>
      <c r="D162" s="21">
        <v>0.21</v>
      </c>
      <c r="E162" s="21">
        <v>0.21</v>
      </c>
      <c r="F162" s="21">
        <v>7.37</v>
      </c>
      <c r="G162" s="21">
        <v>350.95</v>
      </c>
    </row>
    <row r="163" spans="1:7" ht="15" customHeight="1" x14ac:dyDescent="0.3">
      <c r="A163" s="21" t="s">
        <v>90</v>
      </c>
      <c r="B163" s="21" t="s">
        <v>87</v>
      </c>
      <c r="C163" s="21" t="s">
        <v>272</v>
      </c>
      <c r="D163" s="21">
        <v>0.15</v>
      </c>
      <c r="E163" s="21">
        <v>0.15</v>
      </c>
      <c r="F163" s="21">
        <v>5.5</v>
      </c>
      <c r="G163" s="21">
        <v>366.67</v>
      </c>
    </row>
    <row r="164" spans="1:7" ht="15" customHeight="1" x14ac:dyDescent="0.3">
      <c r="A164" s="21" t="s">
        <v>90</v>
      </c>
      <c r="B164" s="21" t="s">
        <v>87</v>
      </c>
      <c r="C164" s="21" t="s">
        <v>276</v>
      </c>
      <c r="D164" s="21">
        <v>0.12</v>
      </c>
      <c r="E164" s="21">
        <v>0.12</v>
      </c>
      <c r="F164" s="21">
        <v>4.0999999999999996</v>
      </c>
      <c r="G164" s="21">
        <v>341.67</v>
      </c>
    </row>
    <row r="165" spans="1:7" ht="15" customHeight="1" x14ac:dyDescent="0.3">
      <c r="A165" s="21" t="s">
        <v>90</v>
      </c>
      <c r="B165" s="21" t="s">
        <v>87</v>
      </c>
      <c r="C165" s="21" t="s">
        <v>251</v>
      </c>
      <c r="D165" s="21">
        <v>0.09</v>
      </c>
      <c r="E165" s="21">
        <v>0.09</v>
      </c>
      <c r="F165" s="21">
        <v>3.22</v>
      </c>
      <c r="G165" s="21">
        <v>357.78</v>
      </c>
    </row>
    <row r="166" spans="1:7" ht="15" customHeight="1" x14ac:dyDescent="0.3">
      <c r="A166" s="21" t="s">
        <v>90</v>
      </c>
      <c r="B166" s="21" t="s">
        <v>87</v>
      </c>
      <c r="C166" s="21" t="s">
        <v>275</v>
      </c>
      <c r="D166" s="21">
        <v>0.08</v>
      </c>
      <c r="E166" s="21">
        <v>0.08</v>
      </c>
      <c r="F166" s="21">
        <v>2.79</v>
      </c>
      <c r="G166" s="21">
        <v>348.75</v>
      </c>
    </row>
    <row r="167" spans="1:7" ht="15" customHeight="1" x14ac:dyDescent="0.3">
      <c r="A167" s="21" t="s">
        <v>90</v>
      </c>
      <c r="B167" s="21" t="s">
        <v>87</v>
      </c>
      <c r="C167" s="21" t="s">
        <v>278</v>
      </c>
      <c r="D167" s="21">
        <v>7.0000000000000007E-2</v>
      </c>
      <c r="E167" s="21">
        <v>7.0000000000000007E-2</v>
      </c>
      <c r="F167" s="21">
        <v>2.62</v>
      </c>
      <c r="G167" s="21">
        <v>374.29</v>
      </c>
    </row>
    <row r="168" spans="1:7" ht="15" customHeight="1" x14ac:dyDescent="0.3">
      <c r="A168" s="21" t="s">
        <v>90</v>
      </c>
      <c r="B168" s="21" t="s">
        <v>87</v>
      </c>
      <c r="C168" s="21" t="s">
        <v>254</v>
      </c>
      <c r="D168" s="21">
        <v>0.37</v>
      </c>
      <c r="E168" s="21">
        <v>0.38</v>
      </c>
      <c r="F168" s="21">
        <v>13.34</v>
      </c>
      <c r="G168" s="21">
        <v>351.05</v>
      </c>
    </row>
    <row r="169" spans="1:7" ht="15" customHeight="1" x14ac:dyDescent="0.3">
      <c r="A169" s="21" t="s">
        <v>90</v>
      </c>
      <c r="B169" s="21" t="s">
        <v>87</v>
      </c>
      <c r="C169" s="21" t="s">
        <v>277</v>
      </c>
      <c r="D169" s="21">
        <v>0.26</v>
      </c>
      <c r="E169" s="21">
        <v>0.26</v>
      </c>
      <c r="F169" s="21">
        <v>9.2200000000000006</v>
      </c>
      <c r="G169" s="21">
        <v>354.62</v>
      </c>
    </row>
    <row r="170" spans="1:7" ht="15" customHeight="1" x14ac:dyDescent="0.3">
      <c r="A170" s="21" t="s">
        <v>90</v>
      </c>
      <c r="B170" s="21" t="s">
        <v>87</v>
      </c>
      <c r="C170" s="21" t="s">
        <v>266</v>
      </c>
      <c r="D170" s="21">
        <v>0.46</v>
      </c>
      <c r="E170" s="21">
        <v>0.46</v>
      </c>
      <c r="F170" s="21">
        <v>16.38</v>
      </c>
      <c r="G170" s="21">
        <v>356.09</v>
      </c>
    </row>
    <row r="171" spans="1:7" ht="15" customHeight="1" x14ac:dyDescent="0.3">
      <c r="A171" s="21" t="s">
        <v>90</v>
      </c>
      <c r="B171" s="21" t="s">
        <v>87</v>
      </c>
      <c r="C171" s="21" t="s">
        <v>269</v>
      </c>
      <c r="D171" s="21">
        <v>0.03</v>
      </c>
      <c r="E171" s="21">
        <v>0.03</v>
      </c>
      <c r="F171" s="21">
        <v>1.0900000000000001</v>
      </c>
      <c r="G171" s="21">
        <v>363.33</v>
      </c>
    </row>
    <row r="172" spans="1:7" ht="15" customHeight="1" x14ac:dyDescent="0.3">
      <c r="A172" s="21" t="s">
        <v>90</v>
      </c>
      <c r="B172" s="21" t="s">
        <v>87</v>
      </c>
      <c r="C172" s="21" t="s">
        <v>249</v>
      </c>
      <c r="D172" s="21">
        <v>0.05</v>
      </c>
      <c r="E172" s="21">
        <v>0.05</v>
      </c>
      <c r="F172" s="21">
        <v>1.73</v>
      </c>
      <c r="G172" s="21">
        <v>346</v>
      </c>
    </row>
    <row r="173" spans="1:7" ht="15" customHeight="1" x14ac:dyDescent="0.3">
      <c r="A173" s="21" t="s">
        <v>90</v>
      </c>
      <c r="B173" s="21" t="s">
        <v>87</v>
      </c>
      <c r="C173" s="21" t="s">
        <v>258</v>
      </c>
      <c r="D173" s="21">
        <v>0.06</v>
      </c>
      <c r="E173" s="21">
        <v>0.06</v>
      </c>
      <c r="F173" s="21">
        <v>2.12</v>
      </c>
      <c r="G173" s="21">
        <v>353.33</v>
      </c>
    </row>
    <row r="174" spans="1:7" ht="15" customHeight="1" x14ac:dyDescent="0.3">
      <c r="A174" s="21" t="s">
        <v>90</v>
      </c>
      <c r="B174" s="21" t="s">
        <v>87</v>
      </c>
      <c r="C174" s="21" t="s">
        <v>270</v>
      </c>
      <c r="D174" s="21">
        <v>0.01</v>
      </c>
      <c r="E174" s="21">
        <v>0.01</v>
      </c>
      <c r="F174" s="21">
        <v>0.39</v>
      </c>
      <c r="G174" s="21">
        <v>390</v>
      </c>
    </row>
    <row r="175" spans="1:7" ht="15" customHeight="1" x14ac:dyDescent="0.3">
      <c r="A175" s="21" t="s">
        <v>90</v>
      </c>
      <c r="B175" s="21" t="s">
        <v>92</v>
      </c>
      <c r="C175" s="21" t="s">
        <v>243</v>
      </c>
      <c r="D175" s="21">
        <v>15.72</v>
      </c>
      <c r="E175" s="21">
        <v>51.43</v>
      </c>
      <c r="F175" s="21">
        <v>1832.29</v>
      </c>
      <c r="G175" s="21">
        <v>356.27</v>
      </c>
    </row>
    <row r="176" spans="1:7" ht="15" customHeight="1" x14ac:dyDescent="0.3">
      <c r="A176" s="21" t="s">
        <v>90</v>
      </c>
      <c r="B176" s="21" t="s">
        <v>92</v>
      </c>
      <c r="C176" s="21" t="s">
        <v>244</v>
      </c>
      <c r="D176" s="21">
        <v>13.83</v>
      </c>
      <c r="E176" s="21">
        <v>45.25</v>
      </c>
      <c r="F176" s="21">
        <v>1612.15</v>
      </c>
      <c r="G176" s="21">
        <v>356.28</v>
      </c>
    </row>
    <row r="177" spans="1:7" ht="15" customHeight="1" x14ac:dyDescent="0.3">
      <c r="A177" s="21" t="s">
        <v>90</v>
      </c>
      <c r="B177" s="21" t="s">
        <v>92</v>
      </c>
      <c r="C177" s="21" t="s">
        <v>245</v>
      </c>
      <c r="D177" s="21">
        <v>8.07</v>
      </c>
      <c r="E177" s="21">
        <v>26.39</v>
      </c>
      <c r="F177" s="21">
        <v>940.24</v>
      </c>
      <c r="G177" s="21">
        <v>356.29</v>
      </c>
    </row>
    <row r="178" spans="1:7" ht="15" customHeight="1" x14ac:dyDescent="0.3">
      <c r="A178" s="21" t="s">
        <v>90</v>
      </c>
      <c r="B178" s="21" t="s">
        <v>92</v>
      </c>
      <c r="C178" s="21" t="s">
        <v>246</v>
      </c>
      <c r="D178" s="21">
        <v>7.57</v>
      </c>
      <c r="E178" s="21">
        <v>24.76</v>
      </c>
      <c r="F178" s="21">
        <v>882.27</v>
      </c>
      <c r="G178" s="21">
        <v>356.33</v>
      </c>
    </row>
    <row r="179" spans="1:7" ht="15" customHeight="1" x14ac:dyDescent="0.3">
      <c r="A179" s="21" t="s">
        <v>90</v>
      </c>
      <c r="B179" s="21" t="s">
        <v>92</v>
      </c>
      <c r="C179" s="21" t="s">
        <v>247</v>
      </c>
      <c r="D179" s="21">
        <v>6.04</v>
      </c>
      <c r="E179" s="21">
        <v>19.77</v>
      </c>
      <c r="F179" s="21">
        <v>704.23</v>
      </c>
      <c r="G179" s="21">
        <v>356.21</v>
      </c>
    </row>
    <row r="180" spans="1:7" ht="15" customHeight="1" x14ac:dyDescent="0.3">
      <c r="A180" s="21" t="s">
        <v>90</v>
      </c>
      <c r="B180" s="21" t="s">
        <v>92</v>
      </c>
      <c r="C180" s="21" t="s">
        <v>248</v>
      </c>
      <c r="D180" s="21">
        <v>5.97</v>
      </c>
      <c r="E180" s="21">
        <v>19.53</v>
      </c>
      <c r="F180" s="21">
        <v>695.73</v>
      </c>
      <c r="G180" s="21">
        <v>356.24</v>
      </c>
    </row>
    <row r="181" spans="1:7" ht="15" customHeight="1" x14ac:dyDescent="0.3">
      <c r="A181" s="21" t="s">
        <v>90</v>
      </c>
      <c r="B181" s="21" t="s">
        <v>92</v>
      </c>
      <c r="C181" s="21" t="s">
        <v>255</v>
      </c>
      <c r="D181" s="21">
        <v>5.3</v>
      </c>
      <c r="E181" s="21">
        <v>17.329999999999998</v>
      </c>
      <c r="F181" s="21">
        <v>617.36</v>
      </c>
      <c r="G181" s="21">
        <v>356.24</v>
      </c>
    </row>
    <row r="182" spans="1:7" ht="15" customHeight="1" x14ac:dyDescent="0.3">
      <c r="A182" s="21" t="s">
        <v>90</v>
      </c>
      <c r="B182" s="21" t="s">
        <v>92</v>
      </c>
      <c r="C182" s="21" t="s">
        <v>257</v>
      </c>
      <c r="D182" s="21">
        <v>4.46</v>
      </c>
      <c r="E182" s="21">
        <v>14.59</v>
      </c>
      <c r="F182" s="21">
        <v>519.80999999999995</v>
      </c>
      <c r="G182" s="21">
        <v>356.28</v>
      </c>
    </row>
    <row r="183" spans="1:7" ht="15" customHeight="1" x14ac:dyDescent="0.3">
      <c r="A183" s="21" t="s">
        <v>90</v>
      </c>
      <c r="B183" s="21" t="s">
        <v>92</v>
      </c>
      <c r="C183" s="21" t="s">
        <v>259</v>
      </c>
      <c r="D183" s="21">
        <v>4.25</v>
      </c>
      <c r="E183" s="21">
        <v>13.89</v>
      </c>
      <c r="F183" s="21">
        <v>494.82</v>
      </c>
      <c r="G183" s="21">
        <v>356.24</v>
      </c>
    </row>
    <row r="184" spans="1:7" ht="15" customHeight="1" x14ac:dyDescent="0.3">
      <c r="A184" s="21" t="s">
        <v>90</v>
      </c>
      <c r="B184" s="21" t="s">
        <v>92</v>
      </c>
      <c r="C184" s="21" t="s">
        <v>260</v>
      </c>
      <c r="D184" s="21">
        <v>3.99</v>
      </c>
      <c r="E184" s="21">
        <v>13.06</v>
      </c>
      <c r="F184" s="21">
        <v>465.2</v>
      </c>
      <c r="G184" s="21">
        <v>356.2</v>
      </c>
    </row>
    <row r="185" spans="1:7" ht="15" customHeight="1" x14ac:dyDescent="0.3">
      <c r="A185" s="21" t="s">
        <v>90</v>
      </c>
      <c r="B185" s="21" t="s">
        <v>92</v>
      </c>
      <c r="C185" s="21" t="s">
        <v>262</v>
      </c>
      <c r="D185" s="21">
        <v>3.35</v>
      </c>
      <c r="E185" s="21">
        <v>10.96</v>
      </c>
      <c r="F185" s="21">
        <v>390.66</v>
      </c>
      <c r="G185" s="21">
        <v>356.44</v>
      </c>
    </row>
    <row r="186" spans="1:7" ht="15" customHeight="1" x14ac:dyDescent="0.3">
      <c r="A186" s="21" t="s">
        <v>90</v>
      </c>
      <c r="B186" s="21" t="s">
        <v>92</v>
      </c>
      <c r="C186" s="21" t="s">
        <v>250</v>
      </c>
      <c r="D186" s="21">
        <v>2.96</v>
      </c>
      <c r="E186" s="21">
        <v>9.68</v>
      </c>
      <c r="F186" s="21">
        <v>344.98</v>
      </c>
      <c r="G186" s="21">
        <v>356.38</v>
      </c>
    </row>
    <row r="187" spans="1:7" ht="15" customHeight="1" x14ac:dyDescent="0.3">
      <c r="A187" s="21" t="s">
        <v>90</v>
      </c>
      <c r="B187" s="21" t="s">
        <v>92</v>
      </c>
      <c r="C187" s="21" t="s">
        <v>263</v>
      </c>
      <c r="D187" s="21">
        <v>2.79</v>
      </c>
      <c r="E187" s="21">
        <v>9.1199999999999992</v>
      </c>
      <c r="F187" s="21">
        <v>324.81</v>
      </c>
      <c r="G187" s="21">
        <v>356.15</v>
      </c>
    </row>
    <row r="188" spans="1:7" ht="15" customHeight="1" x14ac:dyDescent="0.3">
      <c r="A188" s="21" t="s">
        <v>90</v>
      </c>
      <c r="B188" s="21" t="s">
        <v>92</v>
      </c>
      <c r="C188" s="21" t="s">
        <v>265</v>
      </c>
      <c r="D188" s="21">
        <v>2.4900000000000002</v>
      </c>
      <c r="E188" s="21">
        <v>8.14</v>
      </c>
      <c r="F188" s="21">
        <v>290.08</v>
      </c>
      <c r="G188" s="21">
        <v>356.36</v>
      </c>
    </row>
    <row r="189" spans="1:7" ht="15" customHeight="1" x14ac:dyDescent="0.3">
      <c r="A189" s="21" t="s">
        <v>90</v>
      </c>
      <c r="B189" s="21" t="s">
        <v>92</v>
      </c>
      <c r="C189" s="21" t="s">
        <v>253</v>
      </c>
      <c r="D189" s="21">
        <v>2.2599999999999998</v>
      </c>
      <c r="E189" s="21">
        <v>7.39</v>
      </c>
      <c r="F189" s="21">
        <v>263.42</v>
      </c>
      <c r="G189" s="21">
        <v>356.45</v>
      </c>
    </row>
    <row r="190" spans="1:7" ht="15" customHeight="1" x14ac:dyDescent="0.3">
      <c r="A190" s="21" t="s">
        <v>90</v>
      </c>
      <c r="B190" s="21" t="s">
        <v>92</v>
      </c>
      <c r="C190" s="21" t="s">
        <v>268</v>
      </c>
      <c r="D190" s="21">
        <v>1.89</v>
      </c>
      <c r="E190" s="21">
        <v>6.17</v>
      </c>
      <c r="F190" s="21">
        <v>219.73</v>
      </c>
      <c r="G190" s="21">
        <v>356.13</v>
      </c>
    </row>
    <row r="191" spans="1:7" ht="15" customHeight="1" x14ac:dyDescent="0.3">
      <c r="A191" s="21" t="s">
        <v>90</v>
      </c>
      <c r="B191" s="21" t="s">
        <v>92</v>
      </c>
      <c r="C191" s="21" t="s">
        <v>252</v>
      </c>
      <c r="D191" s="21">
        <v>1.2</v>
      </c>
      <c r="E191" s="21">
        <v>3.91</v>
      </c>
      <c r="F191" s="21">
        <v>139.43</v>
      </c>
      <c r="G191" s="21">
        <v>356.6</v>
      </c>
    </row>
    <row r="192" spans="1:7" ht="15" customHeight="1" x14ac:dyDescent="0.3">
      <c r="A192" s="21" t="s">
        <v>90</v>
      </c>
      <c r="B192" s="21" t="s">
        <v>92</v>
      </c>
      <c r="C192" s="21" t="s">
        <v>267</v>
      </c>
      <c r="D192" s="21">
        <v>1.0900000000000001</v>
      </c>
      <c r="E192" s="21">
        <v>3.57</v>
      </c>
      <c r="F192" s="21">
        <v>127.35</v>
      </c>
      <c r="G192" s="21">
        <v>356.72</v>
      </c>
    </row>
    <row r="193" spans="1:7" ht="15" customHeight="1" x14ac:dyDescent="0.3">
      <c r="A193" s="21" t="s">
        <v>90</v>
      </c>
      <c r="B193" s="21" t="s">
        <v>92</v>
      </c>
      <c r="C193" s="21" t="s">
        <v>256</v>
      </c>
      <c r="D193" s="21">
        <v>0.91</v>
      </c>
      <c r="E193" s="21">
        <v>2.98</v>
      </c>
      <c r="F193" s="21">
        <v>106.06</v>
      </c>
      <c r="G193" s="21">
        <v>355.91</v>
      </c>
    </row>
    <row r="194" spans="1:7" ht="15" customHeight="1" x14ac:dyDescent="0.3">
      <c r="A194" s="21" t="s">
        <v>90</v>
      </c>
      <c r="B194" s="21" t="s">
        <v>92</v>
      </c>
      <c r="C194" s="21" t="s">
        <v>271</v>
      </c>
      <c r="D194" s="21">
        <v>0.79</v>
      </c>
      <c r="E194" s="21">
        <v>2.57</v>
      </c>
      <c r="F194" s="21">
        <v>91.62</v>
      </c>
      <c r="G194" s="21">
        <v>356.5</v>
      </c>
    </row>
    <row r="195" spans="1:7" ht="15" customHeight="1" x14ac:dyDescent="0.3">
      <c r="A195" s="21" t="s">
        <v>90</v>
      </c>
      <c r="B195" s="21" t="s">
        <v>92</v>
      </c>
      <c r="C195" s="21" t="s">
        <v>264</v>
      </c>
      <c r="D195" s="21">
        <v>0.55000000000000004</v>
      </c>
      <c r="E195" s="21">
        <v>1.8</v>
      </c>
      <c r="F195" s="21">
        <v>64.290000000000006</v>
      </c>
      <c r="G195" s="21">
        <v>357.17</v>
      </c>
    </row>
    <row r="196" spans="1:7" ht="15" customHeight="1" x14ac:dyDescent="0.3">
      <c r="A196" s="21" t="s">
        <v>90</v>
      </c>
      <c r="B196" s="21" t="s">
        <v>92</v>
      </c>
      <c r="C196" s="21" t="s">
        <v>261</v>
      </c>
      <c r="D196" s="21">
        <v>0.49</v>
      </c>
      <c r="E196" s="21">
        <v>1.61</v>
      </c>
      <c r="F196" s="21">
        <v>57.5</v>
      </c>
      <c r="G196" s="21">
        <v>357.14</v>
      </c>
    </row>
    <row r="197" spans="1:7" ht="15" customHeight="1" x14ac:dyDescent="0.3">
      <c r="A197" s="21" t="s">
        <v>90</v>
      </c>
      <c r="B197" s="21" t="s">
        <v>92</v>
      </c>
      <c r="C197" s="21" t="s">
        <v>273</v>
      </c>
      <c r="D197" s="21">
        <v>0.28999999999999998</v>
      </c>
      <c r="E197" s="21">
        <v>0.96</v>
      </c>
      <c r="F197" s="21">
        <v>34.369999999999997</v>
      </c>
      <c r="G197" s="21">
        <v>358.02</v>
      </c>
    </row>
    <row r="198" spans="1:7" ht="15" customHeight="1" x14ac:dyDescent="0.3">
      <c r="A198" s="21" t="s">
        <v>90</v>
      </c>
      <c r="B198" s="21" t="s">
        <v>92</v>
      </c>
      <c r="C198" s="21" t="s">
        <v>274</v>
      </c>
      <c r="D198" s="21">
        <v>0.21</v>
      </c>
      <c r="E198" s="21">
        <v>0.69</v>
      </c>
      <c r="F198" s="21">
        <v>24.43</v>
      </c>
      <c r="G198" s="21">
        <v>354.06</v>
      </c>
    </row>
    <row r="199" spans="1:7" ht="15" customHeight="1" x14ac:dyDescent="0.3">
      <c r="A199" s="21" t="s">
        <v>90</v>
      </c>
      <c r="B199" s="21" t="s">
        <v>92</v>
      </c>
      <c r="C199" s="21" t="s">
        <v>272</v>
      </c>
      <c r="D199" s="21">
        <v>0.15</v>
      </c>
      <c r="E199" s="21">
        <v>0.5</v>
      </c>
      <c r="F199" s="21">
        <v>17.89</v>
      </c>
      <c r="G199" s="21">
        <v>357.8</v>
      </c>
    </row>
    <row r="200" spans="1:7" ht="15" customHeight="1" x14ac:dyDescent="0.3">
      <c r="A200" s="21" t="s">
        <v>90</v>
      </c>
      <c r="B200" s="21" t="s">
        <v>92</v>
      </c>
      <c r="C200" s="21" t="s">
        <v>276</v>
      </c>
      <c r="D200" s="21">
        <v>0.11</v>
      </c>
      <c r="E200" s="21">
        <v>0.37</v>
      </c>
      <c r="F200" s="21">
        <v>13.16</v>
      </c>
      <c r="G200" s="21">
        <v>355.68</v>
      </c>
    </row>
    <row r="201" spans="1:7" ht="15" customHeight="1" x14ac:dyDescent="0.3">
      <c r="A201" s="21" t="s">
        <v>90</v>
      </c>
      <c r="B201" s="21" t="s">
        <v>92</v>
      </c>
      <c r="C201" s="21" t="s">
        <v>251</v>
      </c>
      <c r="D201" s="21">
        <v>0.1</v>
      </c>
      <c r="E201" s="21">
        <v>0.33</v>
      </c>
      <c r="F201" s="21">
        <v>11.75</v>
      </c>
      <c r="G201" s="21">
        <v>356.06</v>
      </c>
    </row>
    <row r="202" spans="1:7" ht="15" customHeight="1" x14ac:dyDescent="0.3">
      <c r="A202" s="21" t="s">
        <v>90</v>
      </c>
      <c r="B202" s="21" t="s">
        <v>92</v>
      </c>
      <c r="C202" s="21" t="s">
        <v>275</v>
      </c>
      <c r="D202" s="21">
        <v>0.08</v>
      </c>
      <c r="E202" s="21">
        <v>0.27</v>
      </c>
      <c r="F202" s="21">
        <v>9.64</v>
      </c>
      <c r="G202" s="21">
        <v>357.04</v>
      </c>
    </row>
    <row r="203" spans="1:7" ht="15" customHeight="1" x14ac:dyDescent="0.3">
      <c r="A203" s="21" t="s">
        <v>90</v>
      </c>
      <c r="B203" s="21" t="s">
        <v>92</v>
      </c>
      <c r="C203" s="21" t="s">
        <v>278</v>
      </c>
      <c r="D203" s="21">
        <v>0.08</v>
      </c>
      <c r="E203" s="21">
        <v>0.25</v>
      </c>
      <c r="F203" s="21">
        <v>8.7799999999999994</v>
      </c>
      <c r="G203" s="21">
        <v>351.2</v>
      </c>
    </row>
    <row r="204" spans="1:7" ht="15" customHeight="1" x14ac:dyDescent="0.3">
      <c r="A204" s="21" t="s">
        <v>90</v>
      </c>
      <c r="B204" s="21" t="s">
        <v>92</v>
      </c>
      <c r="C204" s="21" t="s">
        <v>254</v>
      </c>
      <c r="D204" s="21">
        <v>0.37</v>
      </c>
      <c r="E204" s="21">
        <v>1.2</v>
      </c>
      <c r="F204" s="21">
        <v>42.6</v>
      </c>
      <c r="G204" s="21">
        <v>355</v>
      </c>
    </row>
    <row r="205" spans="1:7" ht="15" customHeight="1" x14ac:dyDescent="0.3">
      <c r="A205" s="21" t="s">
        <v>90</v>
      </c>
      <c r="B205" s="21" t="s">
        <v>92</v>
      </c>
      <c r="C205" s="21" t="s">
        <v>277</v>
      </c>
      <c r="D205" s="21">
        <v>0.26</v>
      </c>
      <c r="E205" s="21">
        <v>0.85</v>
      </c>
      <c r="F205" s="21">
        <v>30.24</v>
      </c>
      <c r="G205" s="21">
        <v>355.76</v>
      </c>
    </row>
    <row r="206" spans="1:7" ht="15" customHeight="1" x14ac:dyDescent="0.3">
      <c r="A206" s="21" t="s">
        <v>90</v>
      </c>
      <c r="B206" s="21" t="s">
        <v>92</v>
      </c>
      <c r="C206" s="21" t="s">
        <v>266</v>
      </c>
      <c r="D206" s="21">
        <v>0.45</v>
      </c>
      <c r="E206" s="21">
        <v>1.48</v>
      </c>
      <c r="F206" s="21">
        <v>52.6</v>
      </c>
      <c r="G206" s="21">
        <v>355.41</v>
      </c>
    </row>
    <row r="207" spans="1:7" ht="15" customHeight="1" x14ac:dyDescent="0.3">
      <c r="A207" s="21" t="s">
        <v>90</v>
      </c>
      <c r="B207" s="21" t="s">
        <v>92</v>
      </c>
      <c r="C207" s="21" t="s">
        <v>269</v>
      </c>
      <c r="D207" s="21">
        <v>0.03</v>
      </c>
      <c r="E207" s="21">
        <v>0.1</v>
      </c>
      <c r="F207" s="21">
        <v>3.56</v>
      </c>
      <c r="G207" s="21">
        <v>356</v>
      </c>
    </row>
    <row r="208" spans="1:7" ht="15" customHeight="1" x14ac:dyDescent="0.3">
      <c r="A208" s="21" t="s">
        <v>90</v>
      </c>
      <c r="B208" s="21" t="s">
        <v>92</v>
      </c>
      <c r="C208" s="21" t="s">
        <v>249</v>
      </c>
      <c r="D208" s="21">
        <v>0.05</v>
      </c>
      <c r="E208" s="21">
        <v>0.17</v>
      </c>
      <c r="F208" s="21">
        <v>6.19</v>
      </c>
      <c r="G208" s="21">
        <v>364.12</v>
      </c>
    </row>
    <row r="209" spans="1:7" ht="15" customHeight="1" x14ac:dyDescent="0.3">
      <c r="A209" s="21" t="s">
        <v>90</v>
      </c>
      <c r="B209" s="21" t="s">
        <v>92</v>
      </c>
      <c r="C209" s="21" t="s">
        <v>258</v>
      </c>
      <c r="D209" s="21">
        <v>0.06</v>
      </c>
      <c r="E209" s="21">
        <v>0.18</v>
      </c>
      <c r="F209" s="21">
        <v>6.53</v>
      </c>
      <c r="G209" s="21">
        <v>362.78</v>
      </c>
    </row>
    <row r="210" spans="1:7" ht="15" customHeight="1" x14ac:dyDescent="0.3">
      <c r="A210" s="21" t="s">
        <v>90</v>
      </c>
      <c r="B210" s="21" t="s">
        <v>92</v>
      </c>
      <c r="C210" s="21" t="s">
        <v>270</v>
      </c>
      <c r="D210" s="21">
        <v>0.01</v>
      </c>
      <c r="E210" s="21">
        <v>0.03</v>
      </c>
      <c r="F210" s="21">
        <v>1.17</v>
      </c>
      <c r="G210" s="21">
        <v>390</v>
      </c>
    </row>
    <row r="211" spans="1:7" ht="15" customHeight="1" x14ac:dyDescent="0.3">
      <c r="A211" s="21" t="s">
        <v>90</v>
      </c>
      <c r="B211" s="21" t="s">
        <v>95</v>
      </c>
      <c r="C211" s="21" t="s">
        <v>243</v>
      </c>
      <c r="D211" s="21">
        <v>15.86</v>
      </c>
      <c r="E211" s="21">
        <v>79.52</v>
      </c>
      <c r="F211" s="21">
        <v>2739.48</v>
      </c>
      <c r="G211" s="21">
        <v>344.5</v>
      </c>
    </row>
    <row r="212" spans="1:7" ht="15" customHeight="1" x14ac:dyDescent="0.3">
      <c r="A212" s="21" t="s">
        <v>90</v>
      </c>
      <c r="B212" s="21" t="s">
        <v>95</v>
      </c>
      <c r="C212" s="21" t="s">
        <v>244</v>
      </c>
      <c r="D212" s="21">
        <v>13.04</v>
      </c>
      <c r="E212" s="21">
        <v>65.38</v>
      </c>
      <c r="F212" s="21">
        <v>2252.4699999999998</v>
      </c>
      <c r="G212" s="21">
        <v>344.52</v>
      </c>
    </row>
    <row r="213" spans="1:7" ht="15" customHeight="1" x14ac:dyDescent="0.3">
      <c r="A213" s="21" t="s">
        <v>90</v>
      </c>
      <c r="B213" s="21" t="s">
        <v>95</v>
      </c>
      <c r="C213" s="21" t="s">
        <v>245</v>
      </c>
      <c r="D213" s="21">
        <v>8.6999999999999993</v>
      </c>
      <c r="E213" s="21">
        <v>43.64</v>
      </c>
      <c r="F213" s="21">
        <v>1503.25</v>
      </c>
      <c r="G213" s="21">
        <v>344.47</v>
      </c>
    </row>
    <row r="214" spans="1:7" ht="15" customHeight="1" x14ac:dyDescent="0.3">
      <c r="A214" s="21" t="s">
        <v>90</v>
      </c>
      <c r="B214" s="21" t="s">
        <v>95</v>
      </c>
      <c r="C214" s="21" t="s">
        <v>246</v>
      </c>
      <c r="D214" s="21">
        <v>6.89</v>
      </c>
      <c r="E214" s="21">
        <v>34.53</v>
      </c>
      <c r="F214" s="21">
        <v>1189.57</v>
      </c>
      <c r="G214" s="21">
        <v>344.5</v>
      </c>
    </row>
    <row r="215" spans="1:7" ht="15" customHeight="1" x14ac:dyDescent="0.3">
      <c r="A215" s="21" t="s">
        <v>90</v>
      </c>
      <c r="B215" s="21" t="s">
        <v>95</v>
      </c>
      <c r="C215" s="21" t="s">
        <v>247</v>
      </c>
      <c r="D215" s="21">
        <v>5.72</v>
      </c>
      <c r="E215" s="21">
        <v>28.69</v>
      </c>
      <c r="F215" s="21">
        <v>988.39</v>
      </c>
      <c r="G215" s="21">
        <v>344.51</v>
      </c>
    </row>
    <row r="216" spans="1:7" ht="15" customHeight="1" x14ac:dyDescent="0.3">
      <c r="A216" s="21" t="s">
        <v>90</v>
      </c>
      <c r="B216" s="21" t="s">
        <v>95</v>
      </c>
      <c r="C216" s="21" t="s">
        <v>248</v>
      </c>
      <c r="D216" s="21">
        <v>5.68</v>
      </c>
      <c r="E216" s="21">
        <v>28.48</v>
      </c>
      <c r="F216" s="21">
        <v>981.01</v>
      </c>
      <c r="G216" s="21">
        <v>344.46</v>
      </c>
    </row>
    <row r="217" spans="1:7" ht="15" customHeight="1" x14ac:dyDescent="0.3">
      <c r="A217" s="21" t="s">
        <v>90</v>
      </c>
      <c r="B217" s="21" t="s">
        <v>95</v>
      </c>
      <c r="C217" s="21" t="s">
        <v>255</v>
      </c>
      <c r="D217" s="21">
        <v>5.75</v>
      </c>
      <c r="E217" s="21">
        <v>28.83</v>
      </c>
      <c r="F217" s="21">
        <v>993.23</v>
      </c>
      <c r="G217" s="21">
        <v>344.51</v>
      </c>
    </row>
    <row r="218" spans="1:7" ht="15" customHeight="1" x14ac:dyDescent="0.3">
      <c r="A218" s="21" t="s">
        <v>90</v>
      </c>
      <c r="B218" s="21" t="s">
        <v>95</v>
      </c>
      <c r="C218" s="21" t="s">
        <v>257</v>
      </c>
      <c r="D218" s="21">
        <v>4.93</v>
      </c>
      <c r="E218" s="21">
        <v>24.71</v>
      </c>
      <c r="F218" s="21">
        <v>851.24</v>
      </c>
      <c r="G218" s="21">
        <v>344.49</v>
      </c>
    </row>
    <row r="219" spans="1:7" ht="15" customHeight="1" x14ac:dyDescent="0.3">
      <c r="A219" s="21" t="s">
        <v>90</v>
      </c>
      <c r="B219" s="21" t="s">
        <v>95</v>
      </c>
      <c r="C219" s="21" t="s">
        <v>259</v>
      </c>
      <c r="D219" s="21">
        <v>4.29</v>
      </c>
      <c r="E219" s="21">
        <v>21.51</v>
      </c>
      <c r="F219" s="21">
        <v>740.87</v>
      </c>
      <c r="G219" s="21">
        <v>344.43</v>
      </c>
    </row>
    <row r="220" spans="1:7" ht="15" customHeight="1" x14ac:dyDescent="0.3">
      <c r="A220" s="21" t="s">
        <v>90</v>
      </c>
      <c r="B220" s="21" t="s">
        <v>95</v>
      </c>
      <c r="C220" s="21" t="s">
        <v>260</v>
      </c>
      <c r="D220" s="21">
        <v>3.75</v>
      </c>
      <c r="E220" s="21">
        <v>18.78</v>
      </c>
      <c r="F220" s="21">
        <v>647.07000000000005</v>
      </c>
      <c r="G220" s="21">
        <v>344.55</v>
      </c>
    </row>
    <row r="221" spans="1:7" ht="15" customHeight="1" x14ac:dyDescent="0.3">
      <c r="A221" s="21" t="s">
        <v>90</v>
      </c>
      <c r="B221" s="21" t="s">
        <v>95</v>
      </c>
      <c r="C221" s="21" t="s">
        <v>262</v>
      </c>
      <c r="D221" s="21">
        <v>3.28</v>
      </c>
      <c r="E221" s="21">
        <v>16.420000000000002</v>
      </c>
      <c r="F221" s="21">
        <v>565.79</v>
      </c>
      <c r="G221" s="21">
        <v>344.57</v>
      </c>
    </row>
    <row r="222" spans="1:7" ht="15" customHeight="1" x14ac:dyDescent="0.3">
      <c r="A222" s="21" t="s">
        <v>90</v>
      </c>
      <c r="B222" s="21" t="s">
        <v>95</v>
      </c>
      <c r="C222" s="21" t="s">
        <v>250</v>
      </c>
      <c r="D222" s="21">
        <v>3.28</v>
      </c>
      <c r="E222" s="21">
        <v>16.45</v>
      </c>
      <c r="F222" s="21">
        <v>566.88</v>
      </c>
      <c r="G222" s="21">
        <v>344.61</v>
      </c>
    </row>
    <row r="223" spans="1:7" ht="15" customHeight="1" x14ac:dyDescent="0.3">
      <c r="A223" s="21" t="s">
        <v>90</v>
      </c>
      <c r="B223" s="21" t="s">
        <v>95</v>
      </c>
      <c r="C223" s="21" t="s">
        <v>263</v>
      </c>
      <c r="D223" s="21">
        <v>2.68</v>
      </c>
      <c r="E223" s="21">
        <v>13.45</v>
      </c>
      <c r="F223" s="21">
        <v>463.39</v>
      </c>
      <c r="G223" s="21">
        <v>344.53</v>
      </c>
    </row>
    <row r="224" spans="1:7" ht="15" customHeight="1" x14ac:dyDescent="0.3">
      <c r="A224" s="21" t="s">
        <v>90</v>
      </c>
      <c r="B224" s="21" t="s">
        <v>95</v>
      </c>
      <c r="C224" s="21" t="s">
        <v>265</v>
      </c>
      <c r="D224" s="21">
        <v>2.77</v>
      </c>
      <c r="E224" s="21">
        <v>13.9</v>
      </c>
      <c r="F224" s="21">
        <v>478.9</v>
      </c>
      <c r="G224" s="21">
        <v>344.53</v>
      </c>
    </row>
    <row r="225" spans="1:7" ht="15" customHeight="1" x14ac:dyDescent="0.3">
      <c r="A225" s="21" t="s">
        <v>90</v>
      </c>
      <c r="B225" s="21" t="s">
        <v>95</v>
      </c>
      <c r="C225" s="21" t="s">
        <v>253</v>
      </c>
      <c r="D225" s="21">
        <v>2.2599999999999998</v>
      </c>
      <c r="E225" s="21">
        <v>11.34</v>
      </c>
      <c r="F225" s="21">
        <v>390.78</v>
      </c>
      <c r="G225" s="21">
        <v>344.6</v>
      </c>
    </row>
    <row r="226" spans="1:7" ht="15" customHeight="1" x14ac:dyDescent="0.3">
      <c r="A226" s="21" t="s">
        <v>90</v>
      </c>
      <c r="B226" s="21" t="s">
        <v>95</v>
      </c>
      <c r="C226" s="21" t="s">
        <v>268</v>
      </c>
      <c r="D226" s="21">
        <v>1.75</v>
      </c>
      <c r="E226" s="21">
        <v>8.76</v>
      </c>
      <c r="F226" s="21">
        <v>301.83</v>
      </c>
      <c r="G226" s="21">
        <v>344.55</v>
      </c>
    </row>
    <row r="227" spans="1:7" ht="15" customHeight="1" x14ac:dyDescent="0.3">
      <c r="A227" s="21" t="s">
        <v>90</v>
      </c>
      <c r="B227" s="21" t="s">
        <v>95</v>
      </c>
      <c r="C227" s="21" t="s">
        <v>252</v>
      </c>
      <c r="D227" s="21">
        <v>1.1599999999999999</v>
      </c>
      <c r="E227" s="21">
        <v>5.83</v>
      </c>
      <c r="F227" s="21">
        <v>200.9</v>
      </c>
      <c r="G227" s="21">
        <v>344.6</v>
      </c>
    </row>
    <row r="228" spans="1:7" ht="15" customHeight="1" x14ac:dyDescent="0.3">
      <c r="A228" s="21" t="s">
        <v>90</v>
      </c>
      <c r="B228" s="21" t="s">
        <v>95</v>
      </c>
      <c r="C228" s="21" t="s">
        <v>267</v>
      </c>
      <c r="D228" s="21">
        <v>1</v>
      </c>
      <c r="E228" s="21">
        <v>4.99</v>
      </c>
      <c r="F228" s="21">
        <v>171.9</v>
      </c>
      <c r="G228" s="21">
        <v>344.49</v>
      </c>
    </row>
    <row r="229" spans="1:7" ht="15" customHeight="1" x14ac:dyDescent="0.3">
      <c r="A229" s="21" t="s">
        <v>90</v>
      </c>
      <c r="B229" s="21" t="s">
        <v>95</v>
      </c>
      <c r="C229" s="21" t="s">
        <v>256</v>
      </c>
      <c r="D229" s="21">
        <v>0.89</v>
      </c>
      <c r="E229" s="21">
        <v>4.46</v>
      </c>
      <c r="F229" s="21">
        <v>153.57</v>
      </c>
      <c r="G229" s="21">
        <v>344.33</v>
      </c>
    </row>
    <row r="230" spans="1:7" ht="15" customHeight="1" x14ac:dyDescent="0.3">
      <c r="A230" s="21" t="s">
        <v>90</v>
      </c>
      <c r="B230" s="21" t="s">
        <v>95</v>
      </c>
      <c r="C230" s="21" t="s">
        <v>271</v>
      </c>
      <c r="D230" s="21">
        <v>0.84</v>
      </c>
      <c r="E230" s="21">
        <v>4.2300000000000004</v>
      </c>
      <c r="F230" s="21">
        <v>145.88</v>
      </c>
      <c r="G230" s="21">
        <v>344.87</v>
      </c>
    </row>
    <row r="231" spans="1:7" ht="15" customHeight="1" x14ac:dyDescent="0.3">
      <c r="A231" s="21" t="s">
        <v>90</v>
      </c>
      <c r="B231" s="21" t="s">
        <v>95</v>
      </c>
      <c r="C231" s="21" t="s">
        <v>264</v>
      </c>
      <c r="D231" s="21">
        <v>0.61</v>
      </c>
      <c r="E231" s="21">
        <v>3.04</v>
      </c>
      <c r="F231" s="21">
        <v>104.59</v>
      </c>
      <c r="G231" s="21">
        <v>344.05</v>
      </c>
    </row>
    <row r="232" spans="1:7" ht="15" customHeight="1" x14ac:dyDescent="0.3">
      <c r="A232" s="21" t="s">
        <v>90</v>
      </c>
      <c r="B232" s="21" t="s">
        <v>95</v>
      </c>
      <c r="C232" s="21" t="s">
        <v>261</v>
      </c>
      <c r="D232" s="21">
        <v>0.48</v>
      </c>
      <c r="E232" s="21">
        <v>2.41</v>
      </c>
      <c r="F232" s="21">
        <v>83.19</v>
      </c>
      <c r="G232" s="21">
        <v>345.19</v>
      </c>
    </row>
    <row r="233" spans="1:7" ht="15" customHeight="1" x14ac:dyDescent="0.3">
      <c r="A233" s="21" t="s">
        <v>90</v>
      </c>
      <c r="B233" s="21" t="s">
        <v>95</v>
      </c>
      <c r="C233" s="21" t="s">
        <v>273</v>
      </c>
      <c r="D233" s="21">
        <v>0.33</v>
      </c>
      <c r="E233" s="21">
        <v>1.65</v>
      </c>
      <c r="F233" s="21">
        <v>56.71</v>
      </c>
      <c r="G233" s="21">
        <v>343.7</v>
      </c>
    </row>
    <row r="234" spans="1:7" ht="15" customHeight="1" x14ac:dyDescent="0.3">
      <c r="A234" s="21" t="s">
        <v>90</v>
      </c>
      <c r="B234" s="21" t="s">
        <v>95</v>
      </c>
      <c r="C234" s="21" t="s">
        <v>274</v>
      </c>
      <c r="D234" s="21">
        <v>0.2</v>
      </c>
      <c r="E234" s="21">
        <v>1.01</v>
      </c>
      <c r="F234" s="21">
        <v>34.630000000000003</v>
      </c>
      <c r="G234" s="21">
        <v>342.87</v>
      </c>
    </row>
    <row r="235" spans="1:7" ht="15" customHeight="1" x14ac:dyDescent="0.3">
      <c r="A235" s="21" t="s">
        <v>90</v>
      </c>
      <c r="B235" s="21" t="s">
        <v>95</v>
      </c>
      <c r="C235" s="21" t="s">
        <v>272</v>
      </c>
      <c r="D235" s="21">
        <v>0.16</v>
      </c>
      <c r="E235" s="21">
        <v>0.78</v>
      </c>
      <c r="F235" s="21">
        <v>26.9</v>
      </c>
      <c r="G235" s="21">
        <v>344.87</v>
      </c>
    </row>
    <row r="236" spans="1:7" ht="15" customHeight="1" x14ac:dyDescent="0.3">
      <c r="A236" s="21" t="s">
        <v>90</v>
      </c>
      <c r="B236" s="21" t="s">
        <v>95</v>
      </c>
      <c r="C236" s="21" t="s">
        <v>276</v>
      </c>
      <c r="D236" s="21">
        <v>0.12</v>
      </c>
      <c r="E236" s="21">
        <v>0.57999999999999996</v>
      </c>
      <c r="F236" s="21">
        <v>20.09</v>
      </c>
      <c r="G236" s="21">
        <v>346.38</v>
      </c>
    </row>
    <row r="237" spans="1:7" ht="15" customHeight="1" x14ac:dyDescent="0.3">
      <c r="A237" s="21" t="s">
        <v>90</v>
      </c>
      <c r="B237" s="21" t="s">
        <v>95</v>
      </c>
      <c r="C237" s="21" t="s">
        <v>251</v>
      </c>
      <c r="D237" s="21">
        <v>0.1</v>
      </c>
      <c r="E237" s="21">
        <v>0.51</v>
      </c>
      <c r="F237" s="21">
        <v>17.579999999999998</v>
      </c>
      <c r="G237" s="21">
        <v>344.71</v>
      </c>
    </row>
    <row r="238" spans="1:7" ht="15" customHeight="1" x14ac:dyDescent="0.3">
      <c r="A238" s="21" t="s">
        <v>90</v>
      </c>
      <c r="B238" s="21" t="s">
        <v>95</v>
      </c>
      <c r="C238" s="21" t="s">
        <v>275</v>
      </c>
      <c r="D238" s="21">
        <v>0.08</v>
      </c>
      <c r="E238" s="21">
        <v>0.41</v>
      </c>
      <c r="F238" s="21">
        <v>14.03</v>
      </c>
      <c r="G238" s="21">
        <v>342.2</v>
      </c>
    </row>
    <row r="239" spans="1:7" ht="15" customHeight="1" x14ac:dyDescent="0.3">
      <c r="A239" s="21" t="s">
        <v>90</v>
      </c>
      <c r="B239" s="21" t="s">
        <v>95</v>
      </c>
      <c r="C239" s="21" t="s">
        <v>278</v>
      </c>
      <c r="D239" s="21">
        <v>0.06</v>
      </c>
      <c r="E239" s="21">
        <v>0.32</v>
      </c>
      <c r="F239" s="21">
        <v>10.95</v>
      </c>
      <c r="G239" s="21">
        <v>342.19</v>
      </c>
    </row>
    <row r="240" spans="1:7" ht="15" customHeight="1" x14ac:dyDescent="0.3">
      <c r="A240" s="21" t="s">
        <v>90</v>
      </c>
      <c r="B240" s="21" t="s">
        <v>95</v>
      </c>
      <c r="C240" s="21" t="s">
        <v>254</v>
      </c>
      <c r="D240" s="21">
        <v>0.39</v>
      </c>
      <c r="E240" s="21">
        <v>1.93</v>
      </c>
      <c r="F240" s="21">
        <v>66.540000000000006</v>
      </c>
      <c r="G240" s="21">
        <v>344.77</v>
      </c>
    </row>
    <row r="241" spans="1:7" ht="15" customHeight="1" x14ac:dyDescent="0.3">
      <c r="A241" s="21" t="s">
        <v>90</v>
      </c>
      <c r="B241" s="21" t="s">
        <v>95</v>
      </c>
      <c r="C241" s="21" t="s">
        <v>277</v>
      </c>
      <c r="D241" s="21">
        <v>0.27</v>
      </c>
      <c r="E241" s="21">
        <v>1.33</v>
      </c>
      <c r="F241" s="21">
        <v>45.96</v>
      </c>
      <c r="G241" s="21">
        <v>345.56</v>
      </c>
    </row>
    <row r="242" spans="1:7" ht="15" customHeight="1" x14ac:dyDescent="0.3">
      <c r="A242" s="21" t="s">
        <v>90</v>
      </c>
      <c r="B242" s="21" t="s">
        <v>95</v>
      </c>
      <c r="C242" s="21" t="s">
        <v>266</v>
      </c>
      <c r="D242" s="21">
        <v>0.44</v>
      </c>
      <c r="E242" s="21">
        <v>2.21</v>
      </c>
      <c r="F242" s="21">
        <v>76.17</v>
      </c>
      <c r="G242" s="21">
        <v>344.66</v>
      </c>
    </row>
    <row r="243" spans="1:7" ht="15" customHeight="1" x14ac:dyDescent="0.3">
      <c r="A243" s="21" t="s">
        <v>90</v>
      </c>
      <c r="B243" s="21" t="s">
        <v>95</v>
      </c>
      <c r="C243" s="21" t="s">
        <v>269</v>
      </c>
      <c r="D243" s="21">
        <v>0.03</v>
      </c>
      <c r="E243" s="21">
        <v>0.14000000000000001</v>
      </c>
      <c r="F243" s="21">
        <v>4.9000000000000004</v>
      </c>
      <c r="G243" s="21">
        <v>350</v>
      </c>
    </row>
    <row r="244" spans="1:7" ht="15" customHeight="1" x14ac:dyDescent="0.3">
      <c r="A244" s="21" t="s">
        <v>90</v>
      </c>
      <c r="B244" s="21" t="s">
        <v>95</v>
      </c>
      <c r="C244" s="21" t="s">
        <v>249</v>
      </c>
      <c r="D244" s="21">
        <v>0.05</v>
      </c>
      <c r="E244" s="21">
        <v>0.26</v>
      </c>
      <c r="F244" s="21">
        <v>8.7899999999999991</v>
      </c>
      <c r="G244" s="21">
        <v>338.08</v>
      </c>
    </row>
    <row r="245" spans="1:7" ht="15" customHeight="1" x14ac:dyDescent="0.3">
      <c r="A245" s="21" t="s">
        <v>90</v>
      </c>
      <c r="B245" s="21" t="s">
        <v>95</v>
      </c>
      <c r="C245" s="21" t="s">
        <v>258</v>
      </c>
      <c r="D245" s="21">
        <v>0.06</v>
      </c>
      <c r="E245" s="21">
        <v>0.3</v>
      </c>
      <c r="F245" s="21">
        <v>10.41</v>
      </c>
      <c r="G245" s="21">
        <v>347</v>
      </c>
    </row>
    <row r="246" spans="1:7" ht="15" customHeight="1" x14ac:dyDescent="0.3">
      <c r="A246" s="21" t="s">
        <v>90</v>
      </c>
      <c r="B246" s="21" t="s">
        <v>95</v>
      </c>
      <c r="C246" s="21" t="s">
        <v>270</v>
      </c>
      <c r="D246" s="21">
        <v>0.01</v>
      </c>
      <c r="E246" s="21">
        <v>0.05</v>
      </c>
      <c r="F246" s="21">
        <v>1.76</v>
      </c>
      <c r="G246" s="21">
        <v>352</v>
      </c>
    </row>
    <row r="247" spans="1:7" ht="15" customHeight="1" x14ac:dyDescent="0.3">
      <c r="A247" s="21" t="s">
        <v>93</v>
      </c>
      <c r="B247" s="21" t="s">
        <v>88</v>
      </c>
      <c r="C247" s="21" t="s">
        <v>243</v>
      </c>
      <c r="D247" s="21">
        <v>16.66</v>
      </c>
      <c r="E247" s="21">
        <v>110.11</v>
      </c>
      <c r="F247" s="21">
        <v>3734.4</v>
      </c>
      <c r="G247" s="21">
        <v>339.15</v>
      </c>
    </row>
    <row r="248" spans="1:7" ht="15" customHeight="1" x14ac:dyDescent="0.3">
      <c r="A248" s="21" t="s">
        <v>93</v>
      </c>
      <c r="B248" s="21" t="s">
        <v>88</v>
      </c>
      <c r="C248" s="21" t="s">
        <v>244</v>
      </c>
      <c r="D248" s="21">
        <v>13.12</v>
      </c>
      <c r="E248" s="21">
        <v>86.75</v>
      </c>
      <c r="F248" s="21">
        <v>2942.14</v>
      </c>
      <c r="G248" s="21">
        <v>339.15</v>
      </c>
    </row>
    <row r="249" spans="1:7" ht="15" customHeight="1" x14ac:dyDescent="0.3">
      <c r="A249" s="21" t="s">
        <v>93</v>
      </c>
      <c r="B249" s="21" t="s">
        <v>88</v>
      </c>
      <c r="C249" s="21" t="s">
        <v>245</v>
      </c>
      <c r="D249" s="21">
        <v>8.7899999999999991</v>
      </c>
      <c r="E249" s="21">
        <v>58.12</v>
      </c>
      <c r="F249" s="21">
        <v>1971.3</v>
      </c>
      <c r="G249" s="21">
        <v>339.18</v>
      </c>
    </row>
    <row r="250" spans="1:7" ht="15" customHeight="1" x14ac:dyDescent="0.3">
      <c r="A250" s="21" t="s">
        <v>93</v>
      </c>
      <c r="B250" s="21" t="s">
        <v>88</v>
      </c>
      <c r="C250" s="21" t="s">
        <v>246</v>
      </c>
      <c r="D250" s="21">
        <v>7.3</v>
      </c>
      <c r="E250" s="21">
        <v>48.26</v>
      </c>
      <c r="F250" s="21">
        <v>1636.89</v>
      </c>
      <c r="G250" s="21">
        <v>339.18</v>
      </c>
    </row>
    <row r="251" spans="1:7" ht="15" customHeight="1" x14ac:dyDescent="0.3">
      <c r="A251" s="21" t="s">
        <v>93</v>
      </c>
      <c r="B251" s="21" t="s">
        <v>88</v>
      </c>
      <c r="C251" s="21" t="s">
        <v>247</v>
      </c>
      <c r="D251" s="21">
        <v>6.16</v>
      </c>
      <c r="E251" s="21">
        <v>40.71</v>
      </c>
      <c r="F251" s="21">
        <v>1380.69</v>
      </c>
      <c r="G251" s="21">
        <v>339.15</v>
      </c>
    </row>
    <row r="252" spans="1:7" ht="15" customHeight="1" x14ac:dyDescent="0.3">
      <c r="A252" s="21" t="s">
        <v>93</v>
      </c>
      <c r="B252" s="21" t="s">
        <v>88</v>
      </c>
      <c r="C252" s="21" t="s">
        <v>248</v>
      </c>
      <c r="D252" s="21">
        <v>6.2</v>
      </c>
      <c r="E252" s="21">
        <v>40.950000000000003</v>
      </c>
      <c r="F252" s="21">
        <v>1388.83</v>
      </c>
      <c r="G252" s="21">
        <v>339.15</v>
      </c>
    </row>
    <row r="253" spans="1:7" ht="15" customHeight="1" x14ac:dyDescent="0.3">
      <c r="A253" s="21" t="s">
        <v>93</v>
      </c>
      <c r="B253" s="21" t="s">
        <v>88</v>
      </c>
      <c r="C253" s="21" t="s">
        <v>255</v>
      </c>
      <c r="D253" s="21">
        <v>5.95</v>
      </c>
      <c r="E253" s="21">
        <v>39.340000000000003</v>
      </c>
      <c r="F253" s="21">
        <v>1334.13</v>
      </c>
      <c r="G253" s="21">
        <v>339.13</v>
      </c>
    </row>
    <row r="254" spans="1:7" ht="15" customHeight="1" x14ac:dyDescent="0.3">
      <c r="A254" s="21" t="s">
        <v>93</v>
      </c>
      <c r="B254" s="21" t="s">
        <v>88</v>
      </c>
      <c r="C254" s="21" t="s">
        <v>257</v>
      </c>
      <c r="D254" s="21">
        <v>5.56</v>
      </c>
      <c r="E254" s="21">
        <v>36.729999999999997</v>
      </c>
      <c r="F254" s="21">
        <v>1245.6500000000001</v>
      </c>
      <c r="G254" s="21">
        <v>339.14</v>
      </c>
    </row>
    <row r="255" spans="1:7" ht="15" customHeight="1" x14ac:dyDescent="0.3">
      <c r="A255" s="21" t="s">
        <v>93</v>
      </c>
      <c r="B255" s="21" t="s">
        <v>88</v>
      </c>
      <c r="C255" s="21" t="s">
        <v>259</v>
      </c>
      <c r="D255" s="21">
        <v>3.96</v>
      </c>
      <c r="E255" s="21">
        <v>26.2</v>
      </c>
      <c r="F255" s="21">
        <v>888.66</v>
      </c>
      <c r="G255" s="21">
        <v>339.18</v>
      </c>
    </row>
    <row r="256" spans="1:7" ht="15" customHeight="1" x14ac:dyDescent="0.3">
      <c r="A256" s="21" t="s">
        <v>93</v>
      </c>
      <c r="B256" s="21" t="s">
        <v>88</v>
      </c>
      <c r="C256" s="21" t="s">
        <v>260</v>
      </c>
      <c r="D256" s="21">
        <v>3.85</v>
      </c>
      <c r="E256" s="21">
        <v>25.42</v>
      </c>
      <c r="F256" s="21">
        <v>862.23</v>
      </c>
      <c r="G256" s="21">
        <v>339.19</v>
      </c>
    </row>
    <row r="257" spans="1:7" ht="15" customHeight="1" x14ac:dyDescent="0.3">
      <c r="A257" s="21" t="s">
        <v>93</v>
      </c>
      <c r="B257" s="21" t="s">
        <v>88</v>
      </c>
      <c r="C257" s="21" t="s">
        <v>262</v>
      </c>
      <c r="D257" s="21">
        <v>3.14</v>
      </c>
      <c r="E257" s="21">
        <v>20.73</v>
      </c>
      <c r="F257" s="21">
        <v>702.95</v>
      </c>
      <c r="G257" s="21">
        <v>339.1</v>
      </c>
    </row>
    <row r="258" spans="1:7" ht="15" customHeight="1" x14ac:dyDescent="0.3">
      <c r="A258" s="21" t="s">
        <v>93</v>
      </c>
      <c r="B258" s="21" t="s">
        <v>88</v>
      </c>
      <c r="C258" s="21" t="s">
        <v>250</v>
      </c>
      <c r="D258" s="21">
        <v>3.29</v>
      </c>
      <c r="E258" s="21">
        <v>21.74</v>
      </c>
      <c r="F258" s="21">
        <v>737.22</v>
      </c>
      <c r="G258" s="21">
        <v>339.11</v>
      </c>
    </row>
    <row r="259" spans="1:7" ht="15" customHeight="1" x14ac:dyDescent="0.3">
      <c r="A259" s="21" t="s">
        <v>93</v>
      </c>
      <c r="B259" s="21" t="s">
        <v>88</v>
      </c>
      <c r="C259" s="21" t="s">
        <v>263</v>
      </c>
      <c r="D259" s="21">
        <v>2.72</v>
      </c>
      <c r="E259" s="21">
        <v>18</v>
      </c>
      <c r="F259" s="21">
        <v>610.5</v>
      </c>
      <c r="G259" s="21">
        <v>339.17</v>
      </c>
    </row>
    <row r="260" spans="1:7" ht="15" customHeight="1" x14ac:dyDescent="0.3">
      <c r="A260" s="21" t="s">
        <v>93</v>
      </c>
      <c r="B260" s="21" t="s">
        <v>88</v>
      </c>
      <c r="C260" s="21" t="s">
        <v>265</v>
      </c>
      <c r="D260" s="21">
        <v>2.74</v>
      </c>
      <c r="E260" s="21">
        <v>18.11</v>
      </c>
      <c r="F260" s="21">
        <v>614.35</v>
      </c>
      <c r="G260" s="21">
        <v>339.23</v>
      </c>
    </row>
    <row r="261" spans="1:7" ht="15" customHeight="1" x14ac:dyDescent="0.3">
      <c r="A261" s="21" t="s">
        <v>93</v>
      </c>
      <c r="B261" s="21" t="s">
        <v>88</v>
      </c>
      <c r="C261" s="21" t="s">
        <v>253</v>
      </c>
      <c r="D261" s="21">
        <v>2.11</v>
      </c>
      <c r="E261" s="21">
        <v>13.98</v>
      </c>
      <c r="F261" s="21">
        <v>474.09</v>
      </c>
      <c r="G261" s="21">
        <v>339.12</v>
      </c>
    </row>
    <row r="262" spans="1:7" ht="15" customHeight="1" x14ac:dyDescent="0.3">
      <c r="A262" s="21" t="s">
        <v>93</v>
      </c>
      <c r="B262" s="21" t="s">
        <v>88</v>
      </c>
      <c r="C262" s="21" t="s">
        <v>268</v>
      </c>
      <c r="D262" s="21">
        <v>1.65</v>
      </c>
      <c r="E262" s="21">
        <v>10.89</v>
      </c>
      <c r="F262" s="21">
        <v>369.44</v>
      </c>
      <c r="G262" s="21">
        <v>339.25</v>
      </c>
    </row>
    <row r="263" spans="1:7" ht="15" customHeight="1" x14ac:dyDescent="0.3">
      <c r="A263" s="21" t="s">
        <v>93</v>
      </c>
      <c r="B263" s="21" t="s">
        <v>88</v>
      </c>
      <c r="C263" s="21" t="s">
        <v>252</v>
      </c>
      <c r="D263" s="21">
        <v>1.17</v>
      </c>
      <c r="E263" s="21">
        <v>7.75</v>
      </c>
      <c r="F263" s="21">
        <v>262.68</v>
      </c>
      <c r="G263" s="21">
        <v>338.94</v>
      </c>
    </row>
    <row r="264" spans="1:7" ht="15" customHeight="1" x14ac:dyDescent="0.3">
      <c r="A264" s="21" t="s">
        <v>93</v>
      </c>
      <c r="B264" s="21" t="s">
        <v>88</v>
      </c>
      <c r="C264" s="21" t="s">
        <v>267</v>
      </c>
      <c r="D264" s="21">
        <v>0.9</v>
      </c>
      <c r="E264" s="21">
        <v>5.96</v>
      </c>
      <c r="F264" s="21">
        <v>202.04</v>
      </c>
      <c r="G264" s="21">
        <v>338.99</v>
      </c>
    </row>
    <row r="265" spans="1:7" ht="15" customHeight="1" x14ac:dyDescent="0.3">
      <c r="A265" s="21" t="s">
        <v>93</v>
      </c>
      <c r="B265" s="21" t="s">
        <v>88</v>
      </c>
      <c r="C265" s="21" t="s">
        <v>256</v>
      </c>
      <c r="D265" s="21">
        <v>0.93</v>
      </c>
      <c r="E265" s="21">
        <v>6.17</v>
      </c>
      <c r="F265" s="21">
        <v>209.34</v>
      </c>
      <c r="G265" s="21">
        <v>339.29</v>
      </c>
    </row>
    <row r="266" spans="1:7" ht="15" customHeight="1" x14ac:dyDescent="0.3">
      <c r="A266" s="21" t="s">
        <v>93</v>
      </c>
      <c r="B266" s="21" t="s">
        <v>88</v>
      </c>
      <c r="C266" s="21" t="s">
        <v>271</v>
      </c>
      <c r="D266" s="21">
        <v>0.72</v>
      </c>
      <c r="E266" s="21">
        <v>4.74</v>
      </c>
      <c r="F266" s="21">
        <v>160.83000000000001</v>
      </c>
      <c r="G266" s="21">
        <v>339.3</v>
      </c>
    </row>
    <row r="267" spans="1:7" ht="15" customHeight="1" x14ac:dyDescent="0.3">
      <c r="A267" s="21" t="s">
        <v>93</v>
      </c>
      <c r="B267" s="21" t="s">
        <v>88</v>
      </c>
      <c r="C267" s="21" t="s">
        <v>264</v>
      </c>
      <c r="D267" s="21">
        <v>0.6</v>
      </c>
      <c r="E267" s="21">
        <v>3.97</v>
      </c>
      <c r="F267" s="21">
        <v>134.69999999999999</v>
      </c>
      <c r="G267" s="21">
        <v>339.29</v>
      </c>
    </row>
    <row r="268" spans="1:7" ht="15" customHeight="1" x14ac:dyDescent="0.3">
      <c r="A268" s="21" t="s">
        <v>93</v>
      </c>
      <c r="B268" s="21" t="s">
        <v>88</v>
      </c>
      <c r="C268" s="21" t="s">
        <v>261</v>
      </c>
      <c r="D268" s="21">
        <v>0.45</v>
      </c>
      <c r="E268" s="21">
        <v>2.96</v>
      </c>
      <c r="F268" s="21">
        <v>100.44</v>
      </c>
      <c r="G268" s="21">
        <v>339.32</v>
      </c>
    </row>
    <row r="269" spans="1:7" ht="15" customHeight="1" x14ac:dyDescent="0.3">
      <c r="A269" s="21" t="s">
        <v>93</v>
      </c>
      <c r="B269" s="21" t="s">
        <v>88</v>
      </c>
      <c r="C269" s="21" t="s">
        <v>273</v>
      </c>
      <c r="D269" s="21">
        <v>0.3</v>
      </c>
      <c r="E269" s="21">
        <v>1.95</v>
      </c>
      <c r="F269" s="21">
        <v>66.180000000000007</v>
      </c>
      <c r="G269" s="21">
        <v>339.38</v>
      </c>
    </row>
    <row r="270" spans="1:7" ht="15" customHeight="1" x14ac:dyDescent="0.3">
      <c r="A270" s="21" t="s">
        <v>93</v>
      </c>
      <c r="B270" s="21" t="s">
        <v>88</v>
      </c>
      <c r="C270" s="21" t="s">
        <v>274</v>
      </c>
      <c r="D270" s="21">
        <v>0.22</v>
      </c>
      <c r="E270" s="21">
        <v>1.43</v>
      </c>
      <c r="F270" s="21">
        <v>48.52</v>
      </c>
      <c r="G270" s="21">
        <v>339.3</v>
      </c>
    </row>
    <row r="271" spans="1:7" ht="15" customHeight="1" x14ac:dyDescent="0.3">
      <c r="A271" s="21" t="s">
        <v>93</v>
      </c>
      <c r="B271" s="21" t="s">
        <v>88</v>
      </c>
      <c r="C271" s="21" t="s">
        <v>272</v>
      </c>
      <c r="D271" s="21">
        <v>0.15</v>
      </c>
      <c r="E271" s="21">
        <v>1.01</v>
      </c>
      <c r="F271" s="21">
        <v>34.229999999999997</v>
      </c>
      <c r="G271" s="21">
        <v>338.91</v>
      </c>
    </row>
    <row r="272" spans="1:7" ht="15" customHeight="1" x14ac:dyDescent="0.3">
      <c r="A272" s="21" t="s">
        <v>93</v>
      </c>
      <c r="B272" s="21" t="s">
        <v>88</v>
      </c>
      <c r="C272" s="21" t="s">
        <v>276</v>
      </c>
      <c r="D272" s="21">
        <v>0.11</v>
      </c>
      <c r="E272" s="21">
        <v>0.76</v>
      </c>
      <c r="F272" s="21">
        <v>25.74</v>
      </c>
      <c r="G272" s="21">
        <v>338.68</v>
      </c>
    </row>
    <row r="273" spans="1:7" ht="15" customHeight="1" x14ac:dyDescent="0.3">
      <c r="A273" s="21" t="s">
        <v>93</v>
      </c>
      <c r="B273" s="21" t="s">
        <v>88</v>
      </c>
      <c r="C273" s="21" t="s">
        <v>251</v>
      </c>
      <c r="D273" s="21">
        <v>0.1</v>
      </c>
      <c r="E273" s="21">
        <v>0.66</v>
      </c>
      <c r="F273" s="21">
        <v>22.38</v>
      </c>
      <c r="G273" s="21">
        <v>339.09</v>
      </c>
    </row>
    <row r="274" spans="1:7" ht="15" customHeight="1" x14ac:dyDescent="0.3">
      <c r="A274" s="21" t="s">
        <v>93</v>
      </c>
      <c r="B274" s="21" t="s">
        <v>88</v>
      </c>
      <c r="C274" s="21" t="s">
        <v>275</v>
      </c>
      <c r="D274" s="21">
        <v>0.08</v>
      </c>
      <c r="E274" s="21">
        <v>0.53</v>
      </c>
      <c r="F274" s="21">
        <v>17.95</v>
      </c>
      <c r="G274" s="21">
        <v>338.68</v>
      </c>
    </row>
    <row r="275" spans="1:7" ht="15" customHeight="1" x14ac:dyDescent="0.3">
      <c r="A275" s="21" t="s">
        <v>93</v>
      </c>
      <c r="B275" s="21" t="s">
        <v>88</v>
      </c>
      <c r="C275" s="21" t="s">
        <v>278</v>
      </c>
      <c r="D275" s="21">
        <v>7.0000000000000007E-2</v>
      </c>
      <c r="E275" s="21">
        <v>0.47</v>
      </c>
      <c r="F275" s="21">
        <v>16.059999999999999</v>
      </c>
      <c r="G275" s="21">
        <v>341.7</v>
      </c>
    </row>
    <row r="276" spans="1:7" ht="15" customHeight="1" x14ac:dyDescent="0.3">
      <c r="A276" s="21" t="s">
        <v>93</v>
      </c>
      <c r="B276" s="21" t="s">
        <v>88</v>
      </c>
      <c r="C276" s="21" t="s">
        <v>254</v>
      </c>
      <c r="D276" s="21">
        <v>0.33</v>
      </c>
      <c r="E276" s="21">
        <v>2.16</v>
      </c>
      <c r="F276" s="21">
        <v>73.099999999999994</v>
      </c>
      <c r="G276" s="21">
        <v>338.43</v>
      </c>
    </row>
    <row r="277" spans="1:7" ht="15" customHeight="1" x14ac:dyDescent="0.3">
      <c r="A277" s="21" t="s">
        <v>93</v>
      </c>
      <c r="B277" s="21" t="s">
        <v>88</v>
      </c>
      <c r="C277" s="21" t="s">
        <v>277</v>
      </c>
      <c r="D277" s="21">
        <v>0.26</v>
      </c>
      <c r="E277" s="21">
        <v>1.7</v>
      </c>
      <c r="F277" s="21">
        <v>57.71</v>
      </c>
      <c r="G277" s="21">
        <v>339.47</v>
      </c>
    </row>
    <row r="278" spans="1:7" ht="15" customHeight="1" x14ac:dyDescent="0.3">
      <c r="A278" s="21" t="s">
        <v>93</v>
      </c>
      <c r="B278" s="21" t="s">
        <v>88</v>
      </c>
      <c r="C278" s="21" t="s">
        <v>266</v>
      </c>
      <c r="D278" s="21">
        <v>0.39</v>
      </c>
      <c r="E278" s="21">
        <v>2.57</v>
      </c>
      <c r="F278" s="21">
        <v>87.24</v>
      </c>
      <c r="G278" s="21">
        <v>339.46</v>
      </c>
    </row>
    <row r="279" spans="1:7" ht="15" customHeight="1" x14ac:dyDescent="0.3">
      <c r="A279" s="21" t="s">
        <v>93</v>
      </c>
      <c r="B279" s="21" t="s">
        <v>88</v>
      </c>
      <c r="C279" s="21" t="s">
        <v>269</v>
      </c>
      <c r="D279" s="21">
        <v>0.03</v>
      </c>
      <c r="E279" s="21">
        <v>0.19</v>
      </c>
      <c r="F279" s="21">
        <v>6.51</v>
      </c>
      <c r="G279" s="21">
        <v>342.63</v>
      </c>
    </row>
    <row r="280" spans="1:7" ht="15" customHeight="1" x14ac:dyDescent="0.3">
      <c r="A280" s="21" t="s">
        <v>93</v>
      </c>
      <c r="B280" s="21" t="s">
        <v>88</v>
      </c>
      <c r="C280" s="21" t="s">
        <v>249</v>
      </c>
      <c r="D280" s="21">
        <v>0.05</v>
      </c>
      <c r="E280" s="21">
        <v>0.32</v>
      </c>
      <c r="F280" s="21">
        <v>10.94</v>
      </c>
      <c r="G280" s="21">
        <v>341.88</v>
      </c>
    </row>
    <row r="281" spans="1:7" ht="15" customHeight="1" x14ac:dyDescent="0.3">
      <c r="A281" s="21" t="s">
        <v>93</v>
      </c>
      <c r="B281" s="21" t="s">
        <v>88</v>
      </c>
      <c r="C281" s="21" t="s">
        <v>258</v>
      </c>
      <c r="D281" s="21">
        <v>0.06</v>
      </c>
      <c r="E281" s="21">
        <v>0.41</v>
      </c>
      <c r="F281" s="21">
        <v>13.88</v>
      </c>
      <c r="G281" s="21">
        <v>338.54</v>
      </c>
    </row>
    <row r="282" spans="1:7" ht="15" customHeight="1" x14ac:dyDescent="0.3">
      <c r="A282" s="21" t="s">
        <v>93</v>
      </c>
      <c r="B282" s="21" t="s">
        <v>88</v>
      </c>
      <c r="C282" s="21" t="s">
        <v>270</v>
      </c>
      <c r="D282" s="21">
        <v>0.01</v>
      </c>
      <c r="E282" s="21">
        <v>7.0000000000000007E-2</v>
      </c>
      <c r="F282" s="21">
        <v>2.2400000000000002</v>
      </c>
      <c r="G282" s="21">
        <v>320</v>
      </c>
    </row>
    <row r="283" spans="1:7" ht="15" customHeight="1" x14ac:dyDescent="0.3">
      <c r="A283" s="21" t="s">
        <v>93</v>
      </c>
      <c r="B283" s="21" t="s">
        <v>87</v>
      </c>
      <c r="C283" s="21" t="s">
        <v>243</v>
      </c>
      <c r="D283" s="21">
        <v>15.34</v>
      </c>
      <c r="E283" s="21">
        <v>146.32</v>
      </c>
      <c r="F283" s="21">
        <v>5067.3999999999996</v>
      </c>
      <c r="G283" s="21">
        <v>346.32</v>
      </c>
    </row>
    <row r="284" spans="1:7" ht="15" customHeight="1" x14ac:dyDescent="0.3">
      <c r="A284" s="21" t="s">
        <v>93</v>
      </c>
      <c r="B284" s="21" t="s">
        <v>87</v>
      </c>
      <c r="C284" s="21" t="s">
        <v>244</v>
      </c>
      <c r="D284" s="21">
        <v>12.17</v>
      </c>
      <c r="E284" s="21">
        <v>116.07</v>
      </c>
      <c r="F284" s="21">
        <v>4019.99</v>
      </c>
      <c r="G284" s="21">
        <v>346.34</v>
      </c>
    </row>
    <row r="285" spans="1:7" ht="15" customHeight="1" x14ac:dyDescent="0.3">
      <c r="A285" s="21" t="s">
        <v>93</v>
      </c>
      <c r="B285" s="21" t="s">
        <v>87</v>
      </c>
      <c r="C285" s="21" t="s">
        <v>245</v>
      </c>
      <c r="D285" s="21">
        <v>8.2799999999999994</v>
      </c>
      <c r="E285" s="21">
        <v>78.989999999999995</v>
      </c>
      <c r="F285" s="21">
        <v>2735.61</v>
      </c>
      <c r="G285" s="21">
        <v>346.32</v>
      </c>
    </row>
    <row r="286" spans="1:7" ht="15" customHeight="1" x14ac:dyDescent="0.3">
      <c r="A286" s="21" t="s">
        <v>93</v>
      </c>
      <c r="B286" s="21" t="s">
        <v>87</v>
      </c>
      <c r="C286" s="21" t="s">
        <v>246</v>
      </c>
      <c r="D286" s="21">
        <v>7.07</v>
      </c>
      <c r="E286" s="21">
        <v>67.45</v>
      </c>
      <c r="F286" s="21">
        <v>2336.0700000000002</v>
      </c>
      <c r="G286" s="21">
        <v>346.34</v>
      </c>
    </row>
    <row r="287" spans="1:7" ht="15" customHeight="1" x14ac:dyDescent="0.3">
      <c r="A287" s="21" t="s">
        <v>93</v>
      </c>
      <c r="B287" s="21" t="s">
        <v>87</v>
      </c>
      <c r="C287" s="21" t="s">
        <v>247</v>
      </c>
      <c r="D287" s="21">
        <v>6.31</v>
      </c>
      <c r="E287" s="21">
        <v>60.2</v>
      </c>
      <c r="F287" s="21">
        <v>2084.9699999999998</v>
      </c>
      <c r="G287" s="21">
        <v>346.34</v>
      </c>
    </row>
    <row r="288" spans="1:7" ht="15" customHeight="1" x14ac:dyDescent="0.3">
      <c r="A288" s="21" t="s">
        <v>93</v>
      </c>
      <c r="B288" s="21" t="s">
        <v>87</v>
      </c>
      <c r="C288" s="21" t="s">
        <v>248</v>
      </c>
      <c r="D288" s="21">
        <v>5.66</v>
      </c>
      <c r="E288" s="21">
        <v>53.99</v>
      </c>
      <c r="F288" s="21">
        <v>1869.85</v>
      </c>
      <c r="G288" s="21">
        <v>346.33</v>
      </c>
    </row>
    <row r="289" spans="1:7" ht="15" customHeight="1" x14ac:dyDescent="0.3">
      <c r="A289" s="21" t="s">
        <v>93</v>
      </c>
      <c r="B289" s="21" t="s">
        <v>87</v>
      </c>
      <c r="C289" s="21" t="s">
        <v>255</v>
      </c>
      <c r="D289" s="21">
        <v>5.69</v>
      </c>
      <c r="E289" s="21">
        <v>54.29</v>
      </c>
      <c r="F289" s="21">
        <v>1880.06</v>
      </c>
      <c r="G289" s="21">
        <v>346.3</v>
      </c>
    </row>
    <row r="290" spans="1:7" ht="15" customHeight="1" x14ac:dyDescent="0.3">
      <c r="A290" s="21" t="s">
        <v>93</v>
      </c>
      <c r="B290" s="21" t="s">
        <v>87</v>
      </c>
      <c r="C290" s="21" t="s">
        <v>257</v>
      </c>
      <c r="D290" s="21">
        <v>4.68</v>
      </c>
      <c r="E290" s="21">
        <v>44.6</v>
      </c>
      <c r="F290" s="21">
        <v>1544.54</v>
      </c>
      <c r="G290" s="21">
        <v>346.31</v>
      </c>
    </row>
    <row r="291" spans="1:7" ht="15" customHeight="1" x14ac:dyDescent="0.3">
      <c r="A291" s="21" t="s">
        <v>93</v>
      </c>
      <c r="B291" s="21" t="s">
        <v>87</v>
      </c>
      <c r="C291" s="21" t="s">
        <v>259</v>
      </c>
      <c r="D291" s="21">
        <v>4.18</v>
      </c>
      <c r="E291" s="21">
        <v>39.880000000000003</v>
      </c>
      <c r="F291" s="21">
        <v>1381.28</v>
      </c>
      <c r="G291" s="21">
        <v>346.36</v>
      </c>
    </row>
    <row r="292" spans="1:7" ht="15" customHeight="1" x14ac:dyDescent="0.3">
      <c r="A292" s="21" t="s">
        <v>93</v>
      </c>
      <c r="B292" s="21" t="s">
        <v>87</v>
      </c>
      <c r="C292" s="21" t="s">
        <v>260</v>
      </c>
      <c r="D292" s="21">
        <v>4.21</v>
      </c>
      <c r="E292" s="21">
        <v>40.18</v>
      </c>
      <c r="F292" s="21">
        <v>1391.45</v>
      </c>
      <c r="G292" s="21">
        <v>346.3</v>
      </c>
    </row>
    <row r="293" spans="1:7" ht="15" customHeight="1" x14ac:dyDescent="0.3">
      <c r="A293" s="21" t="s">
        <v>93</v>
      </c>
      <c r="B293" s="21" t="s">
        <v>87</v>
      </c>
      <c r="C293" s="21" t="s">
        <v>262</v>
      </c>
      <c r="D293" s="21">
        <v>3.25</v>
      </c>
      <c r="E293" s="21">
        <v>31.01</v>
      </c>
      <c r="F293" s="21">
        <v>1073.8599999999999</v>
      </c>
      <c r="G293" s="21">
        <v>346.29</v>
      </c>
    </row>
    <row r="294" spans="1:7" ht="15" customHeight="1" x14ac:dyDescent="0.3">
      <c r="A294" s="21" t="s">
        <v>93</v>
      </c>
      <c r="B294" s="21" t="s">
        <v>87</v>
      </c>
      <c r="C294" s="21" t="s">
        <v>250</v>
      </c>
      <c r="D294" s="21">
        <v>2.9</v>
      </c>
      <c r="E294" s="21">
        <v>27.7</v>
      </c>
      <c r="F294" s="21">
        <v>959.18</v>
      </c>
      <c r="G294" s="21">
        <v>346.27</v>
      </c>
    </row>
    <row r="295" spans="1:7" ht="15" customHeight="1" x14ac:dyDescent="0.3">
      <c r="A295" s="21" t="s">
        <v>93</v>
      </c>
      <c r="B295" s="21" t="s">
        <v>87</v>
      </c>
      <c r="C295" s="21" t="s">
        <v>263</v>
      </c>
      <c r="D295" s="21">
        <v>2.91</v>
      </c>
      <c r="E295" s="21">
        <v>27.75</v>
      </c>
      <c r="F295" s="21">
        <v>961.16</v>
      </c>
      <c r="G295" s="21">
        <v>346.36</v>
      </c>
    </row>
    <row r="296" spans="1:7" ht="15" customHeight="1" x14ac:dyDescent="0.3">
      <c r="A296" s="21" t="s">
        <v>93</v>
      </c>
      <c r="B296" s="21" t="s">
        <v>87</v>
      </c>
      <c r="C296" s="21" t="s">
        <v>265</v>
      </c>
      <c r="D296" s="21">
        <v>2.42</v>
      </c>
      <c r="E296" s="21">
        <v>23.04</v>
      </c>
      <c r="F296" s="21">
        <v>797.8</v>
      </c>
      <c r="G296" s="21">
        <v>346.27</v>
      </c>
    </row>
    <row r="297" spans="1:7" ht="15" customHeight="1" x14ac:dyDescent="0.3">
      <c r="A297" s="21" t="s">
        <v>93</v>
      </c>
      <c r="B297" s="21" t="s">
        <v>87</v>
      </c>
      <c r="C297" s="21" t="s">
        <v>253</v>
      </c>
      <c r="D297" s="21">
        <v>2.16</v>
      </c>
      <c r="E297" s="21">
        <v>20.65</v>
      </c>
      <c r="F297" s="21">
        <v>715.16</v>
      </c>
      <c r="G297" s="21">
        <v>346.32</v>
      </c>
    </row>
    <row r="298" spans="1:7" ht="15" customHeight="1" x14ac:dyDescent="0.3">
      <c r="A298" s="21" t="s">
        <v>93</v>
      </c>
      <c r="B298" s="21" t="s">
        <v>87</v>
      </c>
      <c r="C298" s="21" t="s">
        <v>268</v>
      </c>
      <c r="D298" s="21">
        <v>1.73</v>
      </c>
      <c r="E298" s="21">
        <v>16.5</v>
      </c>
      <c r="F298" s="21">
        <v>571.37</v>
      </c>
      <c r="G298" s="21">
        <v>346.28</v>
      </c>
    </row>
    <row r="299" spans="1:7" ht="15" customHeight="1" x14ac:dyDescent="0.3">
      <c r="A299" s="21" t="s">
        <v>93</v>
      </c>
      <c r="B299" s="21" t="s">
        <v>87</v>
      </c>
      <c r="C299" s="21" t="s">
        <v>252</v>
      </c>
      <c r="D299" s="21">
        <v>1.18</v>
      </c>
      <c r="E299" s="21">
        <v>11.3</v>
      </c>
      <c r="F299" s="21">
        <v>391.25</v>
      </c>
      <c r="G299" s="21">
        <v>346.24</v>
      </c>
    </row>
    <row r="300" spans="1:7" ht="15" customHeight="1" x14ac:dyDescent="0.3">
      <c r="A300" s="21" t="s">
        <v>93</v>
      </c>
      <c r="B300" s="21" t="s">
        <v>87</v>
      </c>
      <c r="C300" s="21" t="s">
        <v>267</v>
      </c>
      <c r="D300" s="21">
        <v>1.08</v>
      </c>
      <c r="E300" s="21">
        <v>10.3</v>
      </c>
      <c r="F300" s="21">
        <v>356.73</v>
      </c>
      <c r="G300" s="21">
        <v>346.34</v>
      </c>
    </row>
    <row r="301" spans="1:7" ht="15" customHeight="1" x14ac:dyDescent="0.3">
      <c r="A301" s="21" t="s">
        <v>93</v>
      </c>
      <c r="B301" s="21" t="s">
        <v>87</v>
      </c>
      <c r="C301" s="21" t="s">
        <v>256</v>
      </c>
      <c r="D301" s="21">
        <v>0.94</v>
      </c>
      <c r="E301" s="21">
        <v>8.93</v>
      </c>
      <c r="F301" s="21">
        <v>309.22000000000003</v>
      </c>
      <c r="G301" s="21">
        <v>346.27</v>
      </c>
    </row>
    <row r="302" spans="1:7" ht="15" customHeight="1" x14ac:dyDescent="0.3">
      <c r="A302" s="21" t="s">
        <v>93</v>
      </c>
      <c r="B302" s="21" t="s">
        <v>87</v>
      </c>
      <c r="C302" s="21" t="s">
        <v>271</v>
      </c>
      <c r="D302" s="21">
        <v>0.83</v>
      </c>
      <c r="E302" s="21">
        <v>7.96</v>
      </c>
      <c r="F302" s="21">
        <v>275.66000000000003</v>
      </c>
      <c r="G302" s="21">
        <v>346.31</v>
      </c>
    </row>
    <row r="303" spans="1:7" ht="15" customHeight="1" x14ac:dyDescent="0.3">
      <c r="A303" s="21" t="s">
        <v>93</v>
      </c>
      <c r="B303" s="21" t="s">
        <v>87</v>
      </c>
      <c r="C303" s="21" t="s">
        <v>264</v>
      </c>
      <c r="D303" s="21">
        <v>0.56000000000000005</v>
      </c>
      <c r="E303" s="21">
        <v>5.32</v>
      </c>
      <c r="F303" s="21">
        <v>184.16</v>
      </c>
      <c r="G303" s="21">
        <v>346.17</v>
      </c>
    </row>
    <row r="304" spans="1:7" ht="15" customHeight="1" x14ac:dyDescent="0.3">
      <c r="A304" s="21" t="s">
        <v>93</v>
      </c>
      <c r="B304" s="21" t="s">
        <v>87</v>
      </c>
      <c r="C304" s="21" t="s">
        <v>261</v>
      </c>
      <c r="D304" s="21">
        <v>0.47</v>
      </c>
      <c r="E304" s="21">
        <v>4.49</v>
      </c>
      <c r="F304" s="21">
        <v>155.66</v>
      </c>
      <c r="G304" s="21">
        <v>346.68</v>
      </c>
    </row>
    <row r="305" spans="1:7" ht="15" customHeight="1" x14ac:dyDescent="0.3">
      <c r="A305" s="21" t="s">
        <v>93</v>
      </c>
      <c r="B305" s="21" t="s">
        <v>87</v>
      </c>
      <c r="C305" s="21" t="s">
        <v>273</v>
      </c>
      <c r="D305" s="21">
        <v>0.26</v>
      </c>
      <c r="E305" s="21">
        <v>2.46</v>
      </c>
      <c r="F305" s="21">
        <v>85.03</v>
      </c>
      <c r="G305" s="21">
        <v>345.65</v>
      </c>
    </row>
    <row r="306" spans="1:7" ht="15" customHeight="1" x14ac:dyDescent="0.3">
      <c r="A306" s="21" t="s">
        <v>93</v>
      </c>
      <c r="B306" s="21" t="s">
        <v>87</v>
      </c>
      <c r="C306" s="21" t="s">
        <v>274</v>
      </c>
      <c r="D306" s="21">
        <v>0.19</v>
      </c>
      <c r="E306" s="21">
        <v>1.83</v>
      </c>
      <c r="F306" s="21">
        <v>63.39</v>
      </c>
      <c r="G306" s="21">
        <v>346.39</v>
      </c>
    </row>
    <row r="307" spans="1:7" ht="15" customHeight="1" x14ac:dyDescent="0.3">
      <c r="A307" s="21" t="s">
        <v>93</v>
      </c>
      <c r="B307" s="21" t="s">
        <v>87</v>
      </c>
      <c r="C307" s="21" t="s">
        <v>272</v>
      </c>
      <c r="D307" s="21">
        <v>0.16</v>
      </c>
      <c r="E307" s="21">
        <v>1.5</v>
      </c>
      <c r="F307" s="21">
        <v>51.92</v>
      </c>
      <c r="G307" s="21">
        <v>346.13</v>
      </c>
    </row>
    <row r="308" spans="1:7" ht="15" customHeight="1" x14ac:dyDescent="0.3">
      <c r="A308" s="21" t="s">
        <v>93</v>
      </c>
      <c r="B308" s="21" t="s">
        <v>87</v>
      </c>
      <c r="C308" s="21" t="s">
        <v>276</v>
      </c>
      <c r="D308" s="21">
        <v>0.12</v>
      </c>
      <c r="E308" s="21">
        <v>1.17</v>
      </c>
      <c r="F308" s="21">
        <v>40.659999999999997</v>
      </c>
      <c r="G308" s="21">
        <v>347.52</v>
      </c>
    </row>
    <row r="309" spans="1:7" ht="15" customHeight="1" x14ac:dyDescent="0.3">
      <c r="A309" s="21" t="s">
        <v>93</v>
      </c>
      <c r="B309" s="21" t="s">
        <v>87</v>
      </c>
      <c r="C309" s="21" t="s">
        <v>251</v>
      </c>
      <c r="D309" s="21">
        <v>0.1</v>
      </c>
      <c r="E309" s="21">
        <v>0.94</v>
      </c>
      <c r="F309" s="21">
        <v>32.67</v>
      </c>
      <c r="G309" s="21">
        <v>347.55</v>
      </c>
    </row>
    <row r="310" spans="1:7" ht="15" customHeight="1" x14ac:dyDescent="0.3">
      <c r="A310" s="21" t="s">
        <v>93</v>
      </c>
      <c r="B310" s="21" t="s">
        <v>87</v>
      </c>
      <c r="C310" s="21" t="s">
        <v>275</v>
      </c>
      <c r="D310" s="21">
        <v>0.08</v>
      </c>
      <c r="E310" s="21">
        <v>0.76</v>
      </c>
      <c r="F310" s="21">
        <v>26.4</v>
      </c>
      <c r="G310" s="21">
        <v>347.37</v>
      </c>
    </row>
    <row r="311" spans="1:7" ht="15" customHeight="1" x14ac:dyDescent="0.3">
      <c r="A311" s="21" t="s">
        <v>93</v>
      </c>
      <c r="B311" s="21" t="s">
        <v>87</v>
      </c>
      <c r="C311" s="21" t="s">
        <v>278</v>
      </c>
      <c r="D311" s="21">
        <v>7.0000000000000007E-2</v>
      </c>
      <c r="E311" s="21">
        <v>0.64</v>
      </c>
      <c r="F311" s="21">
        <v>22.33</v>
      </c>
      <c r="G311" s="21">
        <v>348.91</v>
      </c>
    </row>
    <row r="312" spans="1:7" ht="15" customHeight="1" x14ac:dyDescent="0.3">
      <c r="A312" s="21" t="s">
        <v>93</v>
      </c>
      <c r="B312" s="21" t="s">
        <v>87</v>
      </c>
      <c r="C312" s="21" t="s">
        <v>254</v>
      </c>
      <c r="D312" s="21">
        <v>0.35</v>
      </c>
      <c r="E312" s="21">
        <v>3.37</v>
      </c>
      <c r="F312" s="21">
        <v>116.8</v>
      </c>
      <c r="G312" s="21">
        <v>346.59</v>
      </c>
    </row>
    <row r="313" spans="1:7" ht="15" customHeight="1" x14ac:dyDescent="0.3">
      <c r="A313" s="21" t="s">
        <v>93</v>
      </c>
      <c r="B313" s="21" t="s">
        <v>87</v>
      </c>
      <c r="C313" s="21" t="s">
        <v>277</v>
      </c>
      <c r="D313" s="21">
        <v>0.26</v>
      </c>
      <c r="E313" s="21">
        <v>2.48</v>
      </c>
      <c r="F313" s="21">
        <v>85.74</v>
      </c>
      <c r="G313" s="21">
        <v>345.73</v>
      </c>
    </row>
    <row r="314" spans="1:7" ht="15" customHeight="1" x14ac:dyDescent="0.3">
      <c r="A314" s="21" t="s">
        <v>93</v>
      </c>
      <c r="B314" s="21" t="s">
        <v>87</v>
      </c>
      <c r="C314" s="21" t="s">
        <v>266</v>
      </c>
      <c r="D314" s="21">
        <v>0.41</v>
      </c>
      <c r="E314" s="21">
        <v>3.95</v>
      </c>
      <c r="F314" s="21">
        <v>136.63999999999999</v>
      </c>
      <c r="G314" s="21">
        <v>345.92</v>
      </c>
    </row>
    <row r="315" spans="1:7" ht="15" customHeight="1" x14ac:dyDescent="0.3">
      <c r="A315" s="21" t="s">
        <v>93</v>
      </c>
      <c r="B315" s="21" t="s">
        <v>87</v>
      </c>
      <c r="C315" s="21" t="s">
        <v>269</v>
      </c>
      <c r="D315" s="21">
        <v>0.03</v>
      </c>
      <c r="E315" s="21">
        <v>0.28999999999999998</v>
      </c>
      <c r="F315" s="21">
        <v>10.06</v>
      </c>
      <c r="G315" s="21">
        <v>346.9</v>
      </c>
    </row>
    <row r="316" spans="1:7" ht="15" customHeight="1" x14ac:dyDescent="0.3">
      <c r="A316" s="21" t="s">
        <v>93</v>
      </c>
      <c r="B316" s="21" t="s">
        <v>87</v>
      </c>
      <c r="C316" s="21" t="s">
        <v>249</v>
      </c>
      <c r="D316" s="21">
        <v>0.05</v>
      </c>
      <c r="E316" s="21">
        <v>0.5</v>
      </c>
      <c r="F316" s="21">
        <v>17.29</v>
      </c>
      <c r="G316" s="21">
        <v>345.8</v>
      </c>
    </row>
    <row r="317" spans="1:7" ht="15" customHeight="1" x14ac:dyDescent="0.3">
      <c r="A317" s="21" t="s">
        <v>93</v>
      </c>
      <c r="B317" s="21" t="s">
        <v>87</v>
      </c>
      <c r="C317" s="21" t="s">
        <v>258</v>
      </c>
      <c r="D317" s="21">
        <v>0.06</v>
      </c>
      <c r="E317" s="21">
        <v>0.56000000000000005</v>
      </c>
      <c r="F317" s="21">
        <v>19.41</v>
      </c>
      <c r="G317" s="21">
        <v>346.61</v>
      </c>
    </row>
    <row r="318" spans="1:7" ht="15" customHeight="1" x14ac:dyDescent="0.3">
      <c r="A318" s="21" t="s">
        <v>93</v>
      </c>
      <c r="B318" s="21" t="s">
        <v>87</v>
      </c>
      <c r="C318" s="21" t="s">
        <v>270</v>
      </c>
      <c r="D318" s="21">
        <v>0.01</v>
      </c>
      <c r="E318" s="21">
        <v>0.1</v>
      </c>
      <c r="F318" s="21">
        <v>3.42</v>
      </c>
      <c r="G318" s="21">
        <v>342</v>
      </c>
    </row>
    <row r="319" spans="1:7" ht="15" customHeight="1" x14ac:dyDescent="0.3">
      <c r="A319" s="21" t="s">
        <v>93</v>
      </c>
      <c r="B319" s="21" t="s">
        <v>92</v>
      </c>
      <c r="C319" s="21" t="s">
        <v>243</v>
      </c>
      <c r="D319" s="21">
        <v>18.82</v>
      </c>
      <c r="E319" s="21">
        <v>306.44</v>
      </c>
      <c r="F319" s="21">
        <v>10614.53</v>
      </c>
      <c r="G319" s="21">
        <v>346.38</v>
      </c>
    </row>
    <row r="320" spans="1:7" ht="15" customHeight="1" x14ac:dyDescent="0.3">
      <c r="A320" s="21" t="s">
        <v>93</v>
      </c>
      <c r="B320" s="21" t="s">
        <v>92</v>
      </c>
      <c r="C320" s="21" t="s">
        <v>244</v>
      </c>
      <c r="D320" s="21">
        <v>12.73</v>
      </c>
      <c r="E320" s="21">
        <v>207.31</v>
      </c>
      <c r="F320" s="21">
        <v>7180.77</v>
      </c>
      <c r="G320" s="21">
        <v>346.38</v>
      </c>
    </row>
    <row r="321" spans="1:7" ht="15" customHeight="1" x14ac:dyDescent="0.3">
      <c r="A321" s="21" t="s">
        <v>93</v>
      </c>
      <c r="B321" s="21" t="s">
        <v>92</v>
      </c>
      <c r="C321" s="21" t="s">
        <v>245</v>
      </c>
      <c r="D321" s="21">
        <v>8.36</v>
      </c>
      <c r="E321" s="21">
        <v>136.13</v>
      </c>
      <c r="F321" s="21">
        <v>4715.25</v>
      </c>
      <c r="G321" s="21">
        <v>346.38</v>
      </c>
    </row>
    <row r="322" spans="1:7" ht="15" customHeight="1" x14ac:dyDescent="0.3">
      <c r="A322" s="21" t="s">
        <v>93</v>
      </c>
      <c r="B322" s="21" t="s">
        <v>92</v>
      </c>
      <c r="C322" s="21" t="s">
        <v>246</v>
      </c>
      <c r="D322" s="21">
        <v>6.84</v>
      </c>
      <c r="E322" s="21">
        <v>111.33</v>
      </c>
      <c r="F322" s="21">
        <v>3856.22</v>
      </c>
      <c r="G322" s="21">
        <v>346.38</v>
      </c>
    </row>
    <row r="323" spans="1:7" ht="15" customHeight="1" x14ac:dyDescent="0.3">
      <c r="A323" s="21" t="s">
        <v>93</v>
      </c>
      <c r="B323" s="21" t="s">
        <v>92</v>
      </c>
      <c r="C323" s="21" t="s">
        <v>247</v>
      </c>
      <c r="D323" s="21">
        <v>6.56</v>
      </c>
      <c r="E323" s="21">
        <v>106.79</v>
      </c>
      <c r="F323" s="21">
        <v>3698.83</v>
      </c>
      <c r="G323" s="21">
        <v>346.36</v>
      </c>
    </row>
    <row r="324" spans="1:7" ht="15" customHeight="1" x14ac:dyDescent="0.3">
      <c r="A324" s="21" t="s">
        <v>93</v>
      </c>
      <c r="B324" s="21" t="s">
        <v>92</v>
      </c>
      <c r="C324" s="21" t="s">
        <v>248</v>
      </c>
      <c r="D324" s="21">
        <v>5.93</v>
      </c>
      <c r="E324" s="21">
        <v>96.6</v>
      </c>
      <c r="F324" s="21">
        <v>3346.13</v>
      </c>
      <c r="G324" s="21">
        <v>346.39</v>
      </c>
    </row>
    <row r="325" spans="1:7" ht="15" customHeight="1" x14ac:dyDescent="0.3">
      <c r="A325" s="21" t="s">
        <v>93</v>
      </c>
      <c r="B325" s="21" t="s">
        <v>92</v>
      </c>
      <c r="C325" s="21" t="s">
        <v>255</v>
      </c>
      <c r="D325" s="21">
        <v>5.55</v>
      </c>
      <c r="E325" s="21">
        <v>90.42</v>
      </c>
      <c r="F325" s="21">
        <v>3131.89</v>
      </c>
      <c r="G325" s="21">
        <v>346.37</v>
      </c>
    </row>
    <row r="326" spans="1:7" ht="15" customHeight="1" x14ac:dyDescent="0.3">
      <c r="A326" s="21" t="s">
        <v>93</v>
      </c>
      <c r="B326" s="21" t="s">
        <v>92</v>
      </c>
      <c r="C326" s="21" t="s">
        <v>257</v>
      </c>
      <c r="D326" s="21">
        <v>4.5599999999999996</v>
      </c>
      <c r="E326" s="21">
        <v>74.16</v>
      </c>
      <c r="F326" s="21">
        <v>2568.9</v>
      </c>
      <c r="G326" s="21">
        <v>346.4</v>
      </c>
    </row>
    <row r="327" spans="1:7" ht="15" customHeight="1" x14ac:dyDescent="0.3">
      <c r="A327" s="21" t="s">
        <v>93</v>
      </c>
      <c r="B327" s="21" t="s">
        <v>92</v>
      </c>
      <c r="C327" s="21" t="s">
        <v>259</v>
      </c>
      <c r="D327" s="21">
        <v>4.24</v>
      </c>
      <c r="E327" s="21">
        <v>69.09</v>
      </c>
      <c r="F327" s="21">
        <v>2392.9899999999998</v>
      </c>
      <c r="G327" s="21">
        <v>346.36</v>
      </c>
    </row>
    <row r="328" spans="1:7" ht="15" customHeight="1" x14ac:dyDescent="0.3">
      <c r="A328" s="21" t="s">
        <v>93</v>
      </c>
      <c r="B328" s="21" t="s">
        <v>92</v>
      </c>
      <c r="C328" s="21" t="s">
        <v>260</v>
      </c>
      <c r="D328" s="21">
        <v>4.08</v>
      </c>
      <c r="E328" s="21">
        <v>66.39</v>
      </c>
      <c r="F328" s="21">
        <v>2299.64</v>
      </c>
      <c r="G328" s="21">
        <v>346.38</v>
      </c>
    </row>
    <row r="329" spans="1:7" ht="15" customHeight="1" x14ac:dyDescent="0.3">
      <c r="A329" s="21" t="s">
        <v>93</v>
      </c>
      <c r="B329" s="21" t="s">
        <v>92</v>
      </c>
      <c r="C329" s="21" t="s">
        <v>262</v>
      </c>
      <c r="D329" s="21">
        <v>3.58</v>
      </c>
      <c r="E329" s="21">
        <v>58.26</v>
      </c>
      <c r="F329" s="21">
        <v>2018.07</v>
      </c>
      <c r="G329" s="21">
        <v>346.39</v>
      </c>
    </row>
    <row r="330" spans="1:7" ht="15" customHeight="1" x14ac:dyDescent="0.3">
      <c r="A330" s="21" t="s">
        <v>93</v>
      </c>
      <c r="B330" s="21" t="s">
        <v>92</v>
      </c>
      <c r="C330" s="21" t="s">
        <v>250</v>
      </c>
      <c r="D330" s="21">
        <v>3.35</v>
      </c>
      <c r="E330" s="21">
        <v>54.61</v>
      </c>
      <c r="F330" s="21">
        <v>1891.41</v>
      </c>
      <c r="G330" s="21">
        <v>346.35</v>
      </c>
    </row>
    <row r="331" spans="1:7" ht="15" customHeight="1" x14ac:dyDescent="0.3">
      <c r="A331" s="21" t="s">
        <v>93</v>
      </c>
      <c r="B331" s="21" t="s">
        <v>92</v>
      </c>
      <c r="C331" s="21" t="s">
        <v>263</v>
      </c>
      <c r="D331" s="21">
        <v>2.77</v>
      </c>
      <c r="E331" s="21">
        <v>45.05</v>
      </c>
      <c r="F331" s="21">
        <v>1560.32</v>
      </c>
      <c r="G331" s="21">
        <v>346.35</v>
      </c>
    </row>
    <row r="332" spans="1:7" ht="15" customHeight="1" x14ac:dyDescent="0.3">
      <c r="A332" s="21" t="s">
        <v>93</v>
      </c>
      <c r="B332" s="21" t="s">
        <v>92</v>
      </c>
      <c r="C332" s="21" t="s">
        <v>265</v>
      </c>
      <c r="D332" s="21">
        <v>2.59</v>
      </c>
      <c r="E332" s="21">
        <v>42.23</v>
      </c>
      <c r="F332" s="21">
        <v>1462.71</v>
      </c>
      <c r="G332" s="21">
        <v>346.37</v>
      </c>
    </row>
    <row r="333" spans="1:7" ht="15" customHeight="1" x14ac:dyDescent="0.3">
      <c r="A333" s="21" t="s">
        <v>93</v>
      </c>
      <c r="B333" s="21" t="s">
        <v>92</v>
      </c>
      <c r="C333" s="21" t="s">
        <v>253</v>
      </c>
      <c r="D333" s="21">
        <v>2.23</v>
      </c>
      <c r="E333" s="21">
        <v>36.32</v>
      </c>
      <c r="F333" s="21">
        <v>1257.99</v>
      </c>
      <c r="G333" s="21">
        <v>346.36</v>
      </c>
    </row>
    <row r="334" spans="1:7" ht="15" customHeight="1" x14ac:dyDescent="0.3">
      <c r="A334" s="21" t="s">
        <v>93</v>
      </c>
      <c r="B334" s="21" t="s">
        <v>92</v>
      </c>
      <c r="C334" s="21" t="s">
        <v>268</v>
      </c>
      <c r="D334" s="21">
        <v>1.71</v>
      </c>
      <c r="E334" s="21">
        <v>27.91</v>
      </c>
      <c r="F334" s="21">
        <v>966.83</v>
      </c>
      <c r="G334" s="21">
        <v>346.41</v>
      </c>
    </row>
    <row r="335" spans="1:7" ht="15" customHeight="1" x14ac:dyDescent="0.3">
      <c r="A335" s="21" t="s">
        <v>93</v>
      </c>
      <c r="B335" s="21" t="s">
        <v>92</v>
      </c>
      <c r="C335" s="21" t="s">
        <v>252</v>
      </c>
      <c r="D335" s="21">
        <v>1.22</v>
      </c>
      <c r="E335" s="21">
        <v>19.850000000000001</v>
      </c>
      <c r="F335" s="21">
        <v>687.51</v>
      </c>
      <c r="G335" s="21">
        <v>346.35</v>
      </c>
    </row>
    <row r="336" spans="1:7" ht="15" customHeight="1" x14ac:dyDescent="0.3">
      <c r="A336" s="21" t="s">
        <v>93</v>
      </c>
      <c r="B336" s="21" t="s">
        <v>92</v>
      </c>
      <c r="C336" s="21" t="s">
        <v>267</v>
      </c>
      <c r="D336" s="21">
        <v>0.95</v>
      </c>
      <c r="E336" s="21">
        <v>15.47</v>
      </c>
      <c r="F336" s="21">
        <v>535.98</v>
      </c>
      <c r="G336" s="21">
        <v>346.46</v>
      </c>
    </row>
    <row r="337" spans="1:7" ht="15" customHeight="1" x14ac:dyDescent="0.3">
      <c r="A337" s="21" t="s">
        <v>93</v>
      </c>
      <c r="B337" s="21" t="s">
        <v>92</v>
      </c>
      <c r="C337" s="21" t="s">
        <v>256</v>
      </c>
      <c r="D337" s="21">
        <v>0.87</v>
      </c>
      <c r="E337" s="21">
        <v>14.19</v>
      </c>
      <c r="F337" s="21">
        <v>491.49</v>
      </c>
      <c r="G337" s="21">
        <v>346.36</v>
      </c>
    </row>
    <row r="338" spans="1:7" ht="15" customHeight="1" x14ac:dyDescent="0.3">
      <c r="A338" s="21" t="s">
        <v>93</v>
      </c>
      <c r="B338" s="21" t="s">
        <v>92</v>
      </c>
      <c r="C338" s="21" t="s">
        <v>271</v>
      </c>
      <c r="D338" s="21">
        <v>0.81</v>
      </c>
      <c r="E338" s="21">
        <v>13.15</v>
      </c>
      <c r="F338" s="21">
        <v>455.42</v>
      </c>
      <c r="G338" s="21">
        <v>346.33</v>
      </c>
    </row>
    <row r="339" spans="1:7" ht="15" customHeight="1" x14ac:dyDescent="0.3">
      <c r="A339" s="21" t="s">
        <v>93</v>
      </c>
      <c r="B339" s="21" t="s">
        <v>92</v>
      </c>
      <c r="C339" s="21" t="s">
        <v>264</v>
      </c>
      <c r="D339" s="21">
        <v>0.61</v>
      </c>
      <c r="E339" s="21">
        <v>9.91</v>
      </c>
      <c r="F339" s="21">
        <v>343.39</v>
      </c>
      <c r="G339" s="21">
        <v>346.51</v>
      </c>
    </row>
    <row r="340" spans="1:7" ht="15" customHeight="1" x14ac:dyDescent="0.3">
      <c r="A340" s="21" t="s">
        <v>93</v>
      </c>
      <c r="B340" s="21" t="s">
        <v>92</v>
      </c>
      <c r="C340" s="21" t="s">
        <v>261</v>
      </c>
      <c r="D340" s="21">
        <v>0.47</v>
      </c>
      <c r="E340" s="21">
        <v>7.66</v>
      </c>
      <c r="F340" s="21">
        <v>265.2</v>
      </c>
      <c r="G340" s="21">
        <v>346.21</v>
      </c>
    </row>
    <row r="341" spans="1:7" ht="15" customHeight="1" x14ac:dyDescent="0.3">
      <c r="A341" s="21" t="s">
        <v>93</v>
      </c>
      <c r="B341" s="21" t="s">
        <v>92</v>
      </c>
      <c r="C341" s="21" t="s">
        <v>273</v>
      </c>
      <c r="D341" s="21">
        <v>0.32</v>
      </c>
      <c r="E341" s="21">
        <v>5.14</v>
      </c>
      <c r="F341" s="21">
        <v>178.1</v>
      </c>
      <c r="G341" s="21">
        <v>346.5</v>
      </c>
    </row>
    <row r="342" spans="1:7" ht="15" customHeight="1" x14ac:dyDescent="0.3">
      <c r="A342" s="21" t="s">
        <v>93</v>
      </c>
      <c r="B342" s="21" t="s">
        <v>92</v>
      </c>
      <c r="C342" s="21" t="s">
        <v>274</v>
      </c>
      <c r="D342" s="21">
        <v>0.21</v>
      </c>
      <c r="E342" s="21">
        <v>3.35</v>
      </c>
      <c r="F342" s="21">
        <v>116.01</v>
      </c>
      <c r="G342" s="21">
        <v>346.3</v>
      </c>
    </row>
    <row r="343" spans="1:7" ht="15" customHeight="1" x14ac:dyDescent="0.3">
      <c r="A343" s="21" t="s">
        <v>93</v>
      </c>
      <c r="B343" s="21" t="s">
        <v>92</v>
      </c>
      <c r="C343" s="21" t="s">
        <v>272</v>
      </c>
      <c r="D343" s="21">
        <v>0.14000000000000001</v>
      </c>
      <c r="E343" s="21">
        <v>2.36</v>
      </c>
      <c r="F343" s="21">
        <v>81.61</v>
      </c>
      <c r="G343" s="21">
        <v>345.81</v>
      </c>
    </row>
    <row r="344" spans="1:7" ht="15" customHeight="1" x14ac:dyDescent="0.3">
      <c r="A344" s="21" t="s">
        <v>93</v>
      </c>
      <c r="B344" s="21" t="s">
        <v>92</v>
      </c>
      <c r="C344" s="21" t="s">
        <v>276</v>
      </c>
      <c r="D344" s="21">
        <v>0.11</v>
      </c>
      <c r="E344" s="21">
        <v>1.8</v>
      </c>
      <c r="F344" s="21">
        <v>62.47</v>
      </c>
      <c r="G344" s="21">
        <v>347.06</v>
      </c>
    </row>
    <row r="345" spans="1:7" ht="15" customHeight="1" x14ac:dyDescent="0.3">
      <c r="A345" s="21" t="s">
        <v>93</v>
      </c>
      <c r="B345" s="21" t="s">
        <v>92</v>
      </c>
      <c r="C345" s="21" t="s">
        <v>251</v>
      </c>
      <c r="D345" s="21">
        <v>0.1</v>
      </c>
      <c r="E345" s="21">
        <v>1.62</v>
      </c>
      <c r="F345" s="21">
        <v>55.99</v>
      </c>
      <c r="G345" s="21">
        <v>345.62</v>
      </c>
    </row>
    <row r="346" spans="1:7" ht="15" customHeight="1" x14ac:dyDescent="0.3">
      <c r="A346" s="21" t="s">
        <v>93</v>
      </c>
      <c r="B346" s="21" t="s">
        <v>92</v>
      </c>
      <c r="C346" s="21" t="s">
        <v>275</v>
      </c>
      <c r="D346" s="21">
        <v>0.08</v>
      </c>
      <c r="E346" s="21">
        <v>1.27</v>
      </c>
      <c r="F346" s="21">
        <v>44.11</v>
      </c>
      <c r="G346" s="21">
        <v>347.32</v>
      </c>
    </row>
    <row r="347" spans="1:7" ht="15" customHeight="1" x14ac:dyDescent="0.3">
      <c r="A347" s="21" t="s">
        <v>93</v>
      </c>
      <c r="B347" s="21" t="s">
        <v>92</v>
      </c>
      <c r="C347" s="21" t="s">
        <v>278</v>
      </c>
      <c r="D347" s="21">
        <v>7.0000000000000007E-2</v>
      </c>
      <c r="E347" s="21">
        <v>1.1499999999999999</v>
      </c>
      <c r="F347" s="21">
        <v>39.700000000000003</v>
      </c>
      <c r="G347" s="21">
        <v>345.22</v>
      </c>
    </row>
    <row r="348" spans="1:7" ht="15" customHeight="1" x14ac:dyDescent="0.3">
      <c r="A348" s="21" t="s">
        <v>93</v>
      </c>
      <c r="B348" s="21" t="s">
        <v>92</v>
      </c>
      <c r="C348" s="21" t="s">
        <v>254</v>
      </c>
      <c r="D348" s="21">
        <v>0.34</v>
      </c>
      <c r="E348" s="21">
        <v>5.59</v>
      </c>
      <c r="F348" s="21">
        <v>193.8</v>
      </c>
      <c r="G348" s="21">
        <v>346.69</v>
      </c>
    </row>
    <row r="349" spans="1:7" ht="15" customHeight="1" x14ac:dyDescent="0.3">
      <c r="A349" s="21" t="s">
        <v>93</v>
      </c>
      <c r="B349" s="21" t="s">
        <v>92</v>
      </c>
      <c r="C349" s="21" t="s">
        <v>277</v>
      </c>
      <c r="D349" s="21">
        <v>0.22</v>
      </c>
      <c r="E349" s="21">
        <v>3.66</v>
      </c>
      <c r="F349" s="21">
        <v>126.83</v>
      </c>
      <c r="G349" s="21">
        <v>346.53</v>
      </c>
    </row>
    <row r="350" spans="1:7" ht="15" customHeight="1" x14ac:dyDescent="0.3">
      <c r="A350" s="21" t="s">
        <v>93</v>
      </c>
      <c r="B350" s="21" t="s">
        <v>92</v>
      </c>
      <c r="C350" s="21" t="s">
        <v>266</v>
      </c>
      <c r="D350" s="21">
        <v>0.44</v>
      </c>
      <c r="E350" s="21">
        <v>7.18</v>
      </c>
      <c r="F350" s="21">
        <v>248.85</v>
      </c>
      <c r="G350" s="21">
        <v>346.59</v>
      </c>
    </row>
    <row r="351" spans="1:7" ht="15" customHeight="1" x14ac:dyDescent="0.3">
      <c r="A351" s="21" t="s">
        <v>93</v>
      </c>
      <c r="B351" s="21" t="s">
        <v>92</v>
      </c>
      <c r="C351" s="21" t="s">
        <v>269</v>
      </c>
      <c r="D351" s="21">
        <v>0.03</v>
      </c>
      <c r="E351" s="21">
        <v>0.48</v>
      </c>
      <c r="F351" s="21">
        <v>16.66</v>
      </c>
      <c r="G351" s="21">
        <v>347.08</v>
      </c>
    </row>
    <row r="352" spans="1:7" ht="15" customHeight="1" x14ac:dyDescent="0.3">
      <c r="A352" s="21" t="s">
        <v>93</v>
      </c>
      <c r="B352" s="21" t="s">
        <v>92</v>
      </c>
      <c r="C352" s="21" t="s">
        <v>249</v>
      </c>
      <c r="D352" s="21">
        <v>0.05</v>
      </c>
      <c r="E352" s="21">
        <v>0.84</v>
      </c>
      <c r="F352" s="21">
        <v>29.09</v>
      </c>
      <c r="G352" s="21">
        <v>346.31</v>
      </c>
    </row>
    <row r="353" spans="1:7" ht="15" customHeight="1" x14ac:dyDescent="0.3">
      <c r="A353" s="21" t="s">
        <v>93</v>
      </c>
      <c r="B353" s="21" t="s">
        <v>92</v>
      </c>
      <c r="C353" s="21" t="s">
        <v>258</v>
      </c>
      <c r="D353" s="21">
        <v>0.06</v>
      </c>
      <c r="E353" s="21">
        <v>0.94</v>
      </c>
      <c r="F353" s="21">
        <v>32.659999999999997</v>
      </c>
      <c r="G353" s="21">
        <v>347.45</v>
      </c>
    </row>
    <row r="354" spans="1:7" ht="15" customHeight="1" x14ac:dyDescent="0.3">
      <c r="A354" s="21" t="s">
        <v>93</v>
      </c>
      <c r="B354" s="21" t="s">
        <v>92</v>
      </c>
      <c r="C354" s="21" t="s">
        <v>270</v>
      </c>
      <c r="D354" s="21">
        <v>0.01</v>
      </c>
      <c r="E354" s="21">
        <v>0.18</v>
      </c>
      <c r="F354" s="21">
        <v>6.11</v>
      </c>
      <c r="G354" s="21">
        <v>339.44</v>
      </c>
    </row>
    <row r="355" spans="1:7" ht="15" customHeight="1" x14ac:dyDescent="0.3">
      <c r="A355" s="21" t="s">
        <v>93</v>
      </c>
      <c r="B355" s="21" t="s">
        <v>95</v>
      </c>
      <c r="C355" s="21" t="s">
        <v>243</v>
      </c>
      <c r="D355" s="21">
        <v>14.92</v>
      </c>
      <c r="E355" s="21">
        <v>320.31</v>
      </c>
      <c r="F355" s="21">
        <v>10919.83</v>
      </c>
      <c r="G355" s="21">
        <v>340.91</v>
      </c>
    </row>
    <row r="356" spans="1:7" ht="15" customHeight="1" x14ac:dyDescent="0.3">
      <c r="A356" s="21" t="s">
        <v>93</v>
      </c>
      <c r="B356" s="21" t="s">
        <v>95</v>
      </c>
      <c r="C356" s="21" t="s">
        <v>244</v>
      </c>
      <c r="D356" s="21">
        <v>13.64</v>
      </c>
      <c r="E356" s="21">
        <v>292.75</v>
      </c>
      <c r="F356" s="21">
        <v>9980.4500000000007</v>
      </c>
      <c r="G356" s="21">
        <v>340.92</v>
      </c>
    </row>
    <row r="357" spans="1:7" ht="15" customHeight="1" x14ac:dyDescent="0.3">
      <c r="A357" s="21" t="s">
        <v>93</v>
      </c>
      <c r="B357" s="21" t="s">
        <v>95</v>
      </c>
      <c r="C357" s="21" t="s">
        <v>245</v>
      </c>
      <c r="D357" s="21">
        <v>8.11</v>
      </c>
      <c r="E357" s="21">
        <v>174.03</v>
      </c>
      <c r="F357" s="21">
        <v>5933.05</v>
      </c>
      <c r="G357" s="21">
        <v>340.92</v>
      </c>
    </row>
    <row r="358" spans="1:7" ht="15" customHeight="1" x14ac:dyDescent="0.3">
      <c r="A358" s="21" t="s">
        <v>93</v>
      </c>
      <c r="B358" s="21" t="s">
        <v>95</v>
      </c>
      <c r="C358" s="21" t="s">
        <v>246</v>
      </c>
      <c r="D358" s="21">
        <v>7.41</v>
      </c>
      <c r="E358" s="21">
        <v>158.94</v>
      </c>
      <c r="F358" s="21">
        <v>5418.72</v>
      </c>
      <c r="G358" s="21">
        <v>340.93</v>
      </c>
    </row>
    <row r="359" spans="1:7" ht="15" customHeight="1" x14ac:dyDescent="0.3">
      <c r="A359" s="21" t="s">
        <v>93</v>
      </c>
      <c r="B359" s="21" t="s">
        <v>95</v>
      </c>
      <c r="C359" s="21" t="s">
        <v>247</v>
      </c>
      <c r="D359" s="21">
        <v>6.53</v>
      </c>
      <c r="E359" s="21">
        <v>140.07</v>
      </c>
      <c r="F359" s="21">
        <v>4775.3500000000004</v>
      </c>
      <c r="G359" s="21">
        <v>340.93</v>
      </c>
    </row>
    <row r="360" spans="1:7" ht="15" customHeight="1" x14ac:dyDescent="0.3">
      <c r="A360" s="21" t="s">
        <v>93</v>
      </c>
      <c r="B360" s="21" t="s">
        <v>95</v>
      </c>
      <c r="C360" s="21" t="s">
        <v>248</v>
      </c>
      <c r="D360" s="21">
        <v>6.13</v>
      </c>
      <c r="E360" s="21">
        <v>131.58000000000001</v>
      </c>
      <c r="F360" s="21">
        <v>4485.97</v>
      </c>
      <c r="G360" s="21">
        <v>340.93</v>
      </c>
    </row>
    <row r="361" spans="1:7" ht="15" customHeight="1" x14ac:dyDescent="0.3">
      <c r="A361" s="21" t="s">
        <v>93</v>
      </c>
      <c r="B361" s="21" t="s">
        <v>95</v>
      </c>
      <c r="C361" s="21" t="s">
        <v>255</v>
      </c>
      <c r="D361" s="21">
        <v>5.39</v>
      </c>
      <c r="E361" s="21">
        <v>115.77</v>
      </c>
      <c r="F361" s="21">
        <v>3946.68</v>
      </c>
      <c r="G361" s="21">
        <v>340.91</v>
      </c>
    </row>
    <row r="362" spans="1:7" ht="15" customHeight="1" x14ac:dyDescent="0.3">
      <c r="A362" s="21" t="s">
        <v>93</v>
      </c>
      <c r="B362" s="21" t="s">
        <v>95</v>
      </c>
      <c r="C362" s="21" t="s">
        <v>257</v>
      </c>
      <c r="D362" s="21">
        <v>4.54</v>
      </c>
      <c r="E362" s="21">
        <v>97.37</v>
      </c>
      <c r="F362" s="21">
        <v>3319.46</v>
      </c>
      <c r="G362" s="21">
        <v>340.91</v>
      </c>
    </row>
    <row r="363" spans="1:7" ht="15" customHeight="1" x14ac:dyDescent="0.3">
      <c r="A363" s="21" t="s">
        <v>93</v>
      </c>
      <c r="B363" s="21" t="s">
        <v>95</v>
      </c>
      <c r="C363" s="21" t="s">
        <v>259</v>
      </c>
      <c r="D363" s="21">
        <v>4.5</v>
      </c>
      <c r="E363" s="21">
        <v>96.55</v>
      </c>
      <c r="F363" s="21">
        <v>3291.64</v>
      </c>
      <c r="G363" s="21">
        <v>340.93</v>
      </c>
    </row>
    <row r="364" spans="1:7" ht="15" customHeight="1" x14ac:dyDescent="0.3">
      <c r="A364" s="21" t="s">
        <v>93</v>
      </c>
      <c r="B364" s="21" t="s">
        <v>95</v>
      </c>
      <c r="C364" s="21" t="s">
        <v>260</v>
      </c>
      <c r="D364" s="21">
        <v>3.78</v>
      </c>
      <c r="E364" s="21">
        <v>81.099999999999994</v>
      </c>
      <c r="F364" s="21">
        <v>2764.87</v>
      </c>
      <c r="G364" s="21">
        <v>340.92</v>
      </c>
    </row>
    <row r="365" spans="1:7" ht="15" customHeight="1" x14ac:dyDescent="0.3">
      <c r="A365" s="21" t="s">
        <v>93</v>
      </c>
      <c r="B365" s="21" t="s">
        <v>95</v>
      </c>
      <c r="C365" s="21" t="s">
        <v>262</v>
      </c>
      <c r="D365" s="21">
        <v>3.54</v>
      </c>
      <c r="E365" s="21">
        <v>75.959999999999994</v>
      </c>
      <c r="F365" s="21">
        <v>2589.5</v>
      </c>
      <c r="G365" s="21">
        <v>340.9</v>
      </c>
    </row>
    <row r="366" spans="1:7" ht="15" customHeight="1" x14ac:dyDescent="0.3">
      <c r="A366" s="21" t="s">
        <v>93</v>
      </c>
      <c r="B366" s="21" t="s">
        <v>95</v>
      </c>
      <c r="C366" s="21" t="s">
        <v>250</v>
      </c>
      <c r="D366" s="21">
        <v>3.4</v>
      </c>
      <c r="E366" s="21">
        <v>72.930000000000007</v>
      </c>
      <c r="F366" s="21">
        <v>2486.16</v>
      </c>
      <c r="G366" s="21">
        <v>340.9</v>
      </c>
    </row>
    <row r="367" spans="1:7" ht="15" customHeight="1" x14ac:dyDescent="0.3">
      <c r="A367" s="21" t="s">
        <v>93</v>
      </c>
      <c r="B367" s="21" t="s">
        <v>95</v>
      </c>
      <c r="C367" s="21" t="s">
        <v>263</v>
      </c>
      <c r="D367" s="21">
        <v>2.66</v>
      </c>
      <c r="E367" s="21">
        <v>57</v>
      </c>
      <c r="F367" s="21">
        <v>1943.18</v>
      </c>
      <c r="G367" s="21">
        <v>340.91</v>
      </c>
    </row>
    <row r="368" spans="1:7" ht="15" customHeight="1" x14ac:dyDescent="0.3">
      <c r="A368" s="21" t="s">
        <v>93</v>
      </c>
      <c r="B368" s="21" t="s">
        <v>95</v>
      </c>
      <c r="C368" s="21" t="s">
        <v>265</v>
      </c>
      <c r="D368" s="21">
        <v>2.57</v>
      </c>
      <c r="E368" s="21">
        <v>55.26</v>
      </c>
      <c r="F368" s="21">
        <v>1883.84</v>
      </c>
      <c r="G368" s="21">
        <v>340.9</v>
      </c>
    </row>
    <row r="369" spans="1:7" ht="15" customHeight="1" x14ac:dyDescent="0.3">
      <c r="A369" s="21" t="s">
        <v>93</v>
      </c>
      <c r="B369" s="21" t="s">
        <v>95</v>
      </c>
      <c r="C369" s="21" t="s">
        <v>253</v>
      </c>
      <c r="D369" s="21">
        <v>2.14</v>
      </c>
      <c r="E369" s="21">
        <v>45.83</v>
      </c>
      <c r="F369" s="21">
        <v>1562.37</v>
      </c>
      <c r="G369" s="21">
        <v>340.91</v>
      </c>
    </row>
    <row r="370" spans="1:7" ht="15" customHeight="1" x14ac:dyDescent="0.3">
      <c r="A370" s="21" t="s">
        <v>93</v>
      </c>
      <c r="B370" s="21" t="s">
        <v>95</v>
      </c>
      <c r="C370" s="21" t="s">
        <v>268</v>
      </c>
      <c r="D370" s="21">
        <v>1.79</v>
      </c>
      <c r="E370" s="21">
        <v>38.380000000000003</v>
      </c>
      <c r="F370" s="21">
        <v>1308.45</v>
      </c>
      <c r="G370" s="21">
        <v>340.92</v>
      </c>
    </row>
    <row r="371" spans="1:7" ht="15" customHeight="1" x14ac:dyDescent="0.3">
      <c r="A371" s="21" t="s">
        <v>93</v>
      </c>
      <c r="B371" s="21" t="s">
        <v>95</v>
      </c>
      <c r="C371" s="21" t="s">
        <v>252</v>
      </c>
      <c r="D371" s="21">
        <v>1.2</v>
      </c>
      <c r="E371" s="21">
        <v>25.85</v>
      </c>
      <c r="F371" s="21">
        <v>881.27</v>
      </c>
      <c r="G371" s="21">
        <v>340.92</v>
      </c>
    </row>
    <row r="372" spans="1:7" ht="15" customHeight="1" x14ac:dyDescent="0.3">
      <c r="A372" s="21" t="s">
        <v>93</v>
      </c>
      <c r="B372" s="21" t="s">
        <v>95</v>
      </c>
      <c r="C372" s="21" t="s">
        <v>267</v>
      </c>
      <c r="D372" s="21">
        <v>0.92</v>
      </c>
      <c r="E372" s="21">
        <v>19.850000000000001</v>
      </c>
      <c r="F372" s="21">
        <v>676.86</v>
      </c>
      <c r="G372" s="21">
        <v>340.99</v>
      </c>
    </row>
    <row r="373" spans="1:7" ht="15" customHeight="1" x14ac:dyDescent="0.3">
      <c r="A373" s="21" t="s">
        <v>93</v>
      </c>
      <c r="B373" s="21" t="s">
        <v>95</v>
      </c>
      <c r="C373" s="21" t="s">
        <v>256</v>
      </c>
      <c r="D373" s="21">
        <v>0.86</v>
      </c>
      <c r="E373" s="21">
        <v>18.57</v>
      </c>
      <c r="F373" s="21">
        <v>632.92999999999995</v>
      </c>
      <c r="G373" s="21">
        <v>340.83</v>
      </c>
    </row>
    <row r="374" spans="1:7" ht="15" customHeight="1" x14ac:dyDescent="0.3">
      <c r="A374" s="21" t="s">
        <v>93</v>
      </c>
      <c r="B374" s="21" t="s">
        <v>95</v>
      </c>
      <c r="C374" s="21" t="s">
        <v>271</v>
      </c>
      <c r="D374" s="21">
        <v>0.85</v>
      </c>
      <c r="E374" s="21">
        <v>18.329999999999998</v>
      </c>
      <c r="F374" s="21">
        <v>624.95000000000005</v>
      </c>
      <c r="G374" s="21">
        <v>340.94</v>
      </c>
    </row>
    <row r="375" spans="1:7" ht="15" customHeight="1" x14ac:dyDescent="0.3">
      <c r="A375" s="21" t="s">
        <v>93</v>
      </c>
      <c r="B375" s="21" t="s">
        <v>95</v>
      </c>
      <c r="C375" s="21" t="s">
        <v>264</v>
      </c>
      <c r="D375" s="21">
        <v>0.63</v>
      </c>
      <c r="E375" s="21">
        <v>13.45</v>
      </c>
      <c r="F375" s="21">
        <v>458.5</v>
      </c>
      <c r="G375" s="21">
        <v>340.89</v>
      </c>
    </row>
    <row r="376" spans="1:7" ht="15" customHeight="1" x14ac:dyDescent="0.3">
      <c r="A376" s="21" t="s">
        <v>93</v>
      </c>
      <c r="B376" s="21" t="s">
        <v>95</v>
      </c>
      <c r="C376" s="21" t="s">
        <v>261</v>
      </c>
      <c r="D376" s="21">
        <v>0.5</v>
      </c>
      <c r="E376" s="21">
        <v>10.7</v>
      </c>
      <c r="F376" s="21">
        <v>364.73</v>
      </c>
      <c r="G376" s="21">
        <v>340.87</v>
      </c>
    </row>
    <row r="377" spans="1:7" ht="15" customHeight="1" x14ac:dyDescent="0.3">
      <c r="A377" s="21" t="s">
        <v>93</v>
      </c>
      <c r="B377" s="21" t="s">
        <v>95</v>
      </c>
      <c r="C377" s="21" t="s">
        <v>273</v>
      </c>
      <c r="D377" s="21">
        <v>0.3</v>
      </c>
      <c r="E377" s="21">
        <v>6.52</v>
      </c>
      <c r="F377" s="21">
        <v>222.19</v>
      </c>
      <c r="G377" s="21">
        <v>340.78</v>
      </c>
    </row>
    <row r="378" spans="1:7" ht="15" customHeight="1" x14ac:dyDescent="0.3">
      <c r="A378" s="21" t="s">
        <v>93</v>
      </c>
      <c r="B378" s="21" t="s">
        <v>95</v>
      </c>
      <c r="C378" s="21" t="s">
        <v>274</v>
      </c>
      <c r="D378" s="21">
        <v>0.2</v>
      </c>
      <c r="E378" s="21">
        <v>4.2300000000000004</v>
      </c>
      <c r="F378" s="21">
        <v>144.19999999999999</v>
      </c>
      <c r="G378" s="21">
        <v>340.9</v>
      </c>
    </row>
    <row r="379" spans="1:7" ht="15" customHeight="1" x14ac:dyDescent="0.3">
      <c r="A379" s="21" t="s">
        <v>93</v>
      </c>
      <c r="B379" s="21" t="s">
        <v>95</v>
      </c>
      <c r="C379" s="21" t="s">
        <v>272</v>
      </c>
      <c r="D379" s="21">
        <v>0.16</v>
      </c>
      <c r="E379" s="21">
        <v>3.44</v>
      </c>
      <c r="F379" s="21">
        <v>117.21</v>
      </c>
      <c r="G379" s="21">
        <v>340.73</v>
      </c>
    </row>
    <row r="380" spans="1:7" ht="15" customHeight="1" x14ac:dyDescent="0.3">
      <c r="A380" s="21" t="s">
        <v>93</v>
      </c>
      <c r="B380" s="21" t="s">
        <v>95</v>
      </c>
      <c r="C380" s="21" t="s">
        <v>276</v>
      </c>
      <c r="D380" s="21">
        <v>0.12</v>
      </c>
      <c r="E380" s="21">
        <v>2.5499999999999998</v>
      </c>
      <c r="F380" s="21">
        <v>86.93</v>
      </c>
      <c r="G380" s="21">
        <v>340.9</v>
      </c>
    </row>
    <row r="381" spans="1:7" ht="15" customHeight="1" x14ac:dyDescent="0.3">
      <c r="A381" s="21" t="s">
        <v>93</v>
      </c>
      <c r="B381" s="21" t="s">
        <v>95</v>
      </c>
      <c r="C381" s="21" t="s">
        <v>251</v>
      </c>
      <c r="D381" s="21">
        <v>0.1</v>
      </c>
      <c r="E381" s="21">
        <v>2.17</v>
      </c>
      <c r="F381" s="21">
        <v>74.02</v>
      </c>
      <c r="G381" s="21">
        <v>341.11</v>
      </c>
    </row>
    <row r="382" spans="1:7" ht="15" customHeight="1" x14ac:dyDescent="0.3">
      <c r="A382" s="21" t="s">
        <v>93</v>
      </c>
      <c r="B382" s="21" t="s">
        <v>95</v>
      </c>
      <c r="C382" s="21" t="s">
        <v>275</v>
      </c>
      <c r="D382" s="21">
        <v>0.08</v>
      </c>
      <c r="E382" s="21">
        <v>1.82</v>
      </c>
      <c r="F382" s="21">
        <v>61.89</v>
      </c>
      <c r="G382" s="21">
        <v>340.05</v>
      </c>
    </row>
    <row r="383" spans="1:7" ht="15" customHeight="1" x14ac:dyDescent="0.3">
      <c r="A383" s="21" t="s">
        <v>93</v>
      </c>
      <c r="B383" s="21" t="s">
        <v>95</v>
      </c>
      <c r="C383" s="21" t="s">
        <v>278</v>
      </c>
      <c r="D383" s="21">
        <v>7.0000000000000007E-2</v>
      </c>
      <c r="E383" s="21">
        <v>1.44</v>
      </c>
      <c r="F383" s="21">
        <v>49.23</v>
      </c>
      <c r="G383" s="21">
        <v>341.87</v>
      </c>
    </row>
    <row r="384" spans="1:7" ht="15" customHeight="1" x14ac:dyDescent="0.3">
      <c r="A384" s="21" t="s">
        <v>93</v>
      </c>
      <c r="B384" s="21" t="s">
        <v>95</v>
      </c>
      <c r="C384" s="21" t="s">
        <v>254</v>
      </c>
      <c r="D384" s="21">
        <v>0.38</v>
      </c>
      <c r="E384" s="21">
        <v>8.1</v>
      </c>
      <c r="F384" s="21">
        <v>276.07</v>
      </c>
      <c r="G384" s="21">
        <v>340.83</v>
      </c>
    </row>
    <row r="385" spans="1:7" ht="15" customHeight="1" x14ac:dyDescent="0.3">
      <c r="A385" s="21" t="s">
        <v>93</v>
      </c>
      <c r="B385" s="21" t="s">
        <v>95</v>
      </c>
      <c r="C385" s="21" t="s">
        <v>277</v>
      </c>
      <c r="D385" s="21">
        <v>0.23</v>
      </c>
      <c r="E385" s="21">
        <v>4.96</v>
      </c>
      <c r="F385" s="21">
        <v>168.94</v>
      </c>
      <c r="G385" s="21">
        <v>340.6</v>
      </c>
    </row>
    <row r="386" spans="1:7" ht="15" customHeight="1" x14ac:dyDescent="0.3">
      <c r="A386" s="21" t="s">
        <v>93</v>
      </c>
      <c r="B386" s="21" t="s">
        <v>95</v>
      </c>
      <c r="C386" s="21" t="s">
        <v>266</v>
      </c>
      <c r="D386" s="21">
        <v>0.49</v>
      </c>
      <c r="E386" s="21">
        <v>10.45</v>
      </c>
      <c r="F386" s="21">
        <v>356.12</v>
      </c>
      <c r="G386" s="21">
        <v>340.78</v>
      </c>
    </row>
    <row r="387" spans="1:7" ht="15" customHeight="1" x14ac:dyDescent="0.3">
      <c r="A387" s="21" t="s">
        <v>93</v>
      </c>
      <c r="B387" s="21" t="s">
        <v>95</v>
      </c>
      <c r="C387" s="21" t="s">
        <v>269</v>
      </c>
      <c r="D387" s="21">
        <v>0.03</v>
      </c>
      <c r="E387" s="21">
        <v>0.63</v>
      </c>
      <c r="F387" s="21">
        <v>21.54</v>
      </c>
      <c r="G387" s="21">
        <v>341.9</v>
      </c>
    </row>
    <row r="388" spans="1:7" ht="15" customHeight="1" x14ac:dyDescent="0.3">
      <c r="A388" s="21" t="s">
        <v>93</v>
      </c>
      <c r="B388" s="21" t="s">
        <v>95</v>
      </c>
      <c r="C388" s="21" t="s">
        <v>249</v>
      </c>
      <c r="D388" s="21">
        <v>0.05</v>
      </c>
      <c r="E388" s="21">
        <v>1.06</v>
      </c>
      <c r="F388" s="21">
        <v>36.14</v>
      </c>
      <c r="G388" s="21">
        <v>340.94</v>
      </c>
    </row>
    <row r="389" spans="1:7" ht="15" customHeight="1" x14ac:dyDescent="0.3">
      <c r="A389" s="21" t="s">
        <v>93</v>
      </c>
      <c r="B389" s="21" t="s">
        <v>95</v>
      </c>
      <c r="C389" s="21" t="s">
        <v>258</v>
      </c>
      <c r="D389" s="21">
        <v>0.05</v>
      </c>
      <c r="E389" s="21">
        <v>1.17</v>
      </c>
      <c r="F389" s="21">
        <v>39.76</v>
      </c>
      <c r="G389" s="21">
        <v>339.83</v>
      </c>
    </row>
    <row r="390" spans="1:7" ht="15" customHeight="1" x14ac:dyDescent="0.3">
      <c r="A390" s="21" t="s">
        <v>93</v>
      </c>
      <c r="B390" s="21" t="s">
        <v>95</v>
      </c>
      <c r="C390" s="21" t="s">
        <v>270</v>
      </c>
      <c r="D390" s="21">
        <v>0.01</v>
      </c>
      <c r="E390" s="21">
        <v>0.21</v>
      </c>
      <c r="F390" s="21">
        <v>7.32</v>
      </c>
      <c r="G390" s="21">
        <v>348.57</v>
      </c>
    </row>
    <row r="391" spans="1:7" ht="15" customHeight="1" x14ac:dyDescent="0.3">
      <c r="A391" s="21" t="s">
        <v>96</v>
      </c>
      <c r="B391" s="21" t="s">
        <v>88</v>
      </c>
      <c r="C391" s="21" t="s">
        <v>243</v>
      </c>
      <c r="D391" s="21">
        <v>15.64</v>
      </c>
      <c r="E391" s="21">
        <v>355.06</v>
      </c>
      <c r="F391" s="21">
        <v>12163.97</v>
      </c>
      <c r="G391" s="21">
        <v>342.59</v>
      </c>
    </row>
    <row r="392" spans="1:7" ht="15" customHeight="1" x14ac:dyDescent="0.3">
      <c r="A392" s="21" t="s">
        <v>96</v>
      </c>
      <c r="B392" s="21" t="s">
        <v>88</v>
      </c>
      <c r="C392" s="21" t="s">
        <v>244</v>
      </c>
      <c r="D392" s="21">
        <v>12.41</v>
      </c>
      <c r="E392" s="21">
        <v>281.72000000000003</v>
      </c>
      <c r="F392" s="21">
        <v>9651.3700000000008</v>
      </c>
      <c r="G392" s="21">
        <v>342.59</v>
      </c>
    </row>
    <row r="393" spans="1:7" ht="15" customHeight="1" x14ac:dyDescent="0.3">
      <c r="A393" s="21" t="s">
        <v>96</v>
      </c>
      <c r="B393" s="21" t="s">
        <v>88</v>
      </c>
      <c r="C393" s="21" t="s">
        <v>245</v>
      </c>
      <c r="D393" s="21">
        <v>8.14</v>
      </c>
      <c r="E393" s="21">
        <v>184.85</v>
      </c>
      <c r="F393" s="21">
        <v>6332.87</v>
      </c>
      <c r="G393" s="21">
        <v>342.6</v>
      </c>
    </row>
    <row r="394" spans="1:7" ht="15" customHeight="1" x14ac:dyDescent="0.3">
      <c r="A394" s="21" t="s">
        <v>96</v>
      </c>
      <c r="B394" s="21" t="s">
        <v>88</v>
      </c>
      <c r="C394" s="21" t="s">
        <v>246</v>
      </c>
      <c r="D394" s="21">
        <v>7.44</v>
      </c>
      <c r="E394" s="21">
        <v>168.88</v>
      </c>
      <c r="F394" s="21">
        <v>5785.65</v>
      </c>
      <c r="G394" s="21">
        <v>342.59</v>
      </c>
    </row>
    <row r="395" spans="1:7" ht="15" customHeight="1" x14ac:dyDescent="0.3">
      <c r="A395" s="21" t="s">
        <v>96</v>
      </c>
      <c r="B395" s="21" t="s">
        <v>88</v>
      </c>
      <c r="C395" s="21" t="s">
        <v>247</v>
      </c>
      <c r="D395" s="21">
        <v>6.57</v>
      </c>
      <c r="E395" s="21">
        <v>149.08000000000001</v>
      </c>
      <c r="F395" s="21">
        <v>5107.13</v>
      </c>
      <c r="G395" s="21">
        <v>342.58</v>
      </c>
    </row>
    <row r="396" spans="1:7" ht="15" customHeight="1" x14ac:dyDescent="0.3">
      <c r="A396" s="21" t="s">
        <v>96</v>
      </c>
      <c r="B396" s="21" t="s">
        <v>88</v>
      </c>
      <c r="C396" s="21" t="s">
        <v>248</v>
      </c>
      <c r="D396" s="21">
        <v>5.89</v>
      </c>
      <c r="E396" s="21">
        <v>133.68</v>
      </c>
      <c r="F396" s="21">
        <v>4579.7</v>
      </c>
      <c r="G396" s="21">
        <v>342.59</v>
      </c>
    </row>
    <row r="397" spans="1:7" ht="15" customHeight="1" x14ac:dyDescent="0.3">
      <c r="A397" s="21" t="s">
        <v>96</v>
      </c>
      <c r="B397" s="21" t="s">
        <v>88</v>
      </c>
      <c r="C397" s="21" t="s">
        <v>255</v>
      </c>
      <c r="D397" s="21">
        <v>5.2</v>
      </c>
      <c r="E397" s="21">
        <v>118.01</v>
      </c>
      <c r="F397" s="21">
        <v>4042.74</v>
      </c>
      <c r="G397" s="21">
        <v>342.58</v>
      </c>
    </row>
    <row r="398" spans="1:7" ht="15" customHeight="1" x14ac:dyDescent="0.3">
      <c r="A398" s="21" t="s">
        <v>96</v>
      </c>
      <c r="B398" s="21" t="s">
        <v>88</v>
      </c>
      <c r="C398" s="21" t="s">
        <v>257</v>
      </c>
      <c r="D398" s="21">
        <v>4.59</v>
      </c>
      <c r="E398" s="21">
        <v>104.16</v>
      </c>
      <c r="F398" s="21">
        <v>3568.29</v>
      </c>
      <c r="G398" s="21">
        <v>342.58</v>
      </c>
    </row>
    <row r="399" spans="1:7" ht="15" customHeight="1" x14ac:dyDescent="0.3">
      <c r="A399" s="21" t="s">
        <v>96</v>
      </c>
      <c r="B399" s="21" t="s">
        <v>88</v>
      </c>
      <c r="C399" s="21" t="s">
        <v>259</v>
      </c>
      <c r="D399" s="21">
        <v>4.58</v>
      </c>
      <c r="E399" s="21">
        <v>103.91</v>
      </c>
      <c r="F399" s="21">
        <v>3559.83</v>
      </c>
      <c r="G399" s="21">
        <v>342.59</v>
      </c>
    </row>
    <row r="400" spans="1:7" ht="15" customHeight="1" x14ac:dyDescent="0.3">
      <c r="A400" s="21" t="s">
        <v>96</v>
      </c>
      <c r="B400" s="21" t="s">
        <v>88</v>
      </c>
      <c r="C400" s="21" t="s">
        <v>260</v>
      </c>
      <c r="D400" s="21">
        <v>3.66</v>
      </c>
      <c r="E400" s="21">
        <v>83.09</v>
      </c>
      <c r="F400" s="21">
        <v>2846.4</v>
      </c>
      <c r="G400" s="21">
        <v>342.57</v>
      </c>
    </row>
    <row r="401" spans="1:7" ht="15" customHeight="1" x14ac:dyDescent="0.3">
      <c r="A401" s="21" t="s">
        <v>96</v>
      </c>
      <c r="B401" s="21" t="s">
        <v>88</v>
      </c>
      <c r="C401" s="21" t="s">
        <v>262</v>
      </c>
      <c r="D401" s="21">
        <v>3.79</v>
      </c>
      <c r="E401" s="21">
        <v>86.03</v>
      </c>
      <c r="F401" s="21">
        <v>2947.13</v>
      </c>
      <c r="G401" s="21">
        <v>342.57</v>
      </c>
    </row>
    <row r="402" spans="1:7" ht="15" customHeight="1" x14ac:dyDescent="0.3">
      <c r="A402" s="21" t="s">
        <v>96</v>
      </c>
      <c r="B402" s="21" t="s">
        <v>88</v>
      </c>
      <c r="C402" s="21" t="s">
        <v>250</v>
      </c>
      <c r="D402" s="21">
        <v>3.16</v>
      </c>
      <c r="E402" s="21">
        <v>71.75</v>
      </c>
      <c r="F402" s="21">
        <v>2458.21</v>
      </c>
      <c r="G402" s="21">
        <v>342.61</v>
      </c>
    </row>
    <row r="403" spans="1:7" ht="15" customHeight="1" x14ac:dyDescent="0.3">
      <c r="A403" s="21" t="s">
        <v>96</v>
      </c>
      <c r="B403" s="21" t="s">
        <v>88</v>
      </c>
      <c r="C403" s="21" t="s">
        <v>263</v>
      </c>
      <c r="D403" s="21">
        <v>2.8</v>
      </c>
      <c r="E403" s="21">
        <v>63.56</v>
      </c>
      <c r="F403" s="21">
        <v>2177.64</v>
      </c>
      <c r="G403" s="21">
        <v>342.61</v>
      </c>
    </row>
    <row r="404" spans="1:7" ht="15" customHeight="1" x14ac:dyDescent="0.3">
      <c r="A404" s="21" t="s">
        <v>96</v>
      </c>
      <c r="B404" s="21" t="s">
        <v>88</v>
      </c>
      <c r="C404" s="21" t="s">
        <v>265</v>
      </c>
      <c r="D404" s="21">
        <v>2.63</v>
      </c>
      <c r="E404" s="21">
        <v>59.78</v>
      </c>
      <c r="F404" s="21">
        <v>2048.14</v>
      </c>
      <c r="G404" s="21">
        <v>342.61</v>
      </c>
    </row>
    <row r="405" spans="1:7" ht="15" customHeight="1" x14ac:dyDescent="0.3">
      <c r="A405" s="21" t="s">
        <v>96</v>
      </c>
      <c r="B405" s="21" t="s">
        <v>88</v>
      </c>
      <c r="C405" s="21" t="s">
        <v>253</v>
      </c>
      <c r="D405" s="21">
        <v>2.34</v>
      </c>
      <c r="E405" s="21">
        <v>53.11</v>
      </c>
      <c r="F405" s="21">
        <v>1819.61</v>
      </c>
      <c r="G405" s="21">
        <v>342.61</v>
      </c>
    </row>
    <row r="406" spans="1:7" ht="15" customHeight="1" x14ac:dyDescent="0.3">
      <c r="A406" s="21" t="s">
        <v>96</v>
      </c>
      <c r="B406" s="21" t="s">
        <v>88</v>
      </c>
      <c r="C406" s="21" t="s">
        <v>268</v>
      </c>
      <c r="D406" s="21">
        <v>1.79</v>
      </c>
      <c r="E406" s="21">
        <v>40.630000000000003</v>
      </c>
      <c r="F406" s="21">
        <v>1392</v>
      </c>
      <c r="G406" s="21">
        <v>342.6</v>
      </c>
    </row>
    <row r="407" spans="1:7" ht="15" customHeight="1" x14ac:dyDescent="0.3">
      <c r="A407" s="21" t="s">
        <v>96</v>
      </c>
      <c r="B407" s="21" t="s">
        <v>88</v>
      </c>
      <c r="C407" s="21" t="s">
        <v>252</v>
      </c>
      <c r="D407" s="21">
        <v>1.18</v>
      </c>
      <c r="E407" s="21">
        <v>26.71</v>
      </c>
      <c r="F407" s="21">
        <v>915.05</v>
      </c>
      <c r="G407" s="21">
        <v>342.59</v>
      </c>
    </row>
    <row r="408" spans="1:7" ht="15" customHeight="1" x14ac:dyDescent="0.3">
      <c r="A408" s="21" t="s">
        <v>96</v>
      </c>
      <c r="B408" s="21" t="s">
        <v>88</v>
      </c>
      <c r="C408" s="21" t="s">
        <v>267</v>
      </c>
      <c r="D408" s="21">
        <v>1</v>
      </c>
      <c r="E408" s="21">
        <v>22.64</v>
      </c>
      <c r="F408" s="21">
        <v>775.47</v>
      </c>
      <c r="G408" s="21">
        <v>342.52</v>
      </c>
    </row>
    <row r="409" spans="1:7" ht="15" customHeight="1" x14ac:dyDescent="0.3">
      <c r="A409" s="21" t="s">
        <v>96</v>
      </c>
      <c r="B409" s="21" t="s">
        <v>88</v>
      </c>
      <c r="C409" s="21" t="s">
        <v>256</v>
      </c>
      <c r="D409" s="21">
        <v>0.92</v>
      </c>
      <c r="E409" s="21">
        <v>20.77</v>
      </c>
      <c r="F409" s="21">
        <v>711.7</v>
      </c>
      <c r="G409" s="21">
        <v>342.66</v>
      </c>
    </row>
    <row r="410" spans="1:7" ht="15" customHeight="1" x14ac:dyDescent="0.3">
      <c r="A410" s="21" t="s">
        <v>96</v>
      </c>
      <c r="B410" s="21" t="s">
        <v>88</v>
      </c>
      <c r="C410" s="21" t="s">
        <v>271</v>
      </c>
      <c r="D410" s="21">
        <v>0.84</v>
      </c>
      <c r="E410" s="21">
        <v>18.97</v>
      </c>
      <c r="F410" s="21">
        <v>649.84</v>
      </c>
      <c r="G410" s="21">
        <v>342.56</v>
      </c>
    </row>
    <row r="411" spans="1:7" ht="15" customHeight="1" x14ac:dyDescent="0.3">
      <c r="A411" s="21" t="s">
        <v>96</v>
      </c>
      <c r="B411" s="21" t="s">
        <v>88</v>
      </c>
      <c r="C411" s="21" t="s">
        <v>264</v>
      </c>
      <c r="D411" s="21">
        <v>0.6</v>
      </c>
      <c r="E411" s="21">
        <v>13.62</v>
      </c>
      <c r="F411" s="21">
        <v>466.68</v>
      </c>
      <c r="G411" s="21">
        <v>342.64</v>
      </c>
    </row>
    <row r="412" spans="1:7" ht="15" customHeight="1" x14ac:dyDescent="0.3">
      <c r="A412" s="21" t="s">
        <v>96</v>
      </c>
      <c r="B412" s="21" t="s">
        <v>88</v>
      </c>
      <c r="C412" s="21" t="s">
        <v>261</v>
      </c>
      <c r="D412" s="21">
        <v>0.52</v>
      </c>
      <c r="E412" s="21">
        <v>11.7</v>
      </c>
      <c r="F412" s="21">
        <v>400.85</v>
      </c>
      <c r="G412" s="21">
        <v>342.61</v>
      </c>
    </row>
    <row r="413" spans="1:7" ht="15" customHeight="1" x14ac:dyDescent="0.3">
      <c r="A413" s="21" t="s">
        <v>96</v>
      </c>
      <c r="B413" s="21" t="s">
        <v>88</v>
      </c>
      <c r="C413" s="21" t="s">
        <v>273</v>
      </c>
      <c r="D413" s="21">
        <v>0.32</v>
      </c>
      <c r="E413" s="21">
        <v>7.37</v>
      </c>
      <c r="F413" s="21">
        <v>252.4</v>
      </c>
      <c r="G413" s="21">
        <v>342.47</v>
      </c>
    </row>
    <row r="414" spans="1:7" ht="15" customHeight="1" x14ac:dyDescent="0.3">
      <c r="A414" s="21" t="s">
        <v>96</v>
      </c>
      <c r="B414" s="21" t="s">
        <v>88</v>
      </c>
      <c r="C414" s="21" t="s">
        <v>274</v>
      </c>
      <c r="D414" s="21">
        <v>0.2</v>
      </c>
      <c r="E414" s="21">
        <v>4.63</v>
      </c>
      <c r="F414" s="21">
        <v>158.49</v>
      </c>
      <c r="G414" s="21">
        <v>342.31</v>
      </c>
    </row>
    <row r="415" spans="1:7" ht="15" customHeight="1" x14ac:dyDescent="0.3">
      <c r="A415" s="21" t="s">
        <v>96</v>
      </c>
      <c r="B415" s="21" t="s">
        <v>88</v>
      </c>
      <c r="C415" s="21" t="s">
        <v>272</v>
      </c>
      <c r="D415" s="21">
        <v>0.15</v>
      </c>
      <c r="E415" s="21">
        <v>3.46</v>
      </c>
      <c r="F415" s="21">
        <v>118.46</v>
      </c>
      <c r="G415" s="21">
        <v>342.37</v>
      </c>
    </row>
    <row r="416" spans="1:7" ht="15" customHeight="1" x14ac:dyDescent="0.3">
      <c r="A416" s="21" t="s">
        <v>96</v>
      </c>
      <c r="B416" s="21" t="s">
        <v>88</v>
      </c>
      <c r="C416" s="21" t="s">
        <v>276</v>
      </c>
      <c r="D416" s="21">
        <v>0.11</v>
      </c>
      <c r="E416" s="21">
        <v>2.52</v>
      </c>
      <c r="F416" s="21">
        <v>86.23</v>
      </c>
      <c r="G416" s="21">
        <v>342.18</v>
      </c>
    </row>
    <row r="417" spans="1:7" ht="15" customHeight="1" x14ac:dyDescent="0.3">
      <c r="A417" s="21" t="s">
        <v>96</v>
      </c>
      <c r="B417" s="21" t="s">
        <v>88</v>
      </c>
      <c r="C417" s="21" t="s">
        <v>251</v>
      </c>
      <c r="D417" s="21">
        <v>0.09</v>
      </c>
      <c r="E417" s="21">
        <v>1.97</v>
      </c>
      <c r="F417" s="21">
        <v>67.540000000000006</v>
      </c>
      <c r="G417" s="21">
        <v>342.84</v>
      </c>
    </row>
    <row r="418" spans="1:7" ht="15" customHeight="1" x14ac:dyDescent="0.3">
      <c r="A418" s="21" t="s">
        <v>96</v>
      </c>
      <c r="B418" s="21" t="s">
        <v>88</v>
      </c>
      <c r="C418" s="21" t="s">
        <v>275</v>
      </c>
      <c r="D418" s="21">
        <v>0.08</v>
      </c>
      <c r="E418" s="21">
        <v>1.85</v>
      </c>
      <c r="F418" s="21">
        <v>63.42</v>
      </c>
      <c r="G418" s="21">
        <v>342.81</v>
      </c>
    </row>
    <row r="419" spans="1:7" ht="15" customHeight="1" x14ac:dyDescent="0.3">
      <c r="A419" s="21" t="s">
        <v>96</v>
      </c>
      <c r="B419" s="21" t="s">
        <v>88</v>
      </c>
      <c r="C419" s="21" t="s">
        <v>278</v>
      </c>
      <c r="D419" s="21">
        <v>7.0000000000000007E-2</v>
      </c>
      <c r="E419" s="21">
        <v>1.58</v>
      </c>
      <c r="F419" s="21">
        <v>54.18</v>
      </c>
      <c r="G419" s="21">
        <v>342.91</v>
      </c>
    </row>
    <row r="420" spans="1:7" ht="15" customHeight="1" x14ac:dyDescent="0.3">
      <c r="A420" s="21" t="s">
        <v>96</v>
      </c>
      <c r="B420" s="21" t="s">
        <v>88</v>
      </c>
      <c r="C420" s="21" t="s">
        <v>254</v>
      </c>
      <c r="D420" s="21">
        <v>0.34</v>
      </c>
      <c r="E420" s="21">
        <v>7.74</v>
      </c>
      <c r="F420" s="21">
        <v>265.17</v>
      </c>
      <c r="G420" s="21">
        <v>342.6</v>
      </c>
    </row>
    <row r="421" spans="1:7" ht="15" customHeight="1" x14ac:dyDescent="0.3">
      <c r="A421" s="21" t="s">
        <v>96</v>
      </c>
      <c r="B421" s="21" t="s">
        <v>88</v>
      </c>
      <c r="C421" s="21" t="s">
        <v>277</v>
      </c>
      <c r="D421" s="21">
        <v>0.25</v>
      </c>
      <c r="E421" s="21">
        <v>5.74</v>
      </c>
      <c r="F421" s="21">
        <v>196.78</v>
      </c>
      <c r="G421" s="21">
        <v>342.82</v>
      </c>
    </row>
    <row r="422" spans="1:7" ht="15" customHeight="1" x14ac:dyDescent="0.3">
      <c r="A422" s="21" t="s">
        <v>96</v>
      </c>
      <c r="B422" s="21" t="s">
        <v>88</v>
      </c>
      <c r="C422" s="21" t="s">
        <v>266</v>
      </c>
      <c r="D422" s="21">
        <v>0.45</v>
      </c>
      <c r="E422" s="21">
        <v>10.18</v>
      </c>
      <c r="F422" s="21">
        <v>348.88</v>
      </c>
      <c r="G422" s="21">
        <v>342.71</v>
      </c>
    </row>
    <row r="423" spans="1:7" ht="15" customHeight="1" x14ac:dyDescent="0.3">
      <c r="A423" s="21" t="s">
        <v>96</v>
      </c>
      <c r="B423" s="21" t="s">
        <v>88</v>
      </c>
      <c r="C423" s="21" t="s">
        <v>269</v>
      </c>
      <c r="D423" s="21">
        <v>0.03</v>
      </c>
      <c r="E423" s="21">
        <v>0.72</v>
      </c>
      <c r="F423" s="21">
        <v>24.64</v>
      </c>
      <c r="G423" s="21">
        <v>342.22</v>
      </c>
    </row>
    <row r="424" spans="1:7" ht="15" customHeight="1" x14ac:dyDescent="0.3">
      <c r="A424" s="21" t="s">
        <v>96</v>
      </c>
      <c r="B424" s="21" t="s">
        <v>88</v>
      </c>
      <c r="C424" s="21" t="s">
        <v>249</v>
      </c>
      <c r="D424" s="21">
        <v>0.05</v>
      </c>
      <c r="E424" s="21">
        <v>1.1399999999999999</v>
      </c>
      <c r="F424" s="21">
        <v>39.049999999999997</v>
      </c>
      <c r="G424" s="21">
        <v>342.54</v>
      </c>
    </row>
    <row r="425" spans="1:7" ht="15" customHeight="1" x14ac:dyDescent="0.3">
      <c r="A425" s="21" t="s">
        <v>96</v>
      </c>
      <c r="B425" s="21" t="s">
        <v>88</v>
      </c>
      <c r="C425" s="21" t="s">
        <v>258</v>
      </c>
      <c r="D425" s="21">
        <v>0.06</v>
      </c>
      <c r="E425" s="21">
        <v>1.31</v>
      </c>
      <c r="F425" s="21">
        <v>44.92</v>
      </c>
      <c r="G425" s="21">
        <v>342.9</v>
      </c>
    </row>
    <row r="426" spans="1:7" ht="15" customHeight="1" x14ac:dyDescent="0.3">
      <c r="A426" s="21" t="s">
        <v>96</v>
      </c>
      <c r="B426" s="21" t="s">
        <v>88</v>
      </c>
      <c r="C426" s="21" t="s">
        <v>270</v>
      </c>
      <c r="D426" s="21">
        <v>0.01</v>
      </c>
      <c r="E426" s="21">
        <v>0.24</v>
      </c>
      <c r="F426" s="21">
        <v>8.16</v>
      </c>
      <c r="G426" s="21">
        <v>340</v>
      </c>
    </row>
    <row r="427" spans="1:7" ht="15" customHeight="1" x14ac:dyDescent="0.3">
      <c r="A427" s="21" t="s">
        <v>96</v>
      </c>
      <c r="B427" s="21" t="s">
        <v>87</v>
      </c>
      <c r="C427" s="21" t="s">
        <v>243</v>
      </c>
      <c r="D427" s="21">
        <v>16.32</v>
      </c>
      <c r="E427" s="21">
        <v>439.95</v>
      </c>
      <c r="F427" s="21">
        <v>15303.75</v>
      </c>
      <c r="G427" s="21">
        <v>347.85</v>
      </c>
    </row>
    <row r="428" spans="1:7" ht="15" customHeight="1" x14ac:dyDescent="0.3">
      <c r="A428" s="21" t="s">
        <v>96</v>
      </c>
      <c r="B428" s="21" t="s">
        <v>87</v>
      </c>
      <c r="C428" s="21" t="s">
        <v>244</v>
      </c>
      <c r="D428" s="21">
        <v>13.14</v>
      </c>
      <c r="E428" s="21">
        <v>354.12</v>
      </c>
      <c r="F428" s="21">
        <v>12318.29</v>
      </c>
      <c r="G428" s="21">
        <v>347.86</v>
      </c>
    </row>
    <row r="429" spans="1:7" ht="15" customHeight="1" x14ac:dyDescent="0.3">
      <c r="A429" s="21" t="s">
        <v>96</v>
      </c>
      <c r="B429" s="21" t="s">
        <v>87</v>
      </c>
      <c r="C429" s="21" t="s">
        <v>245</v>
      </c>
      <c r="D429" s="21">
        <v>8</v>
      </c>
      <c r="E429" s="21">
        <v>215.76</v>
      </c>
      <c r="F429" s="21">
        <v>7505.44</v>
      </c>
      <c r="G429" s="21">
        <v>347.86</v>
      </c>
    </row>
    <row r="430" spans="1:7" ht="15" customHeight="1" x14ac:dyDescent="0.3">
      <c r="A430" s="21" t="s">
        <v>96</v>
      </c>
      <c r="B430" s="21" t="s">
        <v>87</v>
      </c>
      <c r="C430" s="21" t="s">
        <v>246</v>
      </c>
      <c r="D430" s="21">
        <v>6.87</v>
      </c>
      <c r="E430" s="21">
        <v>185.17</v>
      </c>
      <c r="F430" s="21">
        <v>6441.22</v>
      </c>
      <c r="G430" s="21">
        <v>347.85</v>
      </c>
    </row>
    <row r="431" spans="1:7" ht="15" customHeight="1" x14ac:dyDescent="0.3">
      <c r="A431" s="21" t="s">
        <v>96</v>
      </c>
      <c r="B431" s="21" t="s">
        <v>87</v>
      </c>
      <c r="C431" s="21" t="s">
        <v>247</v>
      </c>
      <c r="D431" s="21">
        <v>6.53</v>
      </c>
      <c r="E431" s="21">
        <v>175.95</v>
      </c>
      <c r="F431" s="21">
        <v>6120.57</v>
      </c>
      <c r="G431" s="21">
        <v>347.86</v>
      </c>
    </row>
    <row r="432" spans="1:7" ht="15" customHeight="1" x14ac:dyDescent="0.3">
      <c r="A432" s="21" t="s">
        <v>96</v>
      </c>
      <c r="B432" s="21" t="s">
        <v>87</v>
      </c>
      <c r="C432" s="21" t="s">
        <v>248</v>
      </c>
      <c r="D432" s="21">
        <v>5.8</v>
      </c>
      <c r="E432" s="21">
        <v>156.44999999999999</v>
      </c>
      <c r="F432" s="21">
        <v>5442.03</v>
      </c>
      <c r="G432" s="21">
        <v>347.84</v>
      </c>
    </row>
    <row r="433" spans="1:7" ht="15" customHeight="1" x14ac:dyDescent="0.3">
      <c r="A433" s="21" t="s">
        <v>96</v>
      </c>
      <c r="B433" s="21" t="s">
        <v>87</v>
      </c>
      <c r="C433" s="21" t="s">
        <v>255</v>
      </c>
      <c r="D433" s="21">
        <v>5.63</v>
      </c>
      <c r="E433" s="21">
        <v>151.81</v>
      </c>
      <c r="F433" s="21">
        <v>5280.97</v>
      </c>
      <c r="G433" s="21">
        <v>347.87</v>
      </c>
    </row>
    <row r="434" spans="1:7" ht="15" customHeight="1" x14ac:dyDescent="0.3">
      <c r="A434" s="21" t="s">
        <v>96</v>
      </c>
      <c r="B434" s="21" t="s">
        <v>87</v>
      </c>
      <c r="C434" s="21" t="s">
        <v>257</v>
      </c>
      <c r="D434" s="21">
        <v>4.74</v>
      </c>
      <c r="E434" s="21">
        <v>127.65</v>
      </c>
      <c r="F434" s="21">
        <v>4440.41</v>
      </c>
      <c r="G434" s="21">
        <v>347.86</v>
      </c>
    </row>
    <row r="435" spans="1:7" ht="15" customHeight="1" x14ac:dyDescent="0.3">
      <c r="A435" s="21" t="s">
        <v>96</v>
      </c>
      <c r="B435" s="21" t="s">
        <v>87</v>
      </c>
      <c r="C435" s="21" t="s">
        <v>259</v>
      </c>
      <c r="D435" s="21">
        <v>3.81</v>
      </c>
      <c r="E435" s="21">
        <v>102.82</v>
      </c>
      <c r="F435" s="21">
        <v>3576.65</v>
      </c>
      <c r="G435" s="21">
        <v>347.86</v>
      </c>
    </row>
    <row r="436" spans="1:7" ht="15" customHeight="1" x14ac:dyDescent="0.3">
      <c r="A436" s="21" t="s">
        <v>96</v>
      </c>
      <c r="B436" s="21" t="s">
        <v>87</v>
      </c>
      <c r="C436" s="21" t="s">
        <v>260</v>
      </c>
      <c r="D436" s="21">
        <v>3.72</v>
      </c>
      <c r="E436" s="21">
        <v>100.22</v>
      </c>
      <c r="F436" s="21">
        <v>3486.08</v>
      </c>
      <c r="G436" s="21">
        <v>347.84</v>
      </c>
    </row>
    <row r="437" spans="1:7" ht="15" customHeight="1" x14ac:dyDescent="0.3">
      <c r="A437" s="21" t="s">
        <v>96</v>
      </c>
      <c r="B437" s="21" t="s">
        <v>87</v>
      </c>
      <c r="C437" s="21" t="s">
        <v>262</v>
      </c>
      <c r="D437" s="21">
        <v>3.64</v>
      </c>
      <c r="E437" s="21">
        <v>98.09</v>
      </c>
      <c r="F437" s="21">
        <v>3412.14</v>
      </c>
      <c r="G437" s="21">
        <v>347.86</v>
      </c>
    </row>
    <row r="438" spans="1:7" ht="15" customHeight="1" x14ac:dyDescent="0.3">
      <c r="A438" s="21" t="s">
        <v>96</v>
      </c>
      <c r="B438" s="21" t="s">
        <v>87</v>
      </c>
      <c r="C438" s="21" t="s">
        <v>250</v>
      </c>
      <c r="D438" s="21">
        <v>3.15</v>
      </c>
      <c r="E438" s="21">
        <v>84.98</v>
      </c>
      <c r="F438" s="21">
        <v>2955.96</v>
      </c>
      <c r="G438" s="21">
        <v>347.84</v>
      </c>
    </row>
    <row r="439" spans="1:7" ht="15" customHeight="1" x14ac:dyDescent="0.3">
      <c r="A439" s="21" t="s">
        <v>96</v>
      </c>
      <c r="B439" s="21" t="s">
        <v>87</v>
      </c>
      <c r="C439" s="21" t="s">
        <v>263</v>
      </c>
      <c r="D439" s="21">
        <v>2.77</v>
      </c>
      <c r="E439" s="21">
        <v>74.55</v>
      </c>
      <c r="F439" s="21">
        <v>2593.16</v>
      </c>
      <c r="G439" s="21">
        <v>347.84</v>
      </c>
    </row>
    <row r="440" spans="1:7" ht="15" customHeight="1" x14ac:dyDescent="0.3">
      <c r="A440" s="21" t="s">
        <v>96</v>
      </c>
      <c r="B440" s="21" t="s">
        <v>87</v>
      </c>
      <c r="C440" s="21" t="s">
        <v>265</v>
      </c>
      <c r="D440" s="21">
        <v>2.62</v>
      </c>
      <c r="E440" s="21">
        <v>70.709999999999994</v>
      </c>
      <c r="F440" s="21">
        <v>2459.81</v>
      </c>
      <c r="G440" s="21">
        <v>347.87</v>
      </c>
    </row>
    <row r="441" spans="1:7" ht="15" customHeight="1" x14ac:dyDescent="0.3">
      <c r="A441" s="21" t="s">
        <v>96</v>
      </c>
      <c r="B441" s="21" t="s">
        <v>87</v>
      </c>
      <c r="C441" s="21" t="s">
        <v>253</v>
      </c>
      <c r="D441" s="21">
        <v>2.12</v>
      </c>
      <c r="E441" s="21">
        <v>57.19</v>
      </c>
      <c r="F441" s="21">
        <v>1989.46</v>
      </c>
      <c r="G441" s="21">
        <v>347.87</v>
      </c>
    </row>
    <row r="442" spans="1:7" ht="15" customHeight="1" x14ac:dyDescent="0.3">
      <c r="A442" s="21" t="s">
        <v>96</v>
      </c>
      <c r="B442" s="21" t="s">
        <v>87</v>
      </c>
      <c r="C442" s="21" t="s">
        <v>268</v>
      </c>
      <c r="D442" s="21">
        <v>1.66</v>
      </c>
      <c r="E442" s="21">
        <v>44.78</v>
      </c>
      <c r="F442" s="21">
        <v>1557.62</v>
      </c>
      <c r="G442" s="21">
        <v>347.84</v>
      </c>
    </row>
    <row r="443" spans="1:7" ht="15" customHeight="1" x14ac:dyDescent="0.3">
      <c r="A443" s="21" t="s">
        <v>96</v>
      </c>
      <c r="B443" s="21" t="s">
        <v>87</v>
      </c>
      <c r="C443" s="21" t="s">
        <v>252</v>
      </c>
      <c r="D443" s="21">
        <v>1.19</v>
      </c>
      <c r="E443" s="21">
        <v>32.090000000000003</v>
      </c>
      <c r="F443" s="21">
        <v>1116.18</v>
      </c>
      <c r="G443" s="21">
        <v>347.83</v>
      </c>
    </row>
    <row r="444" spans="1:7" ht="15" customHeight="1" x14ac:dyDescent="0.3">
      <c r="A444" s="21" t="s">
        <v>96</v>
      </c>
      <c r="B444" s="21" t="s">
        <v>87</v>
      </c>
      <c r="C444" s="21" t="s">
        <v>267</v>
      </c>
      <c r="D444" s="21">
        <v>0.98</v>
      </c>
      <c r="E444" s="21">
        <v>26.3</v>
      </c>
      <c r="F444" s="21">
        <v>914.98</v>
      </c>
      <c r="G444" s="21">
        <v>347.9</v>
      </c>
    </row>
    <row r="445" spans="1:7" ht="15" customHeight="1" x14ac:dyDescent="0.3">
      <c r="A445" s="21" t="s">
        <v>96</v>
      </c>
      <c r="B445" s="21" t="s">
        <v>87</v>
      </c>
      <c r="C445" s="21" t="s">
        <v>256</v>
      </c>
      <c r="D445" s="21">
        <v>0.86</v>
      </c>
      <c r="E445" s="21">
        <v>23.09</v>
      </c>
      <c r="F445" s="21">
        <v>803.14</v>
      </c>
      <c r="G445" s="21">
        <v>347.83</v>
      </c>
    </row>
    <row r="446" spans="1:7" ht="15" customHeight="1" x14ac:dyDescent="0.3">
      <c r="A446" s="21" t="s">
        <v>96</v>
      </c>
      <c r="B446" s="21" t="s">
        <v>87</v>
      </c>
      <c r="C446" s="21" t="s">
        <v>271</v>
      </c>
      <c r="D446" s="21">
        <v>0.79</v>
      </c>
      <c r="E446" s="21">
        <v>21.38</v>
      </c>
      <c r="F446" s="21">
        <v>743.57</v>
      </c>
      <c r="G446" s="21">
        <v>347.79</v>
      </c>
    </row>
    <row r="447" spans="1:7" ht="15" customHeight="1" x14ac:dyDescent="0.3">
      <c r="A447" s="21" t="s">
        <v>96</v>
      </c>
      <c r="B447" s="21" t="s">
        <v>87</v>
      </c>
      <c r="C447" s="21" t="s">
        <v>264</v>
      </c>
      <c r="D447" s="21">
        <v>0.61</v>
      </c>
      <c r="E447" s="21">
        <v>16.57</v>
      </c>
      <c r="F447" s="21">
        <v>576.42999999999995</v>
      </c>
      <c r="G447" s="21">
        <v>347.88</v>
      </c>
    </row>
    <row r="448" spans="1:7" ht="15" customHeight="1" x14ac:dyDescent="0.3">
      <c r="A448" s="21" t="s">
        <v>96</v>
      </c>
      <c r="B448" s="21" t="s">
        <v>87</v>
      </c>
      <c r="C448" s="21" t="s">
        <v>261</v>
      </c>
      <c r="D448" s="21">
        <v>0.5</v>
      </c>
      <c r="E448" s="21">
        <v>13.47</v>
      </c>
      <c r="F448" s="21">
        <v>468.62</v>
      </c>
      <c r="G448" s="21">
        <v>347.9</v>
      </c>
    </row>
    <row r="449" spans="1:7" ht="15" customHeight="1" x14ac:dyDescent="0.3">
      <c r="A449" s="21" t="s">
        <v>96</v>
      </c>
      <c r="B449" s="21" t="s">
        <v>87</v>
      </c>
      <c r="C449" s="21" t="s">
        <v>273</v>
      </c>
      <c r="D449" s="21">
        <v>0.3</v>
      </c>
      <c r="E449" s="21">
        <v>8.2100000000000009</v>
      </c>
      <c r="F449" s="21">
        <v>285.62</v>
      </c>
      <c r="G449" s="21">
        <v>347.89</v>
      </c>
    </row>
    <row r="450" spans="1:7" ht="15" customHeight="1" x14ac:dyDescent="0.3">
      <c r="A450" s="21" t="s">
        <v>96</v>
      </c>
      <c r="B450" s="21" t="s">
        <v>87</v>
      </c>
      <c r="C450" s="21" t="s">
        <v>274</v>
      </c>
      <c r="D450" s="21">
        <v>0.22</v>
      </c>
      <c r="E450" s="21">
        <v>5.88</v>
      </c>
      <c r="F450" s="21">
        <v>204.54</v>
      </c>
      <c r="G450" s="21">
        <v>347.86</v>
      </c>
    </row>
    <row r="451" spans="1:7" ht="15" customHeight="1" x14ac:dyDescent="0.3">
      <c r="A451" s="21" t="s">
        <v>96</v>
      </c>
      <c r="B451" s="21" t="s">
        <v>87</v>
      </c>
      <c r="C451" s="21" t="s">
        <v>272</v>
      </c>
      <c r="D451" s="21">
        <v>0.15</v>
      </c>
      <c r="E451" s="21">
        <v>3.97</v>
      </c>
      <c r="F451" s="21">
        <v>138.24</v>
      </c>
      <c r="G451" s="21">
        <v>348.21</v>
      </c>
    </row>
    <row r="452" spans="1:7" ht="15" customHeight="1" x14ac:dyDescent="0.3">
      <c r="A452" s="21" t="s">
        <v>96</v>
      </c>
      <c r="B452" s="21" t="s">
        <v>87</v>
      </c>
      <c r="C452" s="21" t="s">
        <v>276</v>
      </c>
      <c r="D452" s="21">
        <v>0.12</v>
      </c>
      <c r="E452" s="21">
        <v>3.28</v>
      </c>
      <c r="F452" s="21">
        <v>114.09</v>
      </c>
      <c r="G452" s="21">
        <v>347.84</v>
      </c>
    </row>
    <row r="453" spans="1:7" ht="15" customHeight="1" x14ac:dyDescent="0.3">
      <c r="A453" s="21" t="s">
        <v>96</v>
      </c>
      <c r="B453" s="21" t="s">
        <v>87</v>
      </c>
      <c r="C453" s="21" t="s">
        <v>251</v>
      </c>
      <c r="D453" s="21">
        <v>0.1</v>
      </c>
      <c r="E453" s="21">
        <v>2.63</v>
      </c>
      <c r="F453" s="21">
        <v>91.38</v>
      </c>
      <c r="G453" s="21">
        <v>347.45</v>
      </c>
    </row>
    <row r="454" spans="1:7" ht="15" customHeight="1" x14ac:dyDescent="0.3">
      <c r="A454" s="21" t="s">
        <v>96</v>
      </c>
      <c r="B454" s="21" t="s">
        <v>87</v>
      </c>
      <c r="C454" s="21" t="s">
        <v>275</v>
      </c>
      <c r="D454" s="21">
        <v>0.08</v>
      </c>
      <c r="E454" s="21">
        <v>2.0699999999999998</v>
      </c>
      <c r="F454" s="21">
        <v>71.84</v>
      </c>
      <c r="G454" s="21">
        <v>347.05</v>
      </c>
    </row>
    <row r="455" spans="1:7" ht="15" customHeight="1" x14ac:dyDescent="0.3">
      <c r="A455" s="21" t="s">
        <v>96</v>
      </c>
      <c r="B455" s="21" t="s">
        <v>87</v>
      </c>
      <c r="C455" s="21" t="s">
        <v>278</v>
      </c>
      <c r="D455" s="21">
        <v>7.0000000000000007E-2</v>
      </c>
      <c r="E455" s="21">
        <v>1.83</v>
      </c>
      <c r="F455" s="21">
        <v>63.72</v>
      </c>
      <c r="G455" s="21">
        <v>348.2</v>
      </c>
    </row>
    <row r="456" spans="1:7" ht="15" customHeight="1" x14ac:dyDescent="0.3">
      <c r="A456" s="21" t="s">
        <v>96</v>
      </c>
      <c r="B456" s="21" t="s">
        <v>87</v>
      </c>
      <c r="C456" s="21" t="s">
        <v>254</v>
      </c>
      <c r="D456" s="21">
        <v>0.34</v>
      </c>
      <c r="E456" s="21">
        <v>9.2100000000000009</v>
      </c>
      <c r="F456" s="21">
        <v>320.33</v>
      </c>
      <c r="G456" s="21">
        <v>347.81</v>
      </c>
    </row>
    <row r="457" spans="1:7" ht="15" customHeight="1" x14ac:dyDescent="0.3">
      <c r="A457" s="21" t="s">
        <v>96</v>
      </c>
      <c r="B457" s="21" t="s">
        <v>87</v>
      </c>
      <c r="C457" s="21" t="s">
        <v>277</v>
      </c>
      <c r="D457" s="21">
        <v>0.25</v>
      </c>
      <c r="E457" s="21">
        <v>6.86</v>
      </c>
      <c r="F457" s="21">
        <v>238.63</v>
      </c>
      <c r="G457" s="21">
        <v>347.86</v>
      </c>
    </row>
    <row r="458" spans="1:7" ht="15" customHeight="1" x14ac:dyDescent="0.3">
      <c r="A458" s="21" t="s">
        <v>96</v>
      </c>
      <c r="B458" s="21" t="s">
        <v>87</v>
      </c>
      <c r="C458" s="21" t="s">
        <v>266</v>
      </c>
      <c r="D458" s="21">
        <v>0.5</v>
      </c>
      <c r="E458" s="21">
        <v>13.55</v>
      </c>
      <c r="F458" s="21">
        <v>471.52</v>
      </c>
      <c r="G458" s="21">
        <v>347.99</v>
      </c>
    </row>
    <row r="459" spans="1:7" ht="15" customHeight="1" x14ac:dyDescent="0.3">
      <c r="A459" s="21" t="s">
        <v>96</v>
      </c>
      <c r="B459" s="21" t="s">
        <v>87</v>
      </c>
      <c r="C459" s="21" t="s">
        <v>269</v>
      </c>
      <c r="D459" s="21">
        <v>0.03</v>
      </c>
      <c r="E459" s="21">
        <v>0.78</v>
      </c>
      <c r="F459" s="21">
        <v>27.12</v>
      </c>
      <c r="G459" s="21">
        <v>347.69</v>
      </c>
    </row>
    <row r="460" spans="1:7" ht="15" customHeight="1" x14ac:dyDescent="0.3">
      <c r="A460" s="21" t="s">
        <v>96</v>
      </c>
      <c r="B460" s="21" t="s">
        <v>87</v>
      </c>
      <c r="C460" s="21" t="s">
        <v>249</v>
      </c>
      <c r="D460" s="21">
        <v>0.05</v>
      </c>
      <c r="E460" s="21">
        <v>1.32</v>
      </c>
      <c r="F460" s="21">
        <v>45.91</v>
      </c>
      <c r="G460" s="21">
        <v>347.8</v>
      </c>
    </row>
    <row r="461" spans="1:7" ht="15" customHeight="1" x14ac:dyDescent="0.3">
      <c r="A461" s="21" t="s">
        <v>96</v>
      </c>
      <c r="B461" s="21" t="s">
        <v>87</v>
      </c>
      <c r="C461" s="21" t="s">
        <v>258</v>
      </c>
      <c r="D461" s="21">
        <v>0.06</v>
      </c>
      <c r="E461" s="21">
        <v>1.61</v>
      </c>
      <c r="F461" s="21">
        <v>56.08</v>
      </c>
      <c r="G461" s="21">
        <v>348.32</v>
      </c>
    </row>
    <row r="462" spans="1:7" ht="15" customHeight="1" x14ac:dyDescent="0.3">
      <c r="A462" s="21" t="s">
        <v>96</v>
      </c>
      <c r="B462" s="21" t="s">
        <v>87</v>
      </c>
      <c r="C462" s="21" t="s">
        <v>270</v>
      </c>
      <c r="D462" s="21">
        <v>0.01</v>
      </c>
      <c r="E462" s="21">
        <v>0.27</v>
      </c>
      <c r="F462" s="21">
        <v>9.56</v>
      </c>
      <c r="G462" s="21">
        <v>354.07</v>
      </c>
    </row>
    <row r="463" spans="1:7" ht="15" customHeight="1" x14ac:dyDescent="0.3">
      <c r="A463" s="21" t="s">
        <v>96</v>
      </c>
      <c r="B463" s="21" t="s">
        <v>92</v>
      </c>
      <c r="C463" s="21" t="s">
        <v>243</v>
      </c>
      <c r="D463" s="21">
        <v>16.72</v>
      </c>
      <c r="E463" s="21">
        <v>614.47</v>
      </c>
      <c r="F463" s="21">
        <v>21823.27</v>
      </c>
      <c r="G463" s="21">
        <v>355.16</v>
      </c>
    </row>
    <row r="464" spans="1:7" ht="15" customHeight="1" x14ac:dyDescent="0.3">
      <c r="A464" s="21" t="s">
        <v>96</v>
      </c>
      <c r="B464" s="21" t="s">
        <v>92</v>
      </c>
      <c r="C464" s="21" t="s">
        <v>244</v>
      </c>
      <c r="D464" s="21">
        <v>13.62</v>
      </c>
      <c r="E464" s="21">
        <v>500.68</v>
      </c>
      <c r="F464" s="21">
        <v>17782.2</v>
      </c>
      <c r="G464" s="21">
        <v>355.16</v>
      </c>
    </row>
    <row r="465" spans="1:7" ht="15" customHeight="1" x14ac:dyDescent="0.3">
      <c r="A465" s="21" t="s">
        <v>96</v>
      </c>
      <c r="B465" s="21" t="s">
        <v>92</v>
      </c>
      <c r="C465" s="21" t="s">
        <v>245</v>
      </c>
      <c r="D465" s="21">
        <v>7.21</v>
      </c>
      <c r="E465" s="21">
        <v>264.83</v>
      </c>
      <c r="F465" s="21">
        <v>9405.7900000000009</v>
      </c>
      <c r="G465" s="21">
        <v>355.16</v>
      </c>
    </row>
    <row r="466" spans="1:7" ht="15" customHeight="1" x14ac:dyDescent="0.3">
      <c r="A466" s="21" t="s">
        <v>96</v>
      </c>
      <c r="B466" s="21" t="s">
        <v>92</v>
      </c>
      <c r="C466" s="21" t="s">
        <v>246</v>
      </c>
      <c r="D466" s="21">
        <v>6.25</v>
      </c>
      <c r="E466" s="21">
        <v>229.82</v>
      </c>
      <c r="F466" s="21">
        <v>8162.32</v>
      </c>
      <c r="G466" s="21">
        <v>355.16</v>
      </c>
    </row>
    <row r="467" spans="1:7" ht="15" customHeight="1" x14ac:dyDescent="0.3">
      <c r="A467" s="21" t="s">
        <v>96</v>
      </c>
      <c r="B467" s="21" t="s">
        <v>92</v>
      </c>
      <c r="C467" s="21" t="s">
        <v>247</v>
      </c>
      <c r="D467" s="21">
        <v>6.34</v>
      </c>
      <c r="E467" s="21">
        <v>232.99</v>
      </c>
      <c r="F467" s="21">
        <v>8274.85</v>
      </c>
      <c r="G467" s="21">
        <v>355.16</v>
      </c>
    </row>
    <row r="468" spans="1:7" ht="15" customHeight="1" x14ac:dyDescent="0.3">
      <c r="A468" s="21" t="s">
        <v>96</v>
      </c>
      <c r="B468" s="21" t="s">
        <v>92</v>
      </c>
      <c r="C468" s="21" t="s">
        <v>248</v>
      </c>
      <c r="D468" s="21">
        <v>6.12</v>
      </c>
      <c r="E468" s="21">
        <v>224.88</v>
      </c>
      <c r="F468" s="21">
        <v>7986.84</v>
      </c>
      <c r="G468" s="21">
        <v>355.16</v>
      </c>
    </row>
    <row r="469" spans="1:7" ht="15" customHeight="1" x14ac:dyDescent="0.3">
      <c r="A469" s="21" t="s">
        <v>96</v>
      </c>
      <c r="B469" s="21" t="s">
        <v>92</v>
      </c>
      <c r="C469" s="21" t="s">
        <v>255</v>
      </c>
      <c r="D469" s="21">
        <v>5.07</v>
      </c>
      <c r="E469" s="21">
        <v>186.33</v>
      </c>
      <c r="F469" s="21">
        <v>6617.76</v>
      </c>
      <c r="G469" s="21">
        <v>355.16</v>
      </c>
    </row>
    <row r="470" spans="1:7" ht="15" customHeight="1" x14ac:dyDescent="0.3">
      <c r="A470" s="21" t="s">
        <v>96</v>
      </c>
      <c r="B470" s="21" t="s">
        <v>92</v>
      </c>
      <c r="C470" s="21" t="s">
        <v>257</v>
      </c>
      <c r="D470" s="21">
        <v>4.08</v>
      </c>
      <c r="E470" s="21">
        <v>149.9</v>
      </c>
      <c r="F470" s="21">
        <v>5323.72</v>
      </c>
      <c r="G470" s="21">
        <v>355.15</v>
      </c>
    </row>
    <row r="471" spans="1:7" ht="15" customHeight="1" x14ac:dyDescent="0.3">
      <c r="A471" s="21" t="s">
        <v>96</v>
      </c>
      <c r="B471" s="21" t="s">
        <v>92</v>
      </c>
      <c r="C471" s="21" t="s">
        <v>259</v>
      </c>
      <c r="D471" s="21">
        <v>4.32</v>
      </c>
      <c r="E471" s="21">
        <v>158.78</v>
      </c>
      <c r="F471" s="21">
        <v>5639.35</v>
      </c>
      <c r="G471" s="21">
        <v>355.17</v>
      </c>
    </row>
    <row r="472" spans="1:7" ht="15" customHeight="1" x14ac:dyDescent="0.3">
      <c r="A472" s="21" t="s">
        <v>96</v>
      </c>
      <c r="B472" s="21" t="s">
        <v>92</v>
      </c>
      <c r="C472" s="21" t="s">
        <v>260</v>
      </c>
      <c r="D472" s="21">
        <v>3.85</v>
      </c>
      <c r="E472" s="21">
        <v>141.37</v>
      </c>
      <c r="F472" s="21">
        <v>5021.03</v>
      </c>
      <c r="G472" s="21">
        <v>355.17</v>
      </c>
    </row>
    <row r="473" spans="1:7" ht="15" customHeight="1" x14ac:dyDescent="0.3">
      <c r="A473" s="21" t="s">
        <v>96</v>
      </c>
      <c r="B473" s="21" t="s">
        <v>92</v>
      </c>
      <c r="C473" s="21" t="s">
        <v>262</v>
      </c>
      <c r="D473" s="21">
        <v>3.31</v>
      </c>
      <c r="E473" s="21">
        <v>121.63</v>
      </c>
      <c r="F473" s="21">
        <v>4319.91</v>
      </c>
      <c r="G473" s="21">
        <v>355.17</v>
      </c>
    </row>
    <row r="474" spans="1:7" ht="15" customHeight="1" x14ac:dyDescent="0.3">
      <c r="A474" s="21" t="s">
        <v>96</v>
      </c>
      <c r="B474" s="21" t="s">
        <v>92</v>
      </c>
      <c r="C474" s="21" t="s">
        <v>250</v>
      </c>
      <c r="D474" s="21">
        <v>3.04</v>
      </c>
      <c r="E474" s="21">
        <v>111.82</v>
      </c>
      <c r="F474" s="21">
        <v>3971.5</v>
      </c>
      <c r="G474" s="21">
        <v>355.17</v>
      </c>
    </row>
    <row r="475" spans="1:7" ht="15" customHeight="1" x14ac:dyDescent="0.3">
      <c r="A475" s="21" t="s">
        <v>96</v>
      </c>
      <c r="B475" s="21" t="s">
        <v>92</v>
      </c>
      <c r="C475" s="21" t="s">
        <v>263</v>
      </c>
      <c r="D475" s="21">
        <v>2.66</v>
      </c>
      <c r="E475" s="21">
        <v>97.93</v>
      </c>
      <c r="F475" s="21">
        <v>3477.95</v>
      </c>
      <c r="G475" s="21">
        <v>355.15</v>
      </c>
    </row>
    <row r="476" spans="1:7" ht="15" customHeight="1" x14ac:dyDescent="0.3">
      <c r="A476" s="21" t="s">
        <v>96</v>
      </c>
      <c r="B476" s="21" t="s">
        <v>92</v>
      </c>
      <c r="C476" s="21" t="s">
        <v>265</v>
      </c>
      <c r="D476" s="21">
        <v>2.5099999999999998</v>
      </c>
      <c r="E476" s="21">
        <v>92.4</v>
      </c>
      <c r="F476" s="21">
        <v>3281.59</v>
      </c>
      <c r="G476" s="21">
        <v>355.15</v>
      </c>
    </row>
    <row r="477" spans="1:7" ht="15" customHeight="1" x14ac:dyDescent="0.3">
      <c r="A477" s="21" t="s">
        <v>96</v>
      </c>
      <c r="B477" s="21" t="s">
        <v>92</v>
      </c>
      <c r="C477" s="21" t="s">
        <v>253</v>
      </c>
      <c r="D477" s="21">
        <v>2.13</v>
      </c>
      <c r="E477" s="21">
        <v>78.33</v>
      </c>
      <c r="F477" s="21">
        <v>2781.99</v>
      </c>
      <c r="G477" s="21">
        <v>355.16</v>
      </c>
    </row>
    <row r="478" spans="1:7" ht="15" customHeight="1" x14ac:dyDescent="0.3">
      <c r="A478" s="21" t="s">
        <v>96</v>
      </c>
      <c r="B478" s="21" t="s">
        <v>92</v>
      </c>
      <c r="C478" s="21" t="s">
        <v>268</v>
      </c>
      <c r="D478" s="21">
        <v>1.84</v>
      </c>
      <c r="E478" s="21">
        <v>67.8</v>
      </c>
      <c r="F478" s="21">
        <v>2407.8000000000002</v>
      </c>
      <c r="G478" s="21">
        <v>355.13</v>
      </c>
    </row>
    <row r="479" spans="1:7" ht="15" customHeight="1" x14ac:dyDescent="0.3">
      <c r="A479" s="21" t="s">
        <v>96</v>
      </c>
      <c r="B479" s="21" t="s">
        <v>92</v>
      </c>
      <c r="C479" s="21" t="s">
        <v>252</v>
      </c>
      <c r="D479" s="21">
        <v>1.03</v>
      </c>
      <c r="E479" s="21">
        <v>37.81</v>
      </c>
      <c r="F479" s="21">
        <v>1342.91</v>
      </c>
      <c r="G479" s="21">
        <v>355.17</v>
      </c>
    </row>
    <row r="480" spans="1:7" ht="15" customHeight="1" x14ac:dyDescent="0.3">
      <c r="A480" s="21" t="s">
        <v>96</v>
      </c>
      <c r="B480" s="21" t="s">
        <v>92</v>
      </c>
      <c r="C480" s="21" t="s">
        <v>267</v>
      </c>
      <c r="D480" s="21">
        <v>0.96</v>
      </c>
      <c r="E480" s="21">
        <v>35.18</v>
      </c>
      <c r="F480" s="21">
        <v>1249.49</v>
      </c>
      <c r="G480" s="21">
        <v>355.17</v>
      </c>
    </row>
    <row r="481" spans="1:7" ht="15" customHeight="1" x14ac:dyDescent="0.3">
      <c r="A481" s="21" t="s">
        <v>96</v>
      </c>
      <c r="B481" s="21" t="s">
        <v>92</v>
      </c>
      <c r="C481" s="21" t="s">
        <v>256</v>
      </c>
      <c r="D481" s="21">
        <v>0.85</v>
      </c>
      <c r="E481" s="21">
        <v>31.22</v>
      </c>
      <c r="F481" s="21">
        <v>1108.73</v>
      </c>
      <c r="G481" s="21">
        <v>355.13</v>
      </c>
    </row>
    <row r="482" spans="1:7" ht="15" customHeight="1" x14ac:dyDescent="0.3">
      <c r="A482" s="21" t="s">
        <v>96</v>
      </c>
      <c r="B482" s="21" t="s">
        <v>92</v>
      </c>
      <c r="C482" s="21" t="s">
        <v>271</v>
      </c>
      <c r="D482" s="21">
        <v>0.79</v>
      </c>
      <c r="E482" s="21">
        <v>29.03</v>
      </c>
      <c r="F482" s="21">
        <v>1030.95</v>
      </c>
      <c r="G482" s="21">
        <v>355.13</v>
      </c>
    </row>
    <row r="483" spans="1:7" ht="15" customHeight="1" x14ac:dyDescent="0.3">
      <c r="A483" s="21" t="s">
        <v>96</v>
      </c>
      <c r="B483" s="21" t="s">
        <v>92</v>
      </c>
      <c r="C483" s="21" t="s">
        <v>264</v>
      </c>
      <c r="D483" s="21">
        <v>0.57999999999999996</v>
      </c>
      <c r="E483" s="21">
        <v>21.46</v>
      </c>
      <c r="F483" s="21">
        <v>762.18</v>
      </c>
      <c r="G483" s="21">
        <v>355.16</v>
      </c>
    </row>
    <row r="484" spans="1:7" ht="15" customHeight="1" x14ac:dyDescent="0.3">
      <c r="A484" s="21" t="s">
        <v>96</v>
      </c>
      <c r="B484" s="21" t="s">
        <v>92</v>
      </c>
      <c r="C484" s="21" t="s">
        <v>261</v>
      </c>
      <c r="D484" s="21">
        <v>0.52</v>
      </c>
      <c r="E484" s="21">
        <v>19.11</v>
      </c>
      <c r="F484" s="21">
        <v>678.75</v>
      </c>
      <c r="G484" s="21">
        <v>355.18</v>
      </c>
    </row>
    <row r="485" spans="1:7" ht="15" customHeight="1" x14ac:dyDescent="0.3">
      <c r="A485" s="21" t="s">
        <v>96</v>
      </c>
      <c r="B485" s="21" t="s">
        <v>92</v>
      </c>
      <c r="C485" s="21" t="s">
        <v>273</v>
      </c>
      <c r="D485" s="21">
        <v>0.27</v>
      </c>
      <c r="E485" s="21">
        <v>10</v>
      </c>
      <c r="F485" s="21">
        <v>355.22</v>
      </c>
      <c r="G485" s="21">
        <v>355.22</v>
      </c>
    </row>
    <row r="486" spans="1:7" ht="15" customHeight="1" x14ac:dyDescent="0.3">
      <c r="A486" s="21" t="s">
        <v>96</v>
      </c>
      <c r="B486" s="21" t="s">
        <v>92</v>
      </c>
      <c r="C486" s="21" t="s">
        <v>274</v>
      </c>
      <c r="D486" s="21">
        <v>0.2</v>
      </c>
      <c r="E486" s="21">
        <v>7.37</v>
      </c>
      <c r="F486" s="21">
        <v>261.68</v>
      </c>
      <c r="G486" s="21">
        <v>355.06</v>
      </c>
    </row>
    <row r="487" spans="1:7" ht="15" customHeight="1" x14ac:dyDescent="0.3">
      <c r="A487" s="21" t="s">
        <v>96</v>
      </c>
      <c r="B487" s="21" t="s">
        <v>92</v>
      </c>
      <c r="C487" s="21" t="s">
        <v>272</v>
      </c>
      <c r="D487" s="21">
        <v>0.15</v>
      </c>
      <c r="E487" s="21">
        <v>5.67</v>
      </c>
      <c r="F487" s="21">
        <v>201.28</v>
      </c>
      <c r="G487" s="21">
        <v>354.99</v>
      </c>
    </row>
    <row r="488" spans="1:7" ht="15" customHeight="1" x14ac:dyDescent="0.3">
      <c r="A488" s="21" t="s">
        <v>96</v>
      </c>
      <c r="B488" s="21" t="s">
        <v>92</v>
      </c>
      <c r="C488" s="21" t="s">
        <v>276</v>
      </c>
      <c r="D488" s="21">
        <v>0.13</v>
      </c>
      <c r="E488" s="21">
        <v>4.82</v>
      </c>
      <c r="F488" s="21">
        <v>171.19</v>
      </c>
      <c r="G488" s="21">
        <v>355.17</v>
      </c>
    </row>
    <row r="489" spans="1:7" ht="15" customHeight="1" x14ac:dyDescent="0.3">
      <c r="A489" s="21" t="s">
        <v>96</v>
      </c>
      <c r="B489" s="21" t="s">
        <v>92</v>
      </c>
      <c r="C489" s="21" t="s">
        <v>251</v>
      </c>
      <c r="D489" s="21">
        <v>0.1</v>
      </c>
      <c r="E489" s="21">
        <v>3.59</v>
      </c>
      <c r="F489" s="21">
        <v>127.4</v>
      </c>
      <c r="G489" s="21">
        <v>354.87</v>
      </c>
    </row>
    <row r="490" spans="1:7" ht="15" customHeight="1" x14ac:dyDescent="0.3">
      <c r="A490" s="21" t="s">
        <v>96</v>
      </c>
      <c r="B490" s="21" t="s">
        <v>92</v>
      </c>
      <c r="C490" s="21" t="s">
        <v>275</v>
      </c>
      <c r="D490" s="21">
        <v>0.08</v>
      </c>
      <c r="E490" s="21">
        <v>2.99</v>
      </c>
      <c r="F490" s="21">
        <v>106.13</v>
      </c>
      <c r="G490" s="21">
        <v>354.95</v>
      </c>
    </row>
    <row r="491" spans="1:7" ht="15" customHeight="1" x14ac:dyDescent="0.3">
      <c r="A491" s="21" t="s">
        <v>96</v>
      </c>
      <c r="B491" s="21" t="s">
        <v>92</v>
      </c>
      <c r="C491" s="21" t="s">
        <v>278</v>
      </c>
      <c r="D491" s="21">
        <v>0.06</v>
      </c>
      <c r="E491" s="21">
        <v>2.34</v>
      </c>
      <c r="F491" s="21">
        <v>83.14</v>
      </c>
      <c r="G491" s="21">
        <v>355.3</v>
      </c>
    </row>
    <row r="492" spans="1:7" ht="15" customHeight="1" x14ac:dyDescent="0.3">
      <c r="A492" s="21" t="s">
        <v>96</v>
      </c>
      <c r="B492" s="21" t="s">
        <v>92</v>
      </c>
      <c r="C492" s="21" t="s">
        <v>254</v>
      </c>
      <c r="D492" s="21">
        <v>0.31</v>
      </c>
      <c r="E492" s="21">
        <v>11.33</v>
      </c>
      <c r="F492" s="21">
        <v>402.25</v>
      </c>
      <c r="G492" s="21">
        <v>355.03</v>
      </c>
    </row>
    <row r="493" spans="1:7" ht="15" customHeight="1" x14ac:dyDescent="0.3">
      <c r="A493" s="21" t="s">
        <v>96</v>
      </c>
      <c r="B493" s="21" t="s">
        <v>92</v>
      </c>
      <c r="C493" s="21" t="s">
        <v>277</v>
      </c>
      <c r="D493" s="21">
        <v>0.26</v>
      </c>
      <c r="E493" s="21">
        <v>9.58</v>
      </c>
      <c r="F493" s="21">
        <v>340.14</v>
      </c>
      <c r="G493" s="21">
        <v>355.05</v>
      </c>
    </row>
    <row r="494" spans="1:7" ht="15" customHeight="1" x14ac:dyDescent="0.3">
      <c r="A494" s="21" t="s">
        <v>96</v>
      </c>
      <c r="B494" s="21" t="s">
        <v>92</v>
      </c>
      <c r="C494" s="21" t="s">
        <v>266</v>
      </c>
      <c r="D494" s="21">
        <v>0.45</v>
      </c>
      <c r="E494" s="21">
        <v>16.54</v>
      </c>
      <c r="F494" s="21">
        <v>587.28</v>
      </c>
      <c r="G494" s="21">
        <v>355.07</v>
      </c>
    </row>
    <row r="495" spans="1:7" ht="15" customHeight="1" x14ac:dyDescent="0.3">
      <c r="A495" s="21" t="s">
        <v>96</v>
      </c>
      <c r="B495" s="21" t="s">
        <v>92</v>
      </c>
      <c r="C495" s="21" t="s">
        <v>269</v>
      </c>
      <c r="D495" s="21">
        <v>0.03</v>
      </c>
      <c r="E495" s="21">
        <v>1.17</v>
      </c>
      <c r="F495" s="21">
        <v>41.47</v>
      </c>
      <c r="G495" s="21">
        <v>354.44</v>
      </c>
    </row>
    <row r="496" spans="1:7" ht="15" customHeight="1" x14ac:dyDescent="0.3">
      <c r="A496" s="21" t="s">
        <v>96</v>
      </c>
      <c r="B496" s="21" t="s">
        <v>92</v>
      </c>
      <c r="C496" s="21" t="s">
        <v>249</v>
      </c>
      <c r="D496" s="21">
        <v>0.05</v>
      </c>
      <c r="E496" s="21">
        <v>1.71</v>
      </c>
      <c r="F496" s="21">
        <v>60.79</v>
      </c>
      <c r="G496" s="21">
        <v>355.5</v>
      </c>
    </row>
    <row r="497" spans="1:7" ht="15" customHeight="1" x14ac:dyDescent="0.3">
      <c r="A497" s="21" t="s">
        <v>96</v>
      </c>
      <c r="B497" s="21" t="s">
        <v>92</v>
      </c>
      <c r="C497" s="21" t="s">
        <v>258</v>
      </c>
      <c r="D497" s="21">
        <v>0.06</v>
      </c>
      <c r="E497" s="21">
        <v>2.2599999999999998</v>
      </c>
      <c r="F497" s="21">
        <v>80.36</v>
      </c>
      <c r="G497" s="21">
        <v>355.58</v>
      </c>
    </row>
    <row r="498" spans="1:7" ht="15" customHeight="1" x14ac:dyDescent="0.3">
      <c r="A498" s="21" t="s">
        <v>96</v>
      </c>
      <c r="B498" s="21" t="s">
        <v>92</v>
      </c>
      <c r="C498" s="21" t="s">
        <v>270</v>
      </c>
      <c r="D498" s="21">
        <v>0.01</v>
      </c>
      <c r="E498" s="21">
        <v>0.4</v>
      </c>
      <c r="F498" s="21">
        <v>14.27</v>
      </c>
      <c r="G498" s="21">
        <v>356.75</v>
      </c>
    </row>
    <row r="499" spans="1:7" ht="15" customHeight="1" x14ac:dyDescent="0.3">
      <c r="A499" s="21" t="s">
        <v>96</v>
      </c>
      <c r="B499" s="21" t="s">
        <v>95</v>
      </c>
      <c r="C499" s="21" t="s">
        <v>243</v>
      </c>
      <c r="D499" s="21">
        <v>16.850000000000001</v>
      </c>
      <c r="E499" s="21">
        <v>652.78</v>
      </c>
      <c r="F499" s="21">
        <v>22960.61</v>
      </c>
      <c r="G499" s="21">
        <v>351.74</v>
      </c>
    </row>
    <row r="500" spans="1:7" ht="15" customHeight="1" x14ac:dyDescent="0.3">
      <c r="A500" s="21" t="s">
        <v>96</v>
      </c>
      <c r="B500" s="21" t="s">
        <v>95</v>
      </c>
      <c r="C500" s="21" t="s">
        <v>244</v>
      </c>
      <c r="D500" s="21">
        <v>12.98</v>
      </c>
      <c r="E500" s="21">
        <v>502.85</v>
      </c>
      <c r="F500" s="21">
        <v>17687.02</v>
      </c>
      <c r="G500" s="21">
        <v>351.74</v>
      </c>
    </row>
    <row r="501" spans="1:7" ht="15" customHeight="1" x14ac:dyDescent="0.3">
      <c r="A501" s="21" t="s">
        <v>96</v>
      </c>
      <c r="B501" s="21" t="s">
        <v>95</v>
      </c>
      <c r="C501" s="21" t="s">
        <v>245</v>
      </c>
      <c r="D501" s="21">
        <v>8.1999999999999993</v>
      </c>
      <c r="E501" s="21">
        <v>317.88</v>
      </c>
      <c r="F501" s="21">
        <v>11180.97</v>
      </c>
      <c r="G501" s="21">
        <v>351.74</v>
      </c>
    </row>
    <row r="502" spans="1:7" ht="15" customHeight="1" x14ac:dyDescent="0.3">
      <c r="A502" s="21" t="s">
        <v>96</v>
      </c>
      <c r="B502" s="21" t="s">
        <v>95</v>
      </c>
      <c r="C502" s="21" t="s">
        <v>246</v>
      </c>
      <c r="D502" s="21">
        <v>6.54</v>
      </c>
      <c r="E502" s="21">
        <v>253.51</v>
      </c>
      <c r="F502" s="21">
        <v>8916.8799999999992</v>
      </c>
      <c r="G502" s="21">
        <v>351.74</v>
      </c>
    </row>
    <row r="503" spans="1:7" ht="15" customHeight="1" x14ac:dyDescent="0.3">
      <c r="A503" s="21" t="s">
        <v>96</v>
      </c>
      <c r="B503" s="21" t="s">
        <v>95</v>
      </c>
      <c r="C503" s="21" t="s">
        <v>247</v>
      </c>
      <c r="D503" s="21">
        <v>6.94</v>
      </c>
      <c r="E503" s="21">
        <v>268.94</v>
      </c>
      <c r="F503" s="21">
        <v>9459.64</v>
      </c>
      <c r="G503" s="21">
        <v>351.74</v>
      </c>
    </row>
    <row r="504" spans="1:7" ht="15" customHeight="1" x14ac:dyDescent="0.3">
      <c r="A504" s="21" t="s">
        <v>96</v>
      </c>
      <c r="B504" s="21" t="s">
        <v>95</v>
      </c>
      <c r="C504" s="21" t="s">
        <v>248</v>
      </c>
      <c r="D504" s="21">
        <v>5.62</v>
      </c>
      <c r="E504" s="21">
        <v>217.88</v>
      </c>
      <c r="F504" s="21">
        <v>7663.67</v>
      </c>
      <c r="G504" s="21">
        <v>351.74</v>
      </c>
    </row>
    <row r="505" spans="1:7" ht="15" customHeight="1" x14ac:dyDescent="0.3">
      <c r="A505" s="21" t="s">
        <v>96</v>
      </c>
      <c r="B505" s="21" t="s">
        <v>95</v>
      </c>
      <c r="C505" s="21" t="s">
        <v>255</v>
      </c>
      <c r="D505" s="21">
        <v>5.64</v>
      </c>
      <c r="E505" s="21">
        <v>218.5</v>
      </c>
      <c r="F505" s="21">
        <v>7685.31</v>
      </c>
      <c r="G505" s="21">
        <v>351.73</v>
      </c>
    </row>
    <row r="506" spans="1:7" ht="15" customHeight="1" x14ac:dyDescent="0.3">
      <c r="A506" s="21" t="s">
        <v>96</v>
      </c>
      <c r="B506" s="21" t="s">
        <v>95</v>
      </c>
      <c r="C506" s="21" t="s">
        <v>257</v>
      </c>
      <c r="D506" s="21">
        <v>4.42</v>
      </c>
      <c r="E506" s="21">
        <v>171.46</v>
      </c>
      <c r="F506" s="21">
        <v>6030.88</v>
      </c>
      <c r="G506" s="21">
        <v>351.74</v>
      </c>
    </row>
    <row r="507" spans="1:7" ht="15" customHeight="1" x14ac:dyDescent="0.3">
      <c r="A507" s="21" t="s">
        <v>96</v>
      </c>
      <c r="B507" s="21" t="s">
        <v>95</v>
      </c>
      <c r="C507" s="21" t="s">
        <v>259</v>
      </c>
      <c r="D507" s="21">
        <v>3.95</v>
      </c>
      <c r="E507" s="21">
        <v>153.15</v>
      </c>
      <c r="F507" s="21">
        <v>5386.81</v>
      </c>
      <c r="G507" s="21">
        <v>351.73</v>
      </c>
    </row>
    <row r="508" spans="1:7" ht="15" customHeight="1" x14ac:dyDescent="0.3">
      <c r="A508" s="21" t="s">
        <v>96</v>
      </c>
      <c r="B508" s="21" t="s">
        <v>95</v>
      </c>
      <c r="C508" s="21" t="s">
        <v>260</v>
      </c>
      <c r="D508" s="21">
        <v>4.07</v>
      </c>
      <c r="E508" s="21">
        <v>157.81</v>
      </c>
      <c r="F508" s="21">
        <v>5550.84</v>
      </c>
      <c r="G508" s="21">
        <v>351.74</v>
      </c>
    </row>
    <row r="509" spans="1:7" ht="15" customHeight="1" x14ac:dyDescent="0.3">
      <c r="A509" s="21" t="s">
        <v>96</v>
      </c>
      <c r="B509" s="21" t="s">
        <v>95</v>
      </c>
      <c r="C509" s="21" t="s">
        <v>262</v>
      </c>
      <c r="D509" s="21">
        <v>3.44</v>
      </c>
      <c r="E509" s="21">
        <v>133.27000000000001</v>
      </c>
      <c r="F509" s="21">
        <v>4687.49</v>
      </c>
      <c r="G509" s="21">
        <v>351.73</v>
      </c>
    </row>
    <row r="510" spans="1:7" ht="15" customHeight="1" x14ac:dyDescent="0.3">
      <c r="A510" s="21" t="s">
        <v>96</v>
      </c>
      <c r="B510" s="21" t="s">
        <v>95</v>
      </c>
      <c r="C510" s="21" t="s">
        <v>250</v>
      </c>
      <c r="D510" s="21">
        <v>3.43</v>
      </c>
      <c r="E510" s="21">
        <v>133.01</v>
      </c>
      <c r="F510" s="21">
        <v>4678.3599999999997</v>
      </c>
      <c r="G510" s="21">
        <v>351.73</v>
      </c>
    </row>
    <row r="511" spans="1:7" ht="15" customHeight="1" x14ac:dyDescent="0.3">
      <c r="A511" s="21" t="s">
        <v>96</v>
      </c>
      <c r="B511" s="21" t="s">
        <v>95</v>
      </c>
      <c r="C511" s="21" t="s">
        <v>263</v>
      </c>
      <c r="D511" s="21">
        <v>2.79</v>
      </c>
      <c r="E511" s="21">
        <v>108.07</v>
      </c>
      <c r="F511" s="21">
        <v>3801.33</v>
      </c>
      <c r="G511" s="21">
        <v>351.75</v>
      </c>
    </row>
    <row r="512" spans="1:7" ht="15" customHeight="1" x14ac:dyDescent="0.3">
      <c r="A512" s="21" t="s">
        <v>96</v>
      </c>
      <c r="B512" s="21" t="s">
        <v>95</v>
      </c>
      <c r="C512" s="21" t="s">
        <v>265</v>
      </c>
      <c r="D512" s="21">
        <v>2.27</v>
      </c>
      <c r="E512" s="21">
        <v>87.95</v>
      </c>
      <c r="F512" s="21">
        <v>3093.57</v>
      </c>
      <c r="G512" s="21">
        <v>351.74</v>
      </c>
    </row>
    <row r="513" spans="1:7" ht="15" customHeight="1" x14ac:dyDescent="0.3">
      <c r="A513" s="21" t="s">
        <v>96</v>
      </c>
      <c r="B513" s="21" t="s">
        <v>95</v>
      </c>
      <c r="C513" s="21" t="s">
        <v>253</v>
      </c>
      <c r="D513" s="21">
        <v>2.2999999999999998</v>
      </c>
      <c r="E513" s="21">
        <v>89.05</v>
      </c>
      <c r="F513" s="21">
        <v>3132.23</v>
      </c>
      <c r="G513" s="21">
        <v>351.74</v>
      </c>
    </row>
    <row r="514" spans="1:7" ht="15" customHeight="1" x14ac:dyDescent="0.3">
      <c r="A514" s="21" t="s">
        <v>96</v>
      </c>
      <c r="B514" s="21" t="s">
        <v>95</v>
      </c>
      <c r="C514" s="21" t="s">
        <v>268</v>
      </c>
      <c r="D514" s="21">
        <v>1.75</v>
      </c>
      <c r="E514" s="21">
        <v>67.69</v>
      </c>
      <c r="F514" s="21">
        <v>2380.9499999999998</v>
      </c>
      <c r="G514" s="21">
        <v>351.74</v>
      </c>
    </row>
    <row r="515" spans="1:7" ht="15" customHeight="1" x14ac:dyDescent="0.3">
      <c r="A515" s="21" t="s">
        <v>96</v>
      </c>
      <c r="B515" s="21" t="s">
        <v>95</v>
      </c>
      <c r="C515" s="21" t="s">
        <v>252</v>
      </c>
      <c r="D515" s="21">
        <v>1.24</v>
      </c>
      <c r="E515" s="21">
        <v>48.12</v>
      </c>
      <c r="F515" s="21">
        <v>1692.68</v>
      </c>
      <c r="G515" s="21">
        <v>351.76</v>
      </c>
    </row>
    <row r="516" spans="1:7" ht="15" customHeight="1" x14ac:dyDescent="0.3">
      <c r="A516" s="21" t="s">
        <v>96</v>
      </c>
      <c r="B516" s="21" t="s">
        <v>95</v>
      </c>
      <c r="C516" s="21" t="s">
        <v>267</v>
      </c>
      <c r="D516" s="21">
        <v>1</v>
      </c>
      <c r="E516" s="21">
        <v>38.799999999999997</v>
      </c>
      <c r="F516" s="21">
        <v>1364.67</v>
      </c>
      <c r="G516" s="21">
        <v>351.72</v>
      </c>
    </row>
    <row r="517" spans="1:7" ht="15" customHeight="1" x14ac:dyDescent="0.3">
      <c r="A517" s="21" t="s">
        <v>96</v>
      </c>
      <c r="B517" s="21" t="s">
        <v>95</v>
      </c>
      <c r="C517" s="21" t="s">
        <v>256</v>
      </c>
      <c r="D517" s="21">
        <v>0.83</v>
      </c>
      <c r="E517" s="21">
        <v>32.18</v>
      </c>
      <c r="F517" s="21">
        <v>1132.01</v>
      </c>
      <c r="G517" s="21">
        <v>351.77</v>
      </c>
    </row>
    <row r="518" spans="1:7" ht="15" customHeight="1" x14ac:dyDescent="0.3">
      <c r="A518" s="21" t="s">
        <v>96</v>
      </c>
      <c r="B518" s="21" t="s">
        <v>95</v>
      </c>
      <c r="C518" s="21" t="s">
        <v>271</v>
      </c>
      <c r="D518" s="21">
        <v>0.81</v>
      </c>
      <c r="E518" s="21">
        <v>31.25</v>
      </c>
      <c r="F518" s="21">
        <v>1099.32</v>
      </c>
      <c r="G518" s="21">
        <v>351.78</v>
      </c>
    </row>
    <row r="519" spans="1:7" ht="15" customHeight="1" x14ac:dyDescent="0.3">
      <c r="A519" s="21" t="s">
        <v>96</v>
      </c>
      <c r="B519" s="21" t="s">
        <v>95</v>
      </c>
      <c r="C519" s="21" t="s">
        <v>264</v>
      </c>
      <c r="D519" s="21">
        <v>0.67</v>
      </c>
      <c r="E519" s="21">
        <v>25.8</v>
      </c>
      <c r="F519" s="21">
        <v>907.57</v>
      </c>
      <c r="G519" s="21">
        <v>351.77</v>
      </c>
    </row>
    <row r="520" spans="1:7" ht="15" customHeight="1" x14ac:dyDescent="0.3">
      <c r="A520" s="21" t="s">
        <v>96</v>
      </c>
      <c r="B520" s="21" t="s">
        <v>95</v>
      </c>
      <c r="C520" s="21" t="s">
        <v>261</v>
      </c>
      <c r="D520" s="21">
        <v>0.51</v>
      </c>
      <c r="E520" s="21">
        <v>19.850000000000001</v>
      </c>
      <c r="F520" s="21">
        <v>698.27</v>
      </c>
      <c r="G520" s="21">
        <v>351.77</v>
      </c>
    </row>
    <row r="521" spans="1:7" ht="15" customHeight="1" x14ac:dyDescent="0.3">
      <c r="A521" s="21" t="s">
        <v>96</v>
      </c>
      <c r="B521" s="21" t="s">
        <v>95</v>
      </c>
      <c r="C521" s="21" t="s">
        <v>273</v>
      </c>
      <c r="D521" s="21">
        <v>0.3</v>
      </c>
      <c r="E521" s="21">
        <v>11.59</v>
      </c>
      <c r="F521" s="21">
        <v>407.71</v>
      </c>
      <c r="G521" s="21">
        <v>351.78</v>
      </c>
    </row>
    <row r="522" spans="1:7" ht="15" customHeight="1" x14ac:dyDescent="0.3">
      <c r="A522" s="21" t="s">
        <v>96</v>
      </c>
      <c r="B522" s="21" t="s">
        <v>95</v>
      </c>
      <c r="C522" s="21" t="s">
        <v>274</v>
      </c>
      <c r="D522" s="21">
        <v>0.21</v>
      </c>
      <c r="E522" s="21">
        <v>8.17</v>
      </c>
      <c r="F522" s="21">
        <v>287.25</v>
      </c>
      <c r="G522" s="21">
        <v>351.59</v>
      </c>
    </row>
    <row r="523" spans="1:7" ht="15" customHeight="1" x14ac:dyDescent="0.3">
      <c r="A523" s="21" t="s">
        <v>96</v>
      </c>
      <c r="B523" s="21" t="s">
        <v>95</v>
      </c>
      <c r="C523" s="21" t="s">
        <v>272</v>
      </c>
      <c r="D523" s="21">
        <v>0.15</v>
      </c>
      <c r="E523" s="21">
        <v>5.87</v>
      </c>
      <c r="F523" s="21">
        <v>206.6</v>
      </c>
      <c r="G523" s="21">
        <v>351.96</v>
      </c>
    </row>
    <row r="524" spans="1:7" ht="15" customHeight="1" x14ac:dyDescent="0.3">
      <c r="A524" s="21" t="s">
        <v>96</v>
      </c>
      <c r="B524" s="21" t="s">
        <v>95</v>
      </c>
      <c r="C524" s="21" t="s">
        <v>276</v>
      </c>
      <c r="D524" s="21">
        <v>0.12</v>
      </c>
      <c r="E524" s="21">
        <v>4.7</v>
      </c>
      <c r="F524" s="21">
        <v>165.27</v>
      </c>
      <c r="G524" s="21">
        <v>351.64</v>
      </c>
    </row>
    <row r="525" spans="1:7" ht="15" customHeight="1" x14ac:dyDescent="0.3">
      <c r="A525" s="21" t="s">
        <v>96</v>
      </c>
      <c r="B525" s="21" t="s">
        <v>95</v>
      </c>
      <c r="C525" s="21" t="s">
        <v>251</v>
      </c>
      <c r="D525" s="21">
        <v>0.09</v>
      </c>
      <c r="E525" s="21">
        <v>3.66</v>
      </c>
      <c r="F525" s="21">
        <v>128.86000000000001</v>
      </c>
      <c r="G525" s="21">
        <v>352.08</v>
      </c>
    </row>
    <row r="526" spans="1:7" ht="15" customHeight="1" x14ac:dyDescent="0.3">
      <c r="A526" s="21" t="s">
        <v>96</v>
      </c>
      <c r="B526" s="21" t="s">
        <v>95</v>
      </c>
      <c r="C526" s="21" t="s">
        <v>275</v>
      </c>
      <c r="D526" s="21">
        <v>0.08</v>
      </c>
      <c r="E526" s="21">
        <v>3.14</v>
      </c>
      <c r="F526" s="21">
        <v>110.31</v>
      </c>
      <c r="G526" s="21">
        <v>351.31</v>
      </c>
    </row>
    <row r="527" spans="1:7" ht="15" customHeight="1" x14ac:dyDescent="0.3">
      <c r="A527" s="21" t="s">
        <v>96</v>
      </c>
      <c r="B527" s="21" t="s">
        <v>95</v>
      </c>
      <c r="C527" s="21" t="s">
        <v>278</v>
      </c>
      <c r="D527" s="21">
        <v>7.0000000000000007E-2</v>
      </c>
      <c r="E527" s="21">
        <v>2.85</v>
      </c>
      <c r="F527" s="21">
        <v>100.35</v>
      </c>
      <c r="G527" s="21">
        <v>352.11</v>
      </c>
    </row>
    <row r="528" spans="1:7" ht="15" customHeight="1" x14ac:dyDescent="0.3">
      <c r="A528" s="21" t="s">
        <v>96</v>
      </c>
      <c r="B528" s="21" t="s">
        <v>95</v>
      </c>
      <c r="C528" s="21" t="s">
        <v>254</v>
      </c>
      <c r="D528" s="21">
        <v>0.34</v>
      </c>
      <c r="E528" s="21">
        <v>13</v>
      </c>
      <c r="F528" s="21">
        <v>457.09</v>
      </c>
      <c r="G528" s="21">
        <v>351.61</v>
      </c>
    </row>
    <row r="529" spans="1:7" ht="15" customHeight="1" x14ac:dyDescent="0.3">
      <c r="A529" s="21" t="s">
        <v>96</v>
      </c>
      <c r="B529" s="21" t="s">
        <v>95</v>
      </c>
      <c r="C529" s="21" t="s">
        <v>277</v>
      </c>
      <c r="D529" s="21">
        <v>0.27</v>
      </c>
      <c r="E529" s="21">
        <v>10.38</v>
      </c>
      <c r="F529" s="21">
        <v>365.01</v>
      </c>
      <c r="G529" s="21">
        <v>351.65</v>
      </c>
    </row>
    <row r="530" spans="1:7" ht="15" customHeight="1" x14ac:dyDescent="0.3">
      <c r="A530" s="21" t="s">
        <v>96</v>
      </c>
      <c r="B530" s="21" t="s">
        <v>95</v>
      </c>
      <c r="C530" s="21" t="s">
        <v>266</v>
      </c>
      <c r="D530" s="21">
        <v>0.45</v>
      </c>
      <c r="E530" s="21">
        <v>17.36</v>
      </c>
      <c r="F530" s="21">
        <v>610.52</v>
      </c>
      <c r="G530" s="21">
        <v>351.68</v>
      </c>
    </row>
    <row r="531" spans="1:7" ht="15" customHeight="1" x14ac:dyDescent="0.3">
      <c r="A531" s="21" t="s">
        <v>96</v>
      </c>
      <c r="B531" s="21" t="s">
        <v>95</v>
      </c>
      <c r="C531" s="21" t="s">
        <v>269</v>
      </c>
      <c r="D531" s="21">
        <v>0.03</v>
      </c>
      <c r="E531" s="21">
        <v>1.1100000000000001</v>
      </c>
      <c r="F531" s="21">
        <v>39.07</v>
      </c>
      <c r="G531" s="21">
        <v>351.98</v>
      </c>
    </row>
    <row r="532" spans="1:7" ht="15" customHeight="1" x14ac:dyDescent="0.3">
      <c r="A532" s="21" t="s">
        <v>96</v>
      </c>
      <c r="B532" s="21" t="s">
        <v>95</v>
      </c>
      <c r="C532" s="21" t="s">
        <v>249</v>
      </c>
      <c r="D532" s="21">
        <v>0.05</v>
      </c>
      <c r="E532" s="21">
        <v>2.0299999999999998</v>
      </c>
      <c r="F532" s="21">
        <v>71.55</v>
      </c>
      <c r="G532" s="21">
        <v>352.46</v>
      </c>
    </row>
    <row r="533" spans="1:7" ht="15" customHeight="1" x14ac:dyDescent="0.3">
      <c r="A533" s="21" t="s">
        <v>96</v>
      </c>
      <c r="B533" s="21" t="s">
        <v>95</v>
      </c>
      <c r="C533" s="21" t="s">
        <v>258</v>
      </c>
      <c r="D533" s="21">
        <v>0.06</v>
      </c>
      <c r="E533" s="21">
        <v>2.29</v>
      </c>
      <c r="F533" s="21">
        <v>80.599999999999994</v>
      </c>
      <c r="G533" s="21">
        <v>351.97</v>
      </c>
    </row>
    <row r="534" spans="1:7" ht="15" customHeight="1" x14ac:dyDescent="0.3">
      <c r="A534" s="21" t="s">
        <v>96</v>
      </c>
      <c r="B534" s="21" t="s">
        <v>95</v>
      </c>
      <c r="C534" s="21" t="s">
        <v>270</v>
      </c>
      <c r="D534" s="21">
        <v>0.01</v>
      </c>
      <c r="E534" s="21">
        <v>0.4</v>
      </c>
      <c r="F534" s="21">
        <v>14.15</v>
      </c>
      <c r="G534" s="21">
        <v>353.75</v>
      </c>
    </row>
    <row r="535" spans="1:7" ht="15" customHeight="1" x14ac:dyDescent="0.3">
      <c r="A535" s="21" t="s">
        <v>98</v>
      </c>
      <c r="B535" s="21" t="s">
        <v>88</v>
      </c>
      <c r="C535" s="21" t="s">
        <v>243</v>
      </c>
      <c r="D535" s="21">
        <v>16.260000000000002</v>
      </c>
      <c r="E535" s="21">
        <v>581.14</v>
      </c>
      <c r="F535" s="21">
        <v>19894.39</v>
      </c>
      <c r="G535" s="21">
        <v>342.33</v>
      </c>
    </row>
    <row r="536" spans="1:7" ht="15" customHeight="1" x14ac:dyDescent="0.3">
      <c r="A536" s="21" t="s">
        <v>98</v>
      </c>
      <c r="B536" s="21" t="s">
        <v>88</v>
      </c>
      <c r="C536" s="21" t="s">
        <v>244</v>
      </c>
      <c r="D536" s="21">
        <v>12.76</v>
      </c>
      <c r="E536" s="21">
        <v>456.13</v>
      </c>
      <c r="F536" s="21">
        <v>15614.85</v>
      </c>
      <c r="G536" s="21">
        <v>342.33</v>
      </c>
    </row>
    <row r="537" spans="1:7" ht="15" customHeight="1" x14ac:dyDescent="0.3">
      <c r="A537" s="21" t="s">
        <v>98</v>
      </c>
      <c r="B537" s="21" t="s">
        <v>88</v>
      </c>
      <c r="C537" s="21" t="s">
        <v>245</v>
      </c>
      <c r="D537" s="21">
        <v>8.4</v>
      </c>
      <c r="E537" s="21">
        <v>300.32</v>
      </c>
      <c r="F537" s="21">
        <v>10280.879999999999</v>
      </c>
      <c r="G537" s="21">
        <v>342.33</v>
      </c>
    </row>
    <row r="538" spans="1:7" ht="15" customHeight="1" x14ac:dyDescent="0.3">
      <c r="A538" s="21" t="s">
        <v>98</v>
      </c>
      <c r="B538" s="21" t="s">
        <v>88</v>
      </c>
      <c r="C538" s="21" t="s">
        <v>246</v>
      </c>
      <c r="D538" s="21">
        <v>7.2</v>
      </c>
      <c r="E538" s="21">
        <v>257.45999999999998</v>
      </c>
      <c r="F538" s="21">
        <v>8813.7000000000007</v>
      </c>
      <c r="G538" s="21">
        <v>342.33</v>
      </c>
    </row>
    <row r="539" spans="1:7" ht="15" customHeight="1" x14ac:dyDescent="0.3">
      <c r="A539" s="21" t="s">
        <v>98</v>
      </c>
      <c r="B539" s="21" t="s">
        <v>88</v>
      </c>
      <c r="C539" s="21" t="s">
        <v>247</v>
      </c>
      <c r="D539" s="21">
        <v>5.85</v>
      </c>
      <c r="E539" s="21">
        <v>209.14</v>
      </c>
      <c r="F539" s="21">
        <v>7159.66</v>
      </c>
      <c r="G539" s="21">
        <v>342.34</v>
      </c>
    </row>
    <row r="540" spans="1:7" ht="15" customHeight="1" x14ac:dyDescent="0.3">
      <c r="A540" s="21" t="s">
        <v>98</v>
      </c>
      <c r="B540" s="21" t="s">
        <v>88</v>
      </c>
      <c r="C540" s="21" t="s">
        <v>248</v>
      </c>
      <c r="D540" s="21">
        <v>5.47</v>
      </c>
      <c r="E540" s="21">
        <v>195.68</v>
      </c>
      <c r="F540" s="21">
        <v>6698.85</v>
      </c>
      <c r="G540" s="21">
        <v>342.34</v>
      </c>
    </row>
    <row r="541" spans="1:7" ht="15" customHeight="1" x14ac:dyDescent="0.3">
      <c r="A541" s="21" t="s">
        <v>98</v>
      </c>
      <c r="B541" s="21" t="s">
        <v>88</v>
      </c>
      <c r="C541" s="21" t="s">
        <v>255</v>
      </c>
      <c r="D541" s="21">
        <v>5.76</v>
      </c>
      <c r="E541" s="21">
        <v>205.72</v>
      </c>
      <c r="F541" s="21">
        <v>7042.36</v>
      </c>
      <c r="G541" s="21">
        <v>342.33</v>
      </c>
    </row>
    <row r="542" spans="1:7" ht="15" customHeight="1" x14ac:dyDescent="0.3">
      <c r="A542" s="21" t="s">
        <v>98</v>
      </c>
      <c r="B542" s="21" t="s">
        <v>88</v>
      </c>
      <c r="C542" s="21" t="s">
        <v>257</v>
      </c>
      <c r="D542" s="21">
        <v>4.7699999999999996</v>
      </c>
      <c r="E542" s="21">
        <v>170.43</v>
      </c>
      <c r="F542" s="21">
        <v>5834.33</v>
      </c>
      <c r="G542" s="21">
        <v>342.33</v>
      </c>
    </row>
    <row r="543" spans="1:7" ht="15" customHeight="1" x14ac:dyDescent="0.3">
      <c r="A543" s="21" t="s">
        <v>98</v>
      </c>
      <c r="B543" s="21" t="s">
        <v>88</v>
      </c>
      <c r="C543" s="21" t="s">
        <v>259</v>
      </c>
      <c r="D543" s="21">
        <v>4.09</v>
      </c>
      <c r="E543" s="21">
        <v>146.19</v>
      </c>
      <c r="F543" s="21">
        <v>5004.42</v>
      </c>
      <c r="G543" s="21">
        <v>342.32</v>
      </c>
    </row>
    <row r="544" spans="1:7" ht="15" customHeight="1" x14ac:dyDescent="0.3">
      <c r="A544" s="21" t="s">
        <v>98</v>
      </c>
      <c r="B544" s="21" t="s">
        <v>88</v>
      </c>
      <c r="C544" s="21" t="s">
        <v>260</v>
      </c>
      <c r="D544" s="21">
        <v>3.54</v>
      </c>
      <c r="E544" s="21">
        <v>126.59</v>
      </c>
      <c r="F544" s="21">
        <v>4333.7299999999996</v>
      </c>
      <c r="G544" s="21">
        <v>342.34</v>
      </c>
    </row>
    <row r="545" spans="1:7" ht="15" customHeight="1" x14ac:dyDescent="0.3">
      <c r="A545" s="21" t="s">
        <v>98</v>
      </c>
      <c r="B545" s="21" t="s">
        <v>88</v>
      </c>
      <c r="C545" s="21" t="s">
        <v>262</v>
      </c>
      <c r="D545" s="21">
        <v>3.31</v>
      </c>
      <c r="E545" s="21">
        <v>118.34</v>
      </c>
      <c r="F545" s="21">
        <v>4051.3</v>
      </c>
      <c r="G545" s="21">
        <v>342.34</v>
      </c>
    </row>
    <row r="546" spans="1:7" ht="15" customHeight="1" x14ac:dyDescent="0.3">
      <c r="A546" s="21" t="s">
        <v>98</v>
      </c>
      <c r="B546" s="21" t="s">
        <v>88</v>
      </c>
      <c r="C546" s="21" t="s">
        <v>250</v>
      </c>
      <c r="D546" s="21">
        <v>2.88</v>
      </c>
      <c r="E546" s="21">
        <v>102.81</v>
      </c>
      <c r="F546" s="21">
        <v>3519.61</v>
      </c>
      <c r="G546" s="21">
        <v>342.34</v>
      </c>
    </row>
    <row r="547" spans="1:7" ht="15" customHeight="1" x14ac:dyDescent="0.3">
      <c r="A547" s="21" t="s">
        <v>98</v>
      </c>
      <c r="B547" s="21" t="s">
        <v>88</v>
      </c>
      <c r="C547" s="21" t="s">
        <v>263</v>
      </c>
      <c r="D547" s="21">
        <v>2.79</v>
      </c>
      <c r="E547" s="21">
        <v>99.57</v>
      </c>
      <c r="F547" s="21">
        <v>3408.65</v>
      </c>
      <c r="G547" s="21">
        <v>342.34</v>
      </c>
    </row>
    <row r="548" spans="1:7" ht="15" customHeight="1" x14ac:dyDescent="0.3">
      <c r="A548" s="21" t="s">
        <v>98</v>
      </c>
      <c r="B548" s="21" t="s">
        <v>88</v>
      </c>
      <c r="C548" s="21" t="s">
        <v>265</v>
      </c>
      <c r="D548" s="21">
        <v>2.4300000000000002</v>
      </c>
      <c r="E548" s="21">
        <v>86.68</v>
      </c>
      <c r="F548" s="21">
        <v>2967.4</v>
      </c>
      <c r="G548" s="21">
        <v>342.34</v>
      </c>
    </row>
    <row r="549" spans="1:7" ht="15" customHeight="1" x14ac:dyDescent="0.3">
      <c r="A549" s="21" t="s">
        <v>98</v>
      </c>
      <c r="B549" s="21" t="s">
        <v>88</v>
      </c>
      <c r="C549" s="21" t="s">
        <v>253</v>
      </c>
      <c r="D549" s="21">
        <v>2.09</v>
      </c>
      <c r="E549" s="21">
        <v>74.83</v>
      </c>
      <c r="F549" s="21">
        <v>2561.7600000000002</v>
      </c>
      <c r="G549" s="21">
        <v>342.34</v>
      </c>
    </row>
    <row r="550" spans="1:7" ht="15" customHeight="1" x14ac:dyDescent="0.3">
      <c r="A550" s="21" t="s">
        <v>98</v>
      </c>
      <c r="B550" s="21" t="s">
        <v>88</v>
      </c>
      <c r="C550" s="21" t="s">
        <v>268</v>
      </c>
      <c r="D550" s="21">
        <v>1.79</v>
      </c>
      <c r="E550" s="21">
        <v>64.12</v>
      </c>
      <c r="F550" s="21">
        <v>2194.92</v>
      </c>
      <c r="G550" s="21">
        <v>342.31</v>
      </c>
    </row>
    <row r="551" spans="1:7" ht="15" customHeight="1" x14ac:dyDescent="0.3">
      <c r="A551" s="21" t="s">
        <v>98</v>
      </c>
      <c r="B551" s="21" t="s">
        <v>88</v>
      </c>
      <c r="C551" s="21" t="s">
        <v>252</v>
      </c>
      <c r="D551" s="21">
        <v>1.22</v>
      </c>
      <c r="E551" s="21">
        <v>43.67</v>
      </c>
      <c r="F551" s="21">
        <v>1495</v>
      </c>
      <c r="G551" s="21">
        <v>342.34</v>
      </c>
    </row>
    <row r="552" spans="1:7" ht="15" customHeight="1" x14ac:dyDescent="0.3">
      <c r="A552" s="21" t="s">
        <v>98</v>
      </c>
      <c r="B552" s="21" t="s">
        <v>88</v>
      </c>
      <c r="C552" s="21" t="s">
        <v>267</v>
      </c>
      <c r="D552" s="21">
        <v>1.1000000000000001</v>
      </c>
      <c r="E552" s="21">
        <v>39.479999999999997</v>
      </c>
      <c r="F552" s="21">
        <v>1351.63</v>
      </c>
      <c r="G552" s="21">
        <v>342.36</v>
      </c>
    </row>
    <row r="553" spans="1:7" ht="15" customHeight="1" x14ac:dyDescent="0.3">
      <c r="A553" s="21" t="s">
        <v>98</v>
      </c>
      <c r="B553" s="21" t="s">
        <v>88</v>
      </c>
      <c r="C553" s="21" t="s">
        <v>256</v>
      </c>
      <c r="D553" s="21">
        <v>0.83</v>
      </c>
      <c r="E553" s="21">
        <v>29.74</v>
      </c>
      <c r="F553" s="21">
        <v>1017.97</v>
      </c>
      <c r="G553" s="21">
        <v>342.29</v>
      </c>
    </row>
    <row r="554" spans="1:7" ht="15" customHeight="1" x14ac:dyDescent="0.3">
      <c r="A554" s="21" t="s">
        <v>98</v>
      </c>
      <c r="B554" s="21" t="s">
        <v>88</v>
      </c>
      <c r="C554" s="21" t="s">
        <v>271</v>
      </c>
      <c r="D554" s="21">
        <v>0.85</v>
      </c>
      <c r="E554" s="21">
        <v>30.25</v>
      </c>
      <c r="F554" s="21">
        <v>1035.5999999999999</v>
      </c>
      <c r="G554" s="21">
        <v>342.35</v>
      </c>
    </row>
    <row r="555" spans="1:7" ht="15" customHeight="1" x14ac:dyDescent="0.3">
      <c r="A555" s="21" t="s">
        <v>98</v>
      </c>
      <c r="B555" s="21" t="s">
        <v>88</v>
      </c>
      <c r="C555" s="21" t="s">
        <v>264</v>
      </c>
      <c r="D555" s="21">
        <v>0.63</v>
      </c>
      <c r="E555" s="21">
        <v>22.49</v>
      </c>
      <c r="F555" s="21">
        <v>769.86</v>
      </c>
      <c r="G555" s="21">
        <v>342.31</v>
      </c>
    </row>
    <row r="556" spans="1:7" ht="15" customHeight="1" x14ac:dyDescent="0.3">
      <c r="A556" s="21" t="s">
        <v>98</v>
      </c>
      <c r="B556" s="21" t="s">
        <v>88</v>
      </c>
      <c r="C556" s="21" t="s">
        <v>261</v>
      </c>
      <c r="D556" s="21">
        <v>0.48</v>
      </c>
      <c r="E556" s="21">
        <v>17.170000000000002</v>
      </c>
      <c r="F556" s="21">
        <v>587.95000000000005</v>
      </c>
      <c r="G556" s="21">
        <v>342.43</v>
      </c>
    </row>
    <row r="557" spans="1:7" ht="15" customHeight="1" x14ac:dyDescent="0.3">
      <c r="A557" s="21" t="s">
        <v>98</v>
      </c>
      <c r="B557" s="21" t="s">
        <v>88</v>
      </c>
      <c r="C557" s="21" t="s">
        <v>273</v>
      </c>
      <c r="D557" s="21">
        <v>0.3</v>
      </c>
      <c r="E557" s="21">
        <v>10.83</v>
      </c>
      <c r="F557" s="21">
        <v>370.8</v>
      </c>
      <c r="G557" s="21">
        <v>342.38</v>
      </c>
    </row>
    <row r="558" spans="1:7" ht="15" customHeight="1" x14ac:dyDescent="0.3">
      <c r="A558" s="21" t="s">
        <v>98</v>
      </c>
      <c r="B558" s="21" t="s">
        <v>88</v>
      </c>
      <c r="C558" s="21" t="s">
        <v>274</v>
      </c>
      <c r="D558" s="21">
        <v>0.2</v>
      </c>
      <c r="E558" s="21">
        <v>6.98</v>
      </c>
      <c r="F558" s="21">
        <v>239.11</v>
      </c>
      <c r="G558" s="21">
        <v>342.56</v>
      </c>
    </row>
    <row r="559" spans="1:7" ht="15" customHeight="1" x14ac:dyDescent="0.3">
      <c r="A559" s="21" t="s">
        <v>98</v>
      </c>
      <c r="B559" s="21" t="s">
        <v>88</v>
      </c>
      <c r="C559" s="21" t="s">
        <v>272</v>
      </c>
      <c r="D559" s="21">
        <v>0.15</v>
      </c>
      <c r="E559" s="21">
        <v>5.41</v>
      </c>
      <c r="F559" s="21">
        <v>185.24</v>
      </c>
      <c r="G559" s="21">
        <v>342.4</v>
      </c>
    </row>
    <row r="560" spans="1:7" ht="15" customHeight="1" x14ac:dyDescent="0.3">
      <c r="A560" s="21" t="s">
        <v>98</v>
      </c>
      <c r="B560" s="21" t="s">
        <v>88</v>
      </c>
      <c r="C560" s="21" t="s">
        <v>276</v>
      </c>
      <c r="D560" s="21">
        <v>0.13</v>
      </c>
      <c r="E560" s="21">
        <v>4.6100000000000003</v>
      </c>
      <c r="F560" s="21">
        <v>157.91</v>
      </c>
      <c r="G560" s="21">
        <v>342.54</v>
      </c>
    </row>
    <row r="561" spans="1:7" ht="15" customHeight="1" x14ac:dyDescent="0.3">
      <c r="A561" s="21" t="s">
        <v>98</v>
      </c>
      <c r="B561" s="21" t="s">
        <v>88</v>
      </c>
      <c r="C561" s="21" t="s">
        <v>251</v>
      </c>
      <c r="D561" s="21">
        <v>0.1</v>
      </c>
      <c r="E561" s="21">
        <v>3.68</v>
      </c>
      <c r="F561" s="21">
        <v>126.06</v>
      </c>
      <c r="G561" s="21">
        <v>342.55</v>
      </c>
    </row>
    <row r="562" spans="1:7" ht="15" customHeight="1" x14ac:dyDescent="0.3">
      <c r="A562" s="21" t="s">
        <v>98</v>
      </c>
      <c r="B562" s="21" t="s">
        <v>88</v>
      </c>
      <c r="C562" s="21" t="s">
        <v>275</v>
      </c>
      <c r="D562" s="21">
        <v>0.08</v>
      </c>
      <c r="E562" s="21">
        <v>2.93</v>
      </c>
      <c r="F562" s="21">
        <v>100.37</v>
      </c>
      <c r="G562" s="21">
        <v>342.56</v>
      </c>
    </row>
    <row r="563" spans="1:7" ht="15" customHeight="1" x14ac:dyDescent="0.3">
      <c r="A563" s="21" t="s">
        <v>98</v>
      </c>
      <c r="B563" s="21" t="s">
        <v>88</v>
      </c>
      <c r="C563" s="21" t="s">
        <v>278</v>
      </c>
      <c r="D563" s="21">
        <v>7.0000000000000007E-2</v>
      </c>
      <c r="E563" s="21">
        <v>2.4500000000000002</v>
      </c>
      <c r="F563" s="21">
        <v>83.81</v>
      </c>
      <c r="G563" s="21">
        <v>342.08</v>
      </c>
    </row>
    <row r="564" spans="1:7" ht="15" customHeight="1" x14ac:dyDescent="0.3">
      <c r="A564" s="21" t="s">
        <v>98</v>
      </c>
      <c r="B564" s="21" t="s">
        <v>88</v>
      </c>
      <c r="C564" s="21" t="s">
        <v>254</v>
      </c>
      <c r="D564" s="21">
        <v>0.32</v>
      </c>
      <c r="E564" s="21">
        <v>11.58</v>
      </c>
      <c r="F564" s="21">
        <v>396.47</v>
      </c>
      <c r="G564" s="21">
        <v>342.37</v>
      </c>
    </row>
    <row r="565" spans="1:7" ht="15" customHeight="1" x14ac:dyDescent="0.3">
      <c r="A565" s="21" t="s">
        <v>98</v>
      </c>
      <c r="B565" s="21" t="s">
        <v>88</v>
      </c>
      <c r="C565" s="21" t="s">
        <v>277</v>
      </c>
      <c r="D565" s="21">
        <v>0.25</v>
      </c>
      <c r="E565" s="21">
        <v>8.84</v>
      </c>
      <c r="F565" s="21">
        <v>302.7</v>
      </c>
      <c r="G565" s="21">
        <v>342.42</v>
      </c>
    </row>
    <row r="566" spans="1:7" ht="15" customHeight="1" x14ac:dyDescent="0.3">
      <c r="A566" s="21" t="s">
        <v>98</v>
      </c>
      <c r="B566" s="21" t="s">
        <v>88</v>
      </c>
      <c r="C566" s="21" t="s">
        <v>266</v>
      </c>
      <c r="D566" s="21">
        <v>0.48</v>
      </c>
      <c r="E566" s="21">
        <v>17.05</v>
      </c>
      <c r="F566" s="21">
        <v>583.82000000000005</v>
      </c>
      <c r="G566" s="21">
        <v>342.42</v>
      </c>
    </row>
    <row r="567" spans="1:7" ht="15" customHeight="1" x14ac:dyDescent="0.3">
      <c r="A567" s="21" t="s">
        <v>98</v>
      </c>
      <c r="B567" s="21" t="s">
        <v>88</v>
      </c>
      <c r="C567" s="21" t="s">
        <v>269</v>
      </c>
      <c r="D567" s="21">
        <v>0.03</v>
      </c>
      <c r="E567" s="21">
        <v>0.99</v>
      </c>
      <c r="F567" s="21">
        <v>33.9</v>
      </c>
      <c r="G567" s="21">
        <v>342.42</v>
      </c>
    </row>
    <row r="568" spans="1:7" ht="15" customHeight="1" x14ac:dyDescent="0.3">
      <c r="A568" s="21" t="s">
        <v>98</v>
      </c>
      <c r="B568" s="21" t="s">
        <v>88</v>
      </c>
      <c r="C568" s="21" t="s">
        <v>249</v>
      </c>
      <c r="D568" s="21">
        <v>0.05</v>
      </c>
      <c r="E568" s="21">
        <v>1.69</v>
      </c>
      <c r="F568" s="21">
        <v>57.95</v>
      </c>
      <c r="G568" s="21">
        <v>342.9</v>
      </c>
    </row>
    <row r="569" spans="1:7" ht="15" customHeight="1" x14ac:dyDescent="0.3">
      <c r="A569" s="21" t="s">
        <v>98</v>
      </c>
      <c r="B569" s="21" t="s">
        <v>88</v>
      </c>
      <c r="C569" s="21" t="s">
        <v>258</v>
      </c>
      <c r="D569" s="21">
        <v>0.06</v>
      </c>
      <c r="E569" s="21">
        <v>2.16</v>
      </c>
      <c r="F569" s="21">
        <v>73.88</v>
      </c>
      <c r="G569" s="21">
        <v>342.04</v>
      </c>
    </row>
    <row r="570" spans="1:7" ht="15" customHeight="1" x14ac:dyDescent="0.3">
      <c r="A570" s="21" t="s">
        <v>98</v>
      </c>
      <c r="B570" s="21" t="s">
        <v>88</v>
      </c>
      <c r="C570" s="21" t="s">
        <v>270</v>
      </c>
      <c r="D570" s="21">
        <v>0.01</v>
      </c>
      <c r="E570" s="21">
        <v>0.36</v>
      </c>
      <c r="F570" s="21">
        <v>12.24</v>
      </c>
      <c r="G570" s="21">
        <v>340</v>
      </c>
    </row>
    <row r="571" spans="1:7" ht="15" customHeight="1" x14ac:dyDescent="0.3">
      <c r="A571" s="21" t="s">
        <v>98</v>
      </c>
      <c r="B571" s="21" t="s">
        <v>87</v>
      </c>
      <c r="C571" s="21" t="s">
        <v>243</v>
      </c>
      <c r="D571" s="21">
        <v>15.85</v>
      </c>
      <c r="E571" s="21">
        <v>779.05</v>
      </c>
      <c r="F571" s="21">
        <v>27129.43</v>
      </c>
      <c r="G571" s="21">
        <v>348.24</v>
      </c>
    </row>
    <row r="572" spans="1:7" ht="15" customHeight="1" x14ac:dyDescent="0.3">
      <c r="A572" s="21" t="s">
        <v>98</v>
      </c>
      <c r="B572" s="21" t="s">
        <v>87</v>
      </c>
      <c r="C572" s="21" t="s">
        <v>244</v>
      </c>
      <c r="D572" s="21">
        <v>12.53</v>
      </c>
      <c r="E572" s="21">
        <v>615.96</v>
      </c>
      <c r="F572" s="21">
        <v>21450.1</v>
      </c>
      <c r="G572" s="21">
        <v>348.24</v>
      </c>
    </row>
    <row r="573" spans="1:7" ht="15" customHeight="1" x14ac:dyDescent="0.3">
      <c r="A573" s="21" t="s">
        <v>98</v>
      </c>
      <c r="B573" s="21" t="s">
        <v>87</v>
      </c>
      <c r="C573" s="21" t="s">
        <v>245</v>
      </c>
      <c r="D573" s="21">
        <v>7.64</v>
      </c>
      <c r="E573" s="21">
        <v>375.61</v>
      </c>
      <c r="F573" s="21">
        <v>13080.23</v>
      </c>
      <c r="G573" s="21">
        <v>348.24</v>
      </c>
    </row>
    <row r="574" spans="1:7" ht="15" customHeight="1" x14ac:dyDescent="0.3">
      <c r="A574" s="21" t="s">
        <v>98</v>
      </c>
      <c r="B574" s="21" t="s">
        <v>87</v>
      </c>
      <c r="C574" s="21" t="s">
        <v>246</v>
      </c>
      <c r="D574" s="21">
        <v>6.75</v>
      </c>
      <c r="E574" s="21">
        <v>332.06</v>
      </c>
      <c r="F574" s="21">
        <v>11563.51</v>
      </c>
      <c r="G574" s="21">
        <v>348.24</v>
      </c>
    </row>
    <row r="575" spans="1:7" ht="15" customHeight="1" x14ac:dyDescent="0.3">
      <c r="A575" s="21" t="s">
        <v>98</v>
      </c>
      <c r="B575" s="21" t="s">
        <v>87</v>
      </c>
      <c r="C575" s="21" t="s">
        <v>247</v>
      </c>
      <c r="D575" s="21">
        <v>6.73</v>
      </c>
      <c r="E575" s="21">
        <v>330.8</v>
      </c>
      <c r="F575" s="21">
        <v>11519.72</v>
      </c>
      <c r="G575" s="21">
        <v>348.24</v>
      </c>
    </row>
    <row r="576" spans="1:7" ht="15" customHeight="1" x14ac:dyDescent="0.3">
      <c r="A576" s="21" t="s">
        <v>98</v>
      </c>
      <c r="B576" s="21" t="s">
        <v>87</v>
      </c>
      <c r="C576" s="21" t="s">
        <v>248</v>
      </c>
      <c r="D576" s="21">
        <v>5.42</v>
      </c>
      <c r="E576" s="21">
        <v>266.51</v>
      </c>
      <c r="F576" s="21">
        <v>9280.7900000000009</v>
      </c>
      <c r="G576" s="21">
        <v>348.23</v>
      </c>
    </row>
    <row r="577" spans="1:7" ht="15" customHeight="1" x14ac:dyDescent="0.3">
      <c r="A577" s="21" t="s">
        <v>98</v>
      </c>
      <c r="B577" s="21" t="s">
        <v>87</v>
      </c>
      <c r="C577" s="21" t="s">
        <v>255</v>
      </c>
      <c r="D577" s="21">
        <v>5.0599999999999996</v>
      </c>
      <c r="E577" s="21">
        <v>248.79</v>
      </c>
      <c r="F577" s="21">
        <v>8663.9699999999993</v>
      </c>
      <c r="G577" s="21">
        <v>348.24</v>
      </c>
    </row>
    <row r="578" spans="1:7" ht="15" customHeight="1" x14ac:dyDescent="0.3">
      <c r="A578" s="21" t="s">
        <v>98</v>
      </c>
      <c r="B578" s="21" t="s">
        <v>87</v>
      </c>
      <c r="C578" s="21" t="s">
        <v>257</v>
      </c>
      <c r="D578" s="21">
        <v>4.6500000000000004</v>
      </c>
      <c r="E578" s="21">
        <v>228.55</v>
      </c>
      <c r="F578" s="21">
        <v>7958.97</v>
      </c>
      <c r="G578" s="21">
        <v>348.24</v>
      </c>
    </row>
    <row r="579" spans="1:7" ht="15" customHeight="1" x14ac:dyDescent="0.3">
      <c r="A579" s="21" t="s">
        <v>98</v>
      </c>
      <c r="B579" s="21" t="s">
        <v>87</v>
      </c>
      <c r="C579" s="21" t="s">
        <v>259</v>
      </c>
      <c r="D579" s="21">
        <v>4.3499999999999996</v>
      </c>
      <c r="E579" s="21">
        <v>214.04</v>
      </c>
      <c r="F579" s="21">
        <v>7453.77</v>
      </c>
      <c r="G579" s="21">
        <v>348.24</v>
      </c>
    </row>
    <row r="580" spans="1:7" ht="15" customHeight="1" x14ac:dyDescent="0.3">
      <c r="A580" s="21" t="s">
        <v>98</v>
      </c>
      <c r="B580" s="21" t="s">
        <v>87</v>
      </c>
      <c r="C580" s="21" t="s">
        <v>260</v>
      </c>
      <c r="D580" s="21">
        <v>3.76</v>
      </c>
      <c r="E580" s="21">
        <v>184.98</v>
      </c>
      <c r="F580" s="21">
        <v>6441.73</v>
      </c>
      <c r="G580" s="21">
        <v>348.24</v>
      </c>
    </row>
    <row r="581" spans="1:7" ht="15" customHeight="1" x14ac:dyDescent="0.3">
      <c r="A581" s="21" t="s">
        <v>98</v>
      </c>
      <c r="B581" s="21" t="s">
        <v>87</v>
      </c>
      <c r="C581" s="21" t="s">
        <v>262</v>
      </c>
      <c r="D581" s="21">
        <v>3.42</v>
      </c>
      <c r="E581" s="21">
        <v>168.07</v>
      </c>
      <c r="F581" s="21">
        <v>5852.98</v>
      </c>
      <c r="G581" s="21">
        <v>348.25</v>
      </c>
    </row>
    <row r="582" spans="1:7" ht="15" customHeight="1" x14ac:dyDescent="0.3">
      <c r="A582" s="21" t="s">
        <v>98</v>
      </c>
      <c r="B582" s="21" t="s">
        <v>87</v>
      </c>
      <c r="C582" s="21" t="s">
        <v>250</v>
      </c>
      <c r="D582" s="21">
        <v>3.21</v>
      </c>
      <c r="E582" s="21">
        <v>157.66999999999999</v>
      </c>
      <c r="F582" s="21">
        <v>5490.71</v>
      </c>
      <c r="G582" s="21">
        <v>348.24</v>
      </c>
    </row>
    <row r="583" spans="1:7" ht="15" customHeight="1" x14ac:dyDescent="0.3">
      <c r="A583" s="21" t="s">
        <v>98</v>
      </c>
      <c r="B583" s="21" t="s">
        <v>87</v>
      </c>
      <c r="C583" s="21" t="s">
        <v>263</v>
      </c>
      <c r="D583" s="21">
        <v>2.56</v>
      </c>
      <c r="E583" s="21">
        <v>125.64</v>
      </c>
      <c r="F583" s="21">
        <v>4375.32</v>
      </c>
      <c r="G583" s="21">
        <v>348.24</v>
      </c>
    </row>
    <row r="584" spans="1:7" ht="15" customHeight="1" x14ac:dyDescent="0.3">
      <c r="A584" s="21" t="s">
        <v>98</v>
      </c>
      <c r="B584" s="21" t="s">
        <v>87</v>
      </c>
      <c r="C584" s="21" t="s">
        <v>265</v>
      </c>
      <c r="D584" s="21">
        <v>2.56</v>
      </c>
      <c r="E584" s="21">
        <v>125.95</v>
      </c>
      <c r="F584" s="21">
        <v>4386</v>
      </c>
      <c r="G584" s="21">
        <v>348.23</v>
      </c>
    </row>
    <row r="585" spans="1:7" ht="15" customHeight="1" x14ac:dyDescent="0.3">
      <c r="A585" s="21" t="s">
        <v>98</v>
      </c>
      <c r="B585" s="21" t="s">
        <v>87</v>
      </c>
      <c r="C585" s="21" t="s">
        <v>253</v>
      </c>
      <c r="D585" s="21">
        <v>2.2400000000000002</v>
      </c>
      <c r="E585" s="21">
        <v>110.23</v>
      </c>
      <c r="F585" s="21">
        <v>3838.72</v>
      </c>
      <c r="G585" s="21">
        <v>348.25</v>
      </c>
    </row>
    <row r="586" spans="1:7" ht="15" customHeight="1" x14ac:dyDescent="0.3">
      <c r="A586" s="21" t="s">
        <v>98</v>
      </c>
      <c r="B586" s="21" t="s">
        <v>87</v>
      </c>
      <c r="C586" s="21" t="s">
        <v>268</v>
      </c>
      <c r="D586" s="21">
        <v>1.76</v>
      </c>
      <c r="E586" s="21">
        <v>86.68</v>
      </c>
      <c r="F586" s="21">
        <v>3018.62</v>
      </c>
      <c r="G586" s="21">
        <v>348.25</v>
      </c>
    </row>
    <row r="587" spans="1:7" ht="15" customHeight="1" x14ac:dyDescent="0.3">
      <c r="A587" s="21" t="s">
        <v>98</v>
      </c>
      <c r="B587" s="21" t="s">
        <v>87</v>
      </c>
      <c r="C587" s="21" t="s">
        <v>252</v>
      </c>
      <c r="D587" s="21">
        <v>1.26</v>
      </c>
      <c r="E587" s="21">
        <v>61.96</v>
      </c>
      <c r="F587" s="21">
        <v>2157.79</v>
      </c>
      <c r="G587" s="21">
        <v>348.26</v>
      </c>
    </row>
    <row r="588" spans="1:7" ht="15" customHeight="1" x14ac:dyDescent="0.3">
      <c r="A588" s="21" t="s">
        <v>98</v>
      </c>
      <c r="B588" s="21" t="s">
        <v>87</v>
      </c>
      <c r="C588" s="21" t="s">
        <v>267</v>
      </c>
      <c r="D588" s="21">
        <v>0.94</v>
      </c>
      <c r="E588" s="21">
        <v>46.39</v>
      </c>
      <c r="F588" s="21">
        <v>1615.53</v>
      </c>
      <c r="G588" s="21">
        <v>348.25</v>
      </c>
    </row>
    <row r="589" spans="1:7" ht="15" customHeight="1" x14ac:dyDescent="0.3">
      <c r="A589" s="21" t="s">
        <v>98</v>
      </c>
      <c r="B589" s="21" t="s">
        <v>87</v>
      </c>
      <c r="C589" s="21" t="s">
        <v>256</v>
      </c>
      <c r="D589" s="21">
        <v>0.95</v>
      </c>
      <c r="E589" s="21">
        <v>46.74</v>
      </c>
      <c r="F589" s="21">
        <v>1627.74</v>
      </c>
      <c r="G589" s="21">
        <v>348.25</v>
      </c>
    </row>
    <row r="590" spans="1:7" ht="15" customHeight="1" x14ac:dyDescent="0.3">
      <c r="A590" s="21" t="s">
        <v>98</v>
      </c>
      <c r="B590" s="21" t="s">
        <v>87</v>
      </c>
      <c r="C590" s="21" t="s">
        <v>271</v>
      </c>
      <c r="D590" s="21">
        <v>0.81</v>
      </c>
      <c r="E590" s="21">
        <v>39.630000000000003</v>
      </c>
      <c r="F590" s="21">
        <v>1380.22</v>
      </c>
      <c r="G590" s="21">
        <v>348.28</v>
      </c>
    </row>
    <row r="591" spans="1:7" ht="15" customHeight="1" x14ac:dyDescent="0.3">
      <c r="A591" s="21" t="s">
        <v>98</v>
      </c>
      <c r="B591" s="21" t="s">
        <v>87</v>
      </c>
      <c r="C591" s="21" t="s">
        <v>264</v>
      </c>
      <c r="D591" s="21">
        <v>0.59</v>
      </c>
      <c r="E591" s="21">
        <v>29</v>
      </c>
      <c r="F591" s="21">
        <v>1009.94</v>
      </c>
      <c r="G591" s="21">
        <v>348.26</v>
      </c>
    </row>
    <row r="592" spans="1:7" ht="15" customHeight="1" x14ac:dyDescent="0.3">
      <c r="A592" s="21" t="s">
        <v>98</v>
      </c>
      <c r="B592" s="21" t="s">
        <v>87</v>
      </c>
      <c r="C592" s="21" t="s">
        <v>261</v>
      </c>
      <c r="D592" s="21">
        <v>0.5</v>
      </c>
      <c r="E592" s="21">
        <v>24.56</v>
      </c>
      <c r="F592" s="21">
        <v>855.17</v>
      </c>
      <c r="G592" s="21">
        <v>348.2</v>
      </c>
    </row>
    <row r="593" spans="1:7" ht="15" customHeight="1" x14ac:dyDescent="0.3">
      <c r="A593" s="21" t="s">
        <v>98</v>
      </c>
      <c r="B593" s="21" t="s">
        <v>87</v>
      </c>
      <c r="C593" s="21" t="s">
        <v>273</v>
      </c>
      <c r="D593" s="21">
        <v>0.3</v>
      </c>
      <c r="E593" s="21">
        <v>14.67</v>
      </c>
      <c r="F593" s="21">
        <v>510.86</v>
      </c>
      <c r="G593" s="21">
        <v>348.23</v>
      </c>
    </row>
    <row r="594" spans="1:7" ht="15" customHeight="1" x14ac:dyDescent="0.3">
      <c r="A594" s="21" t="s">
        <v>98</v>
      </c>
      <c r="B594" s="21" t="s">
        <v>87</v>
      </c>
      <c r="C594" s="21" t="s">
        <v>274</v>
      </c>
      <c r="D594" s="21">
        <v>0.21</v>
      </c>
      <c r="E594" s="21">
        <v>10.43</v>
      </c>
      <c r="F594" s="21">
        <v>363.3</v>
      </c>
      <c r="G594" s="21">
        <v>348.32</v>
      </c>
    </row>
    <row r="595" spans="1:7" ht="15" customHeight="1" x14ac:dyDescent="0.3">
      <c r="A595" s="21" t="s">
        <v>98</v>
      </c>
      <c r="B595" s="21" t="s">
        <v>87</v>
      </c>
      <c r="C595" s="21" t="s">
        <v>272</v>
      </c>
      <c r="D595" s="21">
        <v>0.14000000000000001</v>
      </c>
      <c r="E595" s="21">
        <v>6.98</v>
      </c>
      <c r="F595" s="21">
        <v>242.98</v>
      </c>
      <c r="G595" s="21">
        <v>348.11</v>
      </c>
    </row>
    <row r="596" spans="1:7" ht="15" customHeight="1" x14ac:dyDescent="0.3">
      <c r="A596" s="21" t="s">
        <v>98</v>
      </c>
      <c r="B596" s="21" t="s">
        <v>87</v>
      </c>
      <c r="C596" s="21" t="s">
        <v>276</v>
      </c>
      <c r="D596" s="21">
        <v>0.12</v>
      </c>
      <c r="E596" s="21">
        <v>5.67</v>
      </c>
      <c r="F596" s="21">
        <v>197.61</v>
      </c>
      <c r="G596" s="21">
        <v>348.52</v>
      </c>
    </row>
    <row r="597" spans="1:7" ht="15" customHeight="1" x14ac:dyDescent="0.3">
      <c r="A597" s="21" t="s">
        <v>98</v>
      </c>
      <c r="B597" s="21" t="s">
        <v>87</v>
      </c>
      <c r="C597" s="21" t="s">
        <v>251</v>
      </c>
      <c r="D597" s="21">
        <v>0.11</v>
      </c>
      <c r="E597" s="21">
        <v>5.17</v>
      </c>
      <c r="F597" s="21">
        <v>180.08</v>
      </c>
      <c r="G597" s="21">
        <v>348.32</v>
      </c>
    </row>
    <row r="598" spans="1:7" ht="15" customHeight="1" x14ac:dyDescent="0.3">
      <c r="A598" s="21" t="s">
        <v>98</v>
      </c>
      <c r="B598" s="21" t="s">
        <v>87</v>
      </c>
      <c r="C598" s="21" t="s">
        <v>275</v>
      </c>
      <c r="D598" s="21">
        <v>0.08</v>
      </c>
      <c r="E598" s="21">
        <v>3.82</v>
      </c>
      <c r="F598" s="21">
        <v>132.88999999999999</v>
      </c>
      <c r="G598" s="21">
        <v>347.88</v>
      </c>
    </row>
    <row r="599" spans="1:7" ht="15" customHeight="1" x14ac:dyDescent="0.3">
      <c r="A599" s="21" t="s">
        <v>98</v>
      </c>
      <c r="B599" s="21" t="s">
        <v>87</v>
      </c>
      <c r="C599" s="21" t="s">
        <v>278</v>
      </c>
      <c r="D599" s="21">
        <v>7.0000000000000007E-2</v>
      </c>
      <c r="E599" s="21">
        <v>3.6</v>
      </c>
      <c r="F599" s="21">
        <v>125.24</v>
      </c>
      <c r="G599" s="21">
        <v>347.89</v>
      </c>
    </row>
    <row r="600" spans="1:7" ht="15" customHeight="1" x14ac:dyDescent="0.3">
      <c r="A600" s="21" t="s">
        <v>98</v>
      </c>
      <c r="B600" s="21" t="s">
        <v>87</v>
      </c>
      <c r="C600" s="21" t="s">
        <v>254</v>
      </c>
      <c r="D600" s="21">
        <v>0.38</v>
      </c>
      <c r="E600" s="21">
        <v>18.670000000000002</v>
      </c>
      <c r="F600" s="21">
        <v>650.13</v>
      </c>
      <c r="G600" s="21">
        <v>348.22</v>
      </c>
    </row>
    <row r="601" spans="1:7" ht="15" customHeight="1" x14ac:dyDescent="0.3">
      <c r="A601" s="21" t="s">
        <v>98</v>
      </c>
      <c r="B601" s="21" t="s">
        <v>87</v>
      </c>
      <c r="C601" s="21" t="s">
        <v>277</v>
      </c>
      <c r="D601" s="21">
        <v>0.24</v>
      </c>
      <c r="E601" s="21">
        <v>12.04</v>
      </c>
      <c r="F601" s="21">
        <v>419.41</v>
      </c>
      <c r="G601" s="21">
        <v>348.35</v>
      </c>
    </row>
    <row r="602" spans="1:7" ht="15" customHeight="1" x14ac:dyDescent="0.3">
      <c r="A602" s="21" t="s">
        <v>98</v>
      </c>
      <c r="B602" s="21" t="s">
        <v>87</v>
      </c>
      <c r="C602" s="21" t="s">
        <v>266</v>
      </c>
      <c r="D602" s="21">
        <v>0.47</v>
      </c>
      <c r="E602" s="21">
        <v>22.88</v>
      </c>
      <c r="F602" s="21">
        <v>796.67</v>
      </c>
      <c r="G602" s="21">
        <v>348.19</v>
      </c>
    </row>
    <row r="603" spans="1:7" ht="15" customHeight="1" x14ac:dyDescent="0.3">
      <c r="A603" s="21" t="s">
        <v>98</v>
      </c>
      <c r="B603" s="21" t="s">
        <v>87</v>
      </c>
      <c r="C603" s="21" t="s">
        <v>269</v>
      </c>
      <c r="D603" s="21">
        <v>0.03</v>
      </c>
      <c r="E603" s="21">
        <v>1.39</v>
      </c>
      <c r="F603" s="21">
        <v>48.4</v>
      </c>
      <c r="G603" s="21">
        <v>348.2</v>
      </c>
    </row>
    <row r="604" spans="1:7" ht="15" customHeight="1" x14ac:dyDescent="0.3">
      <c r="A604" s="21" t="s">
        <v>98</v>
      </c>
      <c r="B604" s="21" t="s">
        <v>87</v>
      </c>
      <c r="C604" s="21" t="s">
        <v>249</v>
      </c>
      <c r="D604" s="21">
        <v>0.05</v>
      </c>
      <c r="E604" s="21">
        <v>2.5499999999999998</v>
      </c>
      <c r="F604" s="21">
        <v>88.83</v>
      </c>
      <c r="G604" s="21">
        <v>348.35</v>
      </c>
    </row>
    <row r="605" spans="1:7" ht="15" customHeight="1" x14ac:dyDescent="0.3">
      <c r="A605" s="21" t="s">
        <v>98</v>
      </c>
      <c r="B605" s="21" t="s">
        <v>87</v>
      </c>
      <c r="C605" s="21" t="s">
        <v>258</v>
      </c>
      <c r="D605" s="21">
        <v>0.06</v>
      </c>
      <c r="E605" s="21">
        <v>2.98</v>
      </c>
      <c r="F605" s="21">
        <v>103.75</v>
      </c>
      <c r="G605" s="21">
        <v>348.15</v>
      </c>
    </row>
    <row r="606" spans="1:7" ht="15" customHeight="1" x14ac:dyDescent="0.3">
      <c r="A606" s="21" t="s">
        <v>98</v>
      </c>
      <c r="B606" s="21" t="s">
        <v>87</v>
      </c>
      <c r="C606" s="21" t="s">
        <v>270</v>
      </c>
      <c r="D606" s="21">
        <v>0.01</v>
      </c>
      <c r="E606" s="21">
        <v>0.5</v>
      </c>
      <c r="F606" s="21">
        <v>17.53</v>
      </c>
      <c r="G606" s="21">
        <v>350.6</v>
      </c>
    </row>
    <row r="607" spans="1:7" ht="15" customHeight="1" x14ac:dyDescent="0.3">
      <c r="A607" s="21" t="s">
        <v>98</v>
      </c>
      <c r="B607" s="21" t="s">
        <v>92</v>
      </c>
      <c r="C607" s="21" t="s">
        <v>243</v>
      </c>
      <c r="D607" s="21">
        <v>15.97</v>
      </c>
      <c r="E607" s="21">
        <v>1040.29</v>
      </c>
      <c r="F607" s="21">
        <v>36121.46</v>
      </c>
      <c r="G607" s="21">
        <v>347.22</v>
      </c>
    </row>
    <row r="608" spans="1:7" ht="15" customHeight="1" x14ac:dyDescent="0.3">
      <c r="A608" s="21" t="s">
        <v>98</v>
      </c>
      <c r="B608" s="21" t="s">
        <v>92</v>
      </c>
      <c r="C608" s="21" t="s">
        <v>244</v>
      </c>
      <c r="D608" s="21">
        <v>11.74</v>
      </c>
      <c r="E608" s="21">
        <v>764.67</v>
      </c>
      <c r="F608" s="21">
        <v>26551.23</v>
      </c>
      <c r="G608" s="21">
        <v>347.22</v>
      </c>
    </row>
    <row r="609" spans="1:7" ht="15" customHeight="1" x14ac:dyDescent="0.3">
      <c r="A609" s="21" t="s">
        <v>98</v>
      </c>
      <c r="B609" s="21" t="s">
        <v>92</v>
      </c>
      <c r="C609" s="21" t="s">
        <v>245</v>
      </c>
      <c r="D609" s="21">
        <v>8.41</v>
      </c>
      <c r="E609" s="21">
        <v>547.67999999999995</v>
      </c>
      <c r="F609" s="21">
        <v>19016.810000000001</v>
      </c>
      <c r="G609" s="21">
        <v>347.22</v>
      </c>
    </row>
    <row r="610" spans="1:7" ht="15" customHeight="1" x14ac:dyDescent="0.3">
      <c r="A610" s="21" t="s">
        <v>98</v>
      </c>
      <c r="B610" s="21" t="s">
        <v>92</v>
      </c>
      <c r="C610" s="21" t="s">
        <v>246</v>
      </c>
      <c r="D610" s="21">
        <v>6.37</v>
      </c>
      <c r="E610" s="21">
        <v>414.85</v>
      </c>
      <c r="F610" s="21">
        <v>14404.54</v>
      </c>
      <c r="G610" s="21">
        <v>347.22</v>
      </c>
    </row>
    <row r="611" spans="1:7" ht="15" customHeight="1" x14ac:dyDescent="0.3">
      <c r="A611" s="21" t="s">
        <v>98</v>
      </c>
      <c r="B611" s="21" t="s">
        <v>92</v>
      </c>
      <c r="C611" s="21" t="s">
        <v>247</v>
      </c>
      <c r="D611" s="21">
        <v>6.4</v>
      </c>
      <c r="E611" s="21">
        <v>416.76</v>
      </c>
      <c r="F611" s="21">
        <v>14470.98</v>
      </c>
      <c r="G611" s="21">
        <v>347.23</v>
      </c>
    </row>
    <row r="612" spans="1:7" ht="15" customHeight="1" x14ac:dyDescent="0.3">
      <c r="A612" s="21" t="s">
        <v>98</v>
      </c>
      <c r="B612" s="21" t="s">
        <v>92</v>
      </c>
      <c r="C612" s="21" t="s">
        <v>248</v>
      </c>
      <c r="D612" s="21">
        <v>6.07</v>
      </c>
      <c r="E612" s="21">
        <v>395.66</v>
      </c>
      <c r="F612" s="21">
        <v>13738.21</v>
      </c>
      <c r="G612" s="21">
        <v>347.22</v>
      </c>
    </row>
    <row r="613" spans="1:7" ht="15" customHeight="1" x14ac:dyDescent="0.3">
      <c r="A613" s="21" t="s">
        <v>98</v>
      </c>
      <c r="B613" s="21" t="s">
        <v>92</v>
      </c>
      <c r="C613" s="21" t="s">
        <v>255</v>
      </c>
      <c r="D613" s="21">
        <v>5.55</v>
      </c>
      <c r="E613" s="21">
        <v>361.77</v>
      </c>
      <c r="F613" s="21">
        <v>12561.48</v>
      </c>
      <c r="G613" s="21">
        <v>347.22</v>
      </c>
    </row>
    <row r="614" spans="1:7" ht="15" customHeight="1" x14ac:dyDescent="0.3">
      <c r="A614" s="21" t="s">
        <v>98</v>
      </c>
      <c r="B614" s="21" t="s">
        <v>92</v>
      </c>
      <c r="C614" s="21" t="s">
        <v>257</v>
      </c>
      <c r="D614" s="21">
        <v>5.27</v>
      </c>
      <c r="E614" s="21">
        <v>343.19</v>
      </c>
      <c r="F614" s="21">
        <v>11916.37</v>
      </c>
      <c r="G614" s="21">
        <v>347.22</v>
      </c>
    </row>
    <row r="615" spans="1:7" ht="15" customHeight="1" x14ac:dyDescent="0.3">
      <c r="A615" s="21" t="s">
        <v>98</v>
      </c>
      <c r="B615" s="21" t="s">
        <v>92</v>
      </c>
      <c r="C615" s="21" t="s">
        <v>259</v>
      </c>
      <c r="D615" s="21">
        <v>4.42</v>
      </c>
      <c r="E615" s="21">
        <v>287.66000000000003</v>
      </c>
      <c r="F615" s="21">
        <v>9988.23</v>
      </c>
      <c r="G615" s="21">
        <v>347.22</v>
      </c>
    </row>
    <row r="616" spans="1:7" ht="15" customHeight="1" x14ac:dyDescent="0.3">
      <c r="A616" s="21" t="s">
        <v>98</v>
      </c>
      <c r="B616" s="21" t="s">
        <v>92</v>
      </c>
      <c r="C616" s="21" t="s">
        <v>260</v>
      </c>
      <c r="D616" s="21">
        <v>3.68</v>
      </c>
      <c r="E616" s="21">
        <v>239.48</v>
      </c>
      <c r="F616" s="21">
        <v>8315.2999999999993</v>
      </c>
      <c r="G616" s="21">
        <v>347.22</v>
      </c>
    </row>
    <row r="617" spans="1:7" ht="15" customHeight="1" x14ac:dyDescent="0.3">
      <c r="A617" s="21" t="s">
        <v>98</v>
      </c>
      <c r="B617" s="21" t="s">
        <v>92</v>
      </c>
      <c r="C617" s="21" t="s">
        <v>262</v>
      </c>
      <c r="D617" s="21">
        <v>3.5</v>
      </c>
      <c r="E617" s="21">
        <v>228.34</v>
      </c>
      <c r="F617" s="21">
        <v>7928.51</v>
      </c>
      <c r="G617" s="21">
        <v>347.22</v>
      </c>
    </row>
    <row r="618" spans="1:7" ht="15" customHeight="1" x14ac:dyDescent="0.3">
      <c r="A618" s="21" t="s">
        <v>98</v>
      </c>
      <c r="B618" s="21" t="s">
        <v>92</v>
      </c>
      <c r="C618" s="21" t="s">
        <v>250</v>
      </c>
      <c r="D618" s="21">
        <v>3.19</v>
      </c>
      <c r="E618" s="21">
        <v>207.99</v>
      </c>
      <c r="F618" s="21">
        <v>7221.89</v>
      </c>
      <c r="G618" s="21">
        <v>347.22</v>
      </c>
    </row>
    <row r="619" spans="1:7" ht="15" customHeight="1" x14ac:dyDescent="0.3">
      <c r="A619" s="21" t="s">
        <v>98</v>
      </c>
      <c r="B619" s="21" t="s">
        <v>92</v>
      </c>
      <c r="C619" s="21" t="s">
        <v>263</v>
      </c>
      <c r="D619" s="21">
        <v>2.58</v>
      </c>
      <c r="E619" s="21">
        <v>167.99</v>
      </c>
      <c r="F619" s="21">
        <v>5833.07</v>
      </c>
      <c r="G619" s="21">
        <v>347.23</v>
      </c>
    </row>
    <row r="620" spans="1:7" ht="15" customHeight="1" x14ac:dyDescent="0.3">
      <c r="A620" s="21" t="s">
        <v>98</v>
      </c>
      <c r="B620" s="21" t="s">
        <v>92</v>
      </c>
      <c r="C620" s="21" t="s">
        <v>265</v>
      </c>
      <c r="D620" s="21">
        <v>2.38</v>
      </c>
      <c r="E620" s="21">
        <v>155.22</v>
      </c>
      <c r="F620" s="21">
        <v>5389.58</v>
      </c>
      <c r="G620" s="21">
        <v>347.22</v>
      </c>
    </row>
    <row r="621" spans="1:7" ht="15" customHeight="1" x14ac:dyDescent="0.3">
      <c r="A621" s="21" t="s">
        <v>98</v>
      </c>
      <c r="B621" s="21" t="s">
        <v>92</v>
      </c>
      <c r="C621" s="21" t="s">
        <v>253</v>
      </c>
      <c r="D621" s="21">
        <v>2.14</v>
      </c>
      <c r="E621" s="21">
        <v>139.31</v>
      </c>
      <c r="F621" s="21">
        <v>4837.3</v>
      </c>
      <c r="G621" s="21">
        <v>347.23</v>
      </c>
    </row>
    <row r="622" spans="1:7" ht="15" customHeight="1" x14ac:dyDescent="0.3">
      <c r="A622" s="21" t="s">
        <v>98</v>
      </c>
      <c r="B622" s="21" t="s">
        <v>92</v>
      </c>
      <c r="C622" s="21" t="s">
        <v>268</v>
      </c>
      <c r="D622" s="21">
        <v>1.62</v>
      </c>
      <c r="E622" s="21">
        <v>105.33</v>
      </c>
      <c r="F622" s="21">
        <v>3657.39</v>
      </c>
      <c r="G622" s="21">
        <v>347.23</v>
      </c>
    </row>
    <row r="623" spans="1:7" ht="15" customHeight="1" x14ac:dyDescent="0.3">
      <c r="A623" s="21" t="s">
        <v>98</v>
      </c>
      <c r="B623" s="21" t="s">
        <v>92</v>
      </c>
      <c r="C623" s="21" t="s">
        <v>252</v>
      </c>
      <c r="D623" s="21">
        <v>1.2</v>
      </c>
      <c r="E623" s="21">
        <v>78.37</v>
      </c>
      <c r="F623" s="21">
        <v>2721.09</v>
      </c>
      <c r="G623" s="21">
        <v>347.21</v>
      </c>
    </row>
    <row r="624" spans="1:7" ht="15" customHeight="1" x14ac:dyDescent="0.3">
      <c r="A624" s="21" t="s">
        <v>98</v>
      </c>
      <c r="B624" s="21" t="s">
        <v>92</v>
      </c>
      <c r="C624" s="21" t="s">
        <v>267</v>
      </c>
      <c r="D624" s="21">
        <v>0.99</v>
      </c>
      <c r="E624" s="21">
        <v>64.34</v>
      </c>
      <c r="F624" s="21">
        <v>2234.0300000000002</v>
      </c>
      <c r="G624" s="21">
        <v>347.22</v>
      </c>
    </row>
    <row r="625" spans="1:7" ht="15" customHeight="1" x14ac:dyDescent="0.3">
      <c r="A625" s="21" t="s">
        <v>98</v>
      </c>
      <c r="B625" s="21" t="s">
        <v>92</v>
      </c>
      <c r="C625" s="21" t="s">
        <v>256</v>
      </c>
      <c r="D625" s="21">
        <v>0.82</v>
      </c>
      <c r="E625" s="21">
        <v>53.73</v>
      </c>
      <c r="F625" s="21">
        <v>1865.68</v>
      </c>
      <c r="G625" s="21">
        <v>347.23</v>
      </c>
    </row>
    <row r="626" spans="1:7" ht="15" customHeight="1" x14ac:dyDescent="0.3">
      <c r="A626" s="21" t="s">
        <v>98</v>
      </c>
      <c r="B626" s="21" t="s">
        <v>92</v>
      </c>
      <c r="C626" s="21" t="s">
        <v>271</v>
      </c>
      <c r="D626" s="21">
        <v>0.82</v>
      </c>
      <c r="E626" s="21">
        <v>53.17</v>
      </c>
      <c r="F626" s="21">
        <v>1846.34</v>
      </c>
      <c r="G626" s="21">
        <v>347.25</v>
      </c>
    </row>
    <row r="627" spans="1:7" ht="15" customHeight="1" x14ac:dyDescent="0.3">
      <c r="A627" s="21" t="s">
        <v>98</v>
      </c>
      <c r="B627" s="21" t="s">
        <v>92</v>
      </c>
      <c r="C627" s="21" t="s">
        <v>264</v>
      </c>
      <c r="D627" s="21">
        <v>0.62</v>
      </c>
      <c r="E627" s="21">
        <v>40.49</v>
      </c>
      <c r="F627" s="21">
        <v>1405.9</v>
      </c>
      <c r="G627" s="21">
        <v>347.22</v>
      </c>
    </row>
    <row r="628" spans="1:7" ht="15" customHeight="1" x14ac:dyDescent="0.3">
      <c r="A628" s="21" t="s">
        <v>98</v>
      </c>
      <c r="B628" s="21" t="s">
        <v>92</v>
      </c>
      <c r="C628" s="21" t="s">
        <v>261</v>
      </c>
      <c r="D628" s="21">
        <v>0.51</v>
      </c>
      <c r="E628" s="21">
        <v>32.950000000000003</v>
      </c>
      <c r="F628" s="21">
        <v>1143.94</v>
      </c>
      <c r="G628" s="21">
        <v>347.17</v>
      </c>
    </row>
    <row r="629" spans="1:7" ht="15" customHeight="1" x14ac:dyDescent="0.3">
      <c r="A629" s="21" t="s">
        <v>98</v>
      </c>
      <c r="B629" s="21" t="s">
        <v>92</v>
      </c>
      <c r="C629" s="21" t="s">
        <v>273</v>
      </c>
      <c r="D629" s="21">
        <v>0.3</v>
      </c>
      <c r="E629" s="21">
        <v>19.23</v>
      </c>
      <c r="F629" s="21">
        <v>667.66</v>
      </c>
      <c r="G629" s="21">
        <v>347.2</v>
      </c>
    </row>
    <row r="630" spans="1:7" ht="15" customHeight="1" x14ac:dyDescent="0.3">
      <c r="A630" s="21" t="s">
        <v>98</v>
      </c>
      <c r="B630" s="21" t="s">
        <v>92</v>
      </c>
      <c r="C630" s="21" t="s">
        <v>274</v>
      </c>
      <c r="D630" s="21">
        <v>0.21</v>
      </c>
      <c r="E630" s="21">
        <v>13.42</v>
      </c>
      <c r="F630" s="21">
        <v>465.82</v>
      </c>
      <c r="G630" s="21">
        <v>347.11</v>
      </c>
    </row>
    <row r="631" spans="1:7" ht="15" customHeight="1" x14ac:dyDescent="0.3">
      <c r="A631" s="21" t="s">
        <v>98</v>
      </c>
      <c r="B631" s="21" t="s">
        <v>92</v>
      </c>
      <c r="C631" s="21" t="s">
        <v>272</v>
      </c>
      <c r="D631" s="21">
        <v>0.16</v>
      </c>
      <c r="E631" s="21">
        <v>10.11</v>
      </c>
      <c r="F631" s="21">
        <v>350.87</v>
      </c>
      <c r="G631" s="21">
        <v>347.05</v>
      </c>
    </row>
    <row r="632" spans="1:7" ht="15" customHeight="1" x14ac:dyDescent="0.3">
      <c r="A632" s="21" t="s">
        <v>98</v>
      </c>
      <c r="B632" s="21" t="s">
        <v>92</v>
      </c>
      <c r="C632" s="21" t="s">
        <v>276</v>
      </c>
      <c r="D632" s="21">
        <v>0.12</v>
      </c>
      <c r="E632" s="21">
        <v>7.94</v>
      </c>
      <c r="F632" s="21">
        <v>275.64</v>
      </c>
      <c r="G632" s="21">
        <v>347.15</v>
      </c>
    </row>
    <row r="633" spans="1:7" ht="15" customHeight="1" x14ac:dyDescent="0.3">
      <c r="A633" s="21" t="s">
        <v>98</v>
      </c>
      <c r="B633" s="21" t="s">
        <v>92</v>
      </c>
      <c r="C633" s="21" t="s">
        <v>251</v>
      </c>
      <c r="D633" s="21">
        <v>0.1</v>
      </c>
      <c r="E633" s="21">
        <v>6.25</v>
      </c>
      <c r="F633" s="21">
        <v>216.89</v>
      </c>
      <c r="G633" s="21">
        <v>347.02</v>
      </c>
    </row>
    <row r="634" spans="1:7" ht="15" customHeight="1" x14ac:dyDescent="0.3">
      <c r="A634" s="21" t="s">
        <v>98</v>
      </c>
      <c r="B634" s="21" t="s">
        <v>92</v>
      </c>
      <c r="C634" s="21" t="s">
        <v>275</v>
      </c>
      <c r="D634" s="21">
        <v>0.08</v>
      </c>
      <c r="E634" s="21">
        <v>5.28</v>
      </c>
      <c r="F634" s="21">
        <v>183.48</v>
      </c>
      <c r="G634" s="21">
        <v>347.5</v>
      </c>
    </row>
    <row r="635" spans="1:7" ht="15" customHeight="1" x14ac:dyDescent="0.3">
      <c r="A635" s="21" t="s">
        <v>98</v>
      </c>
      <c r="B635" s="21" t="s">
        <v>92</v>
      </c>
      <c r="C635" s="21" t="s">
        <v>278</v>
      </c>
      <c r="D635" s="21">
        <v>7.0000000000000007E-2</v>
      </c>
      <c r="E635" s="21">
        <v>4.83</v>
      </c>
      <c r="F635" s="21">
        <v>167.82</v>
      </c>
      <c r="G635" s="21">
        <v>347.45</v>
      </c>
    </row>
    <row r="636" spans="1:7" ht="15" customHeight="1" x14ac:dyDescent="0.3">
      <c r="A636" s="21" t="s">
        <v>98</v>
      </c>
      <c r="B636" s="21" t="s">
        <v>92</v>
      </c>
      <c r="C636" s="21" t="s">
        <v>254</v>
      </c>
      <c r="D636" s="21">
        <v>0.34</v>
      </c>
      <c r="E636" s="21">
        <v>22.12</v>
      </c>
      <c r="F636" s="21">
        <v>768.15</v>
      </c>
      <c r="G636" s="21">
        <v>347.26</v>
      </c>
    </row>
    <row r="637" spans="1:7" ht="15" customHeight="1" x14ac:dyDescent="0.3">
      <c r="A637" s="21" t="s">
        <v>98</v>
      </c>
      <c r="B637" s="21" t="s">
        <v>92</v>
      </c>
      <c r="C637" s="21" t="s">
        <v>277</v>
      </c>
      <c r="D637" s="21">
        <v>0.28000000000000003</v>
      </c>
      <c r="E637" s="21">
        <v>18</v>
      </c>
      <c r="F637" s="21">
        <v>624.87</v>
      </c>
      <c r="G637" s="21">
        <v>347.15</v>
      </c>
    </row>
    <row r="638" spans="1:7" ht="15" customHeight="1" x14ac:dyDescent="0.3">
      <c r="A638" s="21" t="s">
        <v>98</v>
      </c>
      <c r="B638" s="21" t="s">
        <v>92</v>
      </c>
      <c r="C638" s="21" t="s">
        <v>266</v>
      </c>
      <c r="D638" s="21">
        <v>0.44</v>
      </c>
      <c r="E638" s="21">
        <v>28.55</v>
      </c>
      <c r="F638" s="21">
        <v>991.24</v>
      </c>
      <c r="G638" s="21">
        <v>347.19</v>
      </c>
    </row>
    <row r="639" spans="1:7" ht="15" customHeight="1" x14ac:dyDescent="0.3">
      <c r="A639" s="21" t="s">
        <v>98</v>
      </c>
      <c r="B639" s="21" t="s">
        <v>92</v>
      </c>
      <c r="C639" s="21" t="s">
        <v>269</v>
      </c>
      <c r="D639" s="21">
        <v>0.03</v>
      </c>
      <c r="E639" s="21">
        <v>1.96</v>
      </c>
      <c r="F639" s="21">
        <v>67.98</v>
      </c>
      <c r="G639" s="21">
        <v>346.84</v>
      </c>
    </row>
    <row r="640" spans="1:7" ht="15" customHeight="1" x14ac:dyDescent="0.3">
      <c r="A640" s="21" t="s">
        <v>98</v>
      </c>
      <c r="B640" s="21" t="s">
        <v>92</v>
      </c>
      <c r="C640" s="21" t="s">
        <v>249</v>
      </c>
      <c r="D640" s="21">
        <v>0.05</v>
      </c>
      <c r="E640" s="21">
        <v>3.15</v>
      </c>
      <c r="F640" s="21">
        <v>109.31</v>
      </c>
      <c r="G640" s="21">
        <v>347.02</v>
      </c>
    </row>
    <row r="641" spans="1:7" ht="15" customHeight="1" x14ac:dyDescent="0.3">
      <c r="A641" s="21" t="s">
        <v>98</v>
      </c>
      <c r="B641" s="21" t="s">
        <v>92</v>
      </c>
      <c r="C641" s="21" t="s">
        <v>258</v>
      </c>
      <c r="D641" s="21">
        <v>0.06</v>
      </c>
      <c r="E641" s="21">
        <v>3.95</v>
      </c>
      <c r="F641" s="21">
        <v>137.25</v>
      </c>
      <c r="G641" s="21">
        <v>347.47</v>
      </c>
    </row>
    <row r="642" spans="1:7" ht="15" customHeight="1" x14ac:dyDescent="0.3">
      <c r="A642" s="21" t="s">
        <v>98</v>
      </c>
      <c r="B642" s="21" t="s">
        <v>92</v>
      </c>
      <c r="C642" s="21" t="s">
        <v>270</v>
      </c>
      <c r="D642" s="21">
        <v>0.01</v>
      </c>
      <c r="E642" s="21">
        <v>0.65</v>
      </c>
      <c r="F642" s="21">
        <v>22.62</v>
      </c>
      <c r="G642" s="21">
        <v>348</v>
      </c>
    </row>
    <row r="643" spans="1:7" ht="15" customHeight="1" x14ac:dyDescent="0.3">
      <c r="A643" s="21" t="s">
        <v>98</v>
      </c>
      <c r="B643" s="21" t="s">
        <v>95</v>
      </c>
      <c r="C643" s="21" t="s">
        <v>243</v>
      </c>
      <c r="D643" s="21">
        <v>16.05</v>
      </c>
      <c r="E643" s="21">
        <v>1175.93</v>
      </c>
      <c r="F643" s="21">
        <v>41006.51</v>
      </c>
      <c r="G643" s="21">
        <v>348.72</v>
      </c>
    </row>
    <row r="644" spans="1:7" ht="15" customHeight="1" x14ac:dyDescent="0.3">
      <c r="A644" s="21" t="s">
        <v>98</v>
      </c>
      <c r="B644" s="21" t="s">
        <v>95</v>
      </c>
      <c r="C644" s="21" t="s">
        <v>244</v>
      </c>
      <c r="D644" s="21">
        <v>12.1</v>
      </c>
      <c r="E644" s="21">
        <v>886.63</v>
      </c>
      <c r="F644" s="21">
        <v>30918.16</v>
      </c>
      <c r="G644" s="21">
        <v>348.72</v>
      </c>
    </row>
    <row r="645" spans="1:7" ht="15" customHeight="1" x14ac:dyDescent="0.3">
      <c r="A645" s="21" t="s">
        <v>98</v>
      </c>
      <c r="B645" s="21" t="s">
        <v>95</v>
      </c>
      <c r="C645" s="21" t="s">
        <v>245</v>
      </c>
      <c r="D645" s="21">
        <v>8.26</v>
      </c>
      <c r="E645" s="21">
        <v>604.87</v>
      </c>
      <c r="F645" s="21">
        <v>21092.77</v>
      </c>
      <c r="G645" s="21">
        <v>348.72</v>
      </c>
    </row>
    <row r="646" spans="1:7" ht="15" customHeight="1" x14ac:dyDescent="0.3">
      <c r="A646" s="21" t="s">
        <v>98</v>
      </c>
      <c r="B646" s="21" t="s">
        <v>95</v>
      </c>
      <c r="C646" s="21" t="s">
        <v>246</v>
      </c>
      <c r="D646" s="21">
        <v>7.45</v>
      </c>
      <c r="E646" s="21">
        <v>546.08000000000004</v>
      </c>
      <c r="F646" s="21">
        <v>19042.490000000002</v>
      </c>
      <c r="G646" s="21">
        <v>348.71</v>
      </c>
    </row>
    <row r="647" spans="1:7" ht="15" customHeight="1" x14ac:dyDescent="0.3">
      <c r="A647" s="21" t="s">
        <v>98</v>
      </c>
      <c r="B647" s="21" t="s">
        <v>95</v>
      </c>
      <c r="C647" s="21" t="s">
        <v>247</v>
      </c>
      <c r="D647" s="21">
        <v>6.71</v>
      </c>
      <c r="E647" s="21">
        <v>491.63</v>
      </c>
      <c r="F647" s="21">
        <v>17143.93</v>
      </c>
      <c r="G647" s="21">
        <v>348.72</v>
      </c>
    </row>
    <row r="648" spans="1:7" ht="15" customHeight="1" x14ac:dyDescent="0.3">
      <c r="A648" s="21" t="s">
        <v>98</v>
      </c>
      <c r="B648" s="21" t="s">
        <v>95</v>
      </c>
      <c r="C648" s="21" t="s">
        <v>248</v>
      </c>
      <c r="D648" s="21">
        <v>5.1100000000000003</v>
      </c>
      <c r="E648" s="21">
        <v>374.57</v>
      </c>
      <c r="F648" s="21">
        <v>13061.72</v>
      </c>
      <c r="G648" s="21">
        <v>348.71</v>
      </c>
    </row>
    <row r="649" spans="1:7" ht="15" customHeight="1" x14ac:dyDescent="0.3">
      <c r="A649" s="21" t="s">
        <v>98</v>
      </c>
      <c r="B649" s="21" t="s">
        <v>95</v>
      </c>
      <c r="C649" s="21" t="s">
        <v>255</v>
      </c>
      <c r="D649" s="21">
        <v>6.06</v>
      </c>
      <c r="E649" s="21">
        <v>444.13</v>
      </c>
      <c r="F649" s="21">
        <v>15487.31</v>
      </c>
      <c r="G649" s="21">
        <v>348.71</v>
      </c>
    </row>
    <row r="650" spans="1:7" ht="15" customHeight="1" x14ac:dyDescent="0.3">
      <c r="A650" s="21" t="s">
        <v>98</v>
      </c>
      <c r="B650" s="21" t="s">
        <v>95</v>
      </c>
      <c r="C650" s="21" t="s">
        <v>257</v>
      </c>
      <c r="D650" s="21">
        <v>4.87</v>
      </c>
      <c r="E650" s="21">
        <v>356.88</v>
      </c>
      <c r="F650" s="21">
        <v>12445.07</v>
      </c>
      <c r="G650" s="21">
        <v>348.72</v>
      </c>
    </row>
    <row r="651" spans="1:7" ht="15" customHeight="1" x14ac:dyDescent="0.3">
      <c r="A651" s="21" t="s">
        <v>98</v>
      </c>
      <c r="B651" s="21" t="s">
        <v>95</v>
      </c>
      <c r="C651" s="21" t="s">
        <v>259</v>
      </c>
      <c r="D651" s="21">
        <v>4.04</v>
      </c>
      <c r="E651" s="21">
        <v>295.77999999999997</v>
      </c>
      <c r="F651" s="21">
        <v>10314.370000000001</v>
      </c>
      <c r="G651" s="21">
        <v>348.72</v>
      </c>
    </row>
    <row r="652" spans="1:7" ht="15" customHeight="1" x14ac:dyDescent="0.3">
      <c r="A652" s="21" t="s">
        <v>98</v>
      </c>
      <c r="B652" s="21" t="s">
        <v>95</v>
      </c>
      <c r="C652" s="21" t="s">
        <v>260</v>
      </c>
      <c r="D652" s="21">
        <v>3.83</v>
      </c>
      <c r="E652" s="21">
        <v>280.61</v>
      </c>
      <c r="F652" s="21">
        <v>9785.2800000000007</v>
      </c>
      <c r="G652" s="21">
        <v>348.71</v>
      </c>
    </row>
    <row r="653" spans="1:7" ht="15" customHeight="1" x14ac:dyDescent="0.3">
      <c r="A653" s="21" t="s">
        <v>98</v>
      </c>
      <c r="B653" s="21" t="s">
        <v>95</v>
      </c>
      <c r="C653" s="21" t="s">
        <v>262</v>
      </c>
      <c r="D653" s="21">
        <v>3.53</v>
      </c>
      <c r="E653" s="21">
        <v>258.7</v>
      </c>
      <c r="F653" s="21">
        <v>9021.2800000000007</v>
      </c>
      <c r="G653" s="21">
        <v>348.72</v>
      </c>
    </row>
    <row r="654" spans="1:7" ht="15" customHeight="1" x14ac:dyDescent="0.3">
      <c r="A654" s="21" t="s">
        <v>98</v>
      </c>
      <c r="B654" s="21" t="s">
        <v>95</v>
      </c>
      <c r="C654" s="21" t="s">
        <v>250</v>
      </c>
      <c r="D654" s="21">
        <v>3.09</v>
      </c>
      <c r="E654" s="21">
        <v>226.64</v>
      </c>
      <c r="F654" s="21">
        <v>7903.39</v>
      </c>
      <c r="G654" s="21">
        <v>348.72</v>
      </c>
    </row>
    <row r="655" spans="1:7" ht="15" customHeight="1" x14ac:dyDescent="0.3">
      <c r="A655" s="21" t="s">
        <v>98</v>
      </c>
      <c r="B655" s="21" t="s">
        <v>95</v>
      </c>
      <c r="C655" s="21" t="s">
        <v>263</v>
      </c>
      <c r="D655" s="21">
        <v>2.83</v>
      </c>
      <c r="E655" s="21">
        <v>207.18</v>
      </c>
      <c r="F655" s="21">
        <v>7224.79</v>
      </c>
      <c r="G655" s="21">
        <v>348.72</v>
      </c>
    </row>
    <row r="656" spans="1:7" ht="15" customHeight="1" x14ac:dyDescent="0.3">
      <c r="A656" s="21" t="s">
        <v>98</v>
      </c>
      <c r="B656" s="21" t="s">
        <v>95</v>
      </c>
      <c r="C656" s="21" t="s">
        <v>265</v>
      </c>
      <c r="D656" s="21">
        <v>2.42</v>
      </c>
      <c r="E656" s="21">
        <v>177.61</v>
      </c>
      <c r="F656" s="21">
        <v>6193.49</v>
      </c>
      <c r="G656" s="21">
        <v>348.71</v>
      </c>
    </row>
    <row r="657" spans="1:7" ht="15" customHeight="1" x14ac:dyDescent="0.3">
      <c r="A657" s="21" t="s">
        <v>98</v>
      </c>
      <c r="B657" s="21" t="s">
        <v>95</v>
      </c>
      <c r="C657" s="21" t="s">
        <v>253</v>
      </c>
      <c r="D657" s="21">
        <v>2.16</v>
      </c>
      <c r="E657" s="21">
        <v>157.93</v>
      </c>
      <c r="F657" s="21">
        <v>5507.35</v>
      </c>
      <c r="G657" s="21">
        <v>348.72</v>
      </c>
    </row>
    <row r="658" spans="1:7" ht="15" customHeight="1" x14ac:dyDescent="0.3">
      <c r="A658" s="21" t="s">
        <v>98</v>
      </c>
      <c r="B658" s="21" t="s">
        <v>95</v>
      </c>
      <c r="C658" s="21" t="s">
        <v>268</v>
      </c>
      <c r="D658" s="21">
        <v>1.74</v>
      </c>
      <c r="E658" s="21">
        <v>127.36</v>
      </c>
      <c r="F658" s="21">
        <v>4441.1899999999996</v>
      </c>
      <c r="G658" s="21">
        <v>348.71</v>
      </c>
    </row>
    <row r="659" spans="1:7" ht="15" customHeight="1" x14ac:dyDescent="0.3">
      <c r="A659" s="21" t="s">
        <v>98</v>
      </c>
      <c r="B659" s="21" t="s">
        <v>95</v>
      </c>
      <c r="C659" s="21" t="s">
        <v>252</v>
      </c>
      <c r="D659" s="21">
        <v>1.1100000000000001</v>
      </c>
      <c r="E659" s="21">
        <v>81.62</v>
      </c>
      <c r="F659" s="21">
        <v>2846.37</v>
      </c>
      <c r="G659" s="21">
        <v>348.73</v>
      </c>
    </row>
    <row r="660" spans="1:7" ht="15" customHeight="1" x14ac:dyDescent="0.3">
      <c r="A660" s="21" t="s">
        <v>98</v>
      </c>
      <c r="B660" s="21" t="s">
        <v>95</v>
      </c>
      <c r="C660" s="21" t="s">
        <v>267</v>
      </c>
      <c r="D660" s="21">
        <v>1.01</v>
      </c>
      <c r="E660" s="21">
        <v>73.8</v>
      </c>
      <c r="F660" s="21">
        <v>2573.63</v>
      </c>
      <c r="G660" s="21">
        <v>348.73</v>
      </c>
    </row>
    <row r="661" spans="1:7" ht="15" customHeight="1" x14ac:dyDescent="0.3">
      <c r="A661" s="21" t="s">
        <v>98</v>
      </c>
      <c r="B661" s="21" t="s">
        <v>95</v>
      </c>
      <c r="C661" s="21" t="s">
        <v>256</v>
      </c>
      <c r="D661" s="21">
        <v>0.93</v>
      </c>
      <c r="E661" s="21">
        <v>67.87</v>
      </c>
      <c r="F661" s="21">
        <v>2366.79</v>
      </c>
      <c r="G661" s="21">
        <v>348.72</v>
      </c>
    </row>
    <row r="662" spans="1:7" ht="15" customHeight="1" x14ac:dyDescent="0.3">
      <c r="A662" s="21" t="s">
        <v>98</v>
      </c>
      <c r="B662" s="21" t="s">
        <v>95</v>
      </c>
      <c r="C662" s="21" t="s">
        <v>271</v>
      </c>
      <c r="D662" s="21">
        <v>0.82</v>
      </c>
      <c r="E662" s="21">
        <v>60.12</v>
      </c>
      <c r="F662" s="21">
        <v>2096.62</v>
      </c>
      <c r="G662" s="21">
        <v>348.74</v>
      </c>
    </row>
    <row r="663" spans="1:7" ht="15" customHeight="1" x14ac:dyDescent="0.3">
      <c r="A663" s="21" t="s">
        <v>98</v>
      </c>
      <c r="B663" s="21" t="s">
        <v>95</v>
      </c>
      <c r="C663" s="21" t="s">
        <v>264</v>
      </c>
      <c r="D663" s="21">
        <v>0.62</v>
      </c>
      <c r="E663" s="21">
        <v>45.76</v>
      </c>
      <c r="F663" s="21">
        <v>1595.85</v>
      </c>
      <c r="G663" s="21">
        <v>348.74</v>
      </c>
    </row>
    <row r="664" spans="1:7" ht="15" customHeight="1" x14ac:dyDescent="0.3">
      <c r="A664" s="21" t="s">
        <v>98</v>
      </c>
      <c r="B664" s="21" t="s">
        <v>95</v>
      </c>
      <c r="C664" s="21" t="s">
        <v>261</v>
      </c>
      <c r="D664" s="21">
        <v>0.51</v>
      </c>
      <c r="E664" s="21">
        <v>37.229999999999997</v>
      </c>
      <c r="F664" s="21">
        <v>1298.22</v>
      </c>
      <c r="G664" s="21">
        <v>348.7</v>
      </c>
    </row>
    <row r="665" spans="1:7" ht="15" customHeight="1" x14ac:dyDescent="0.3">
      <c r="A665" s="21" t="s">
        <v>98</v>
      </c>
      <c r="B665" s="21" t="s">
        <v>95</v>
      </c>
      <c r="C665" s="21" t="s">
        <v>273</v>
      </c>
      <c r="D665" s="21">
        <v>0.28999999999999998</v>
      </c>
      <c r="E665" s="21">
        <v>21.4</v>
      </c>
      <c r="F665" s="21">
        <v>746.08</v>
      </c>
      <c r="G665" s="21">
        <v>348.64</v>
      </c>
    </row>
    <row r="666" spans="1:7" ht="15" customHeight="1" x14ac:dyDescent="0.3">
      <c r="A666" s="21" t="s">
        <v>98</v>
      </c>
      <c r="B666" s="21" t="s">
        <v>95</v>
      </c>
      <c r="C666" s="21" t="s">
        <v>274</v>
      </c>
      <c r="D666" s="21">
        <v>0.21</v>
      </c>
      <c r="E666" s="21">
        <v>15.27</v>
      </c>
      <c r="F666" s="21">
        <v>532.45000000000005</v>
      </c>
      <c r="G666" s="21">
        <v>348.69</v>
      </c>
    </row>
    <row r="667" spans="1:7" ht="15" customHeight="1" x14ac:dyDescent="0.3">
      <c r="A667" s="21" t="s">
        <v>98</v>
      </c>
      <c r="B667" s="21" t="s">
        <v>95</v>
      </c>
      <c r="C667" s="21" t="s">
        <v>272</v>
      </c>
      <c r="D667" s="21">
        <v>0.14000000000000001</v>
      </c>
      <c r="E667" s="21">
        <v>10.24</v>
      </c>
      <c r="F667" s="21">
        <v>357.24</v>
      </c>
      <c r="G667" s="21">
        <v>348.87</v>
      </c>
    </row>
    <row r="668" spans="1:7" ht="15" customHeight="1" x14ac:dyDescent="0.3">
      <c r="A668" s="21" t="s">
        <v>98</v>
      </c>
      <c r="B668" s="21" t="s">
        <v>95</v>
      </c>
      <c r="C668" s="21" t="s">
        <v>276</v>
      </c>
      <c r="D668" s="21">
        <v>0.11</v>
      </c>
      <c r="E668" s="21">
        <v>8.4</v>
      </c>
      <c r="F668" s="21">
        <v>292.79000000000002</v>
      </c>
      <c r="G668" s="21">
        <v>348.56</v>
      </c>
    </row>
    <row r="669" spans="1:7" ht="15" customHeight="1" x14ac:dyDescent="0.3">
      <c r="A669" s="21" t="s">
        <v>98</v>
      </c>
      <c r="B669" s="21" t="s">
        <v>95</v>
      </c>
      <c r="C669" s="21" t="s">
        <v>251</v>
      </c>
      <c r="D669" s="21">
        <v>0.1</v>
      </c>
      <c r="E669" s="21">
        <v>6.97</v>
      </c>
      <c r="F669" s="21">
        <v>243.18</v>
      </c>
      <c r="G669" s="21">
        <v>348.9</v>
      </c>
    </row>
    <row r="670" spans="1:7" ht="15" customHeight="1" x14ac:dyDescent="0.3">
      <c r="A670" s="21" t="s">
        <v>98</v>
      </c>
      <c r="B670" s="21" t="s">
        <v>95</v>
      </c>
      <c r="C670" s="21" t="s">
        <v>275</v>
      </c>
      <c r="D670" s="21">
        <v>0.08</v>
      </c>
      <c r="E670" s="21">
        <v>6.18</v>
      </c>
      <c r="F670" s="21">
        <v>215.44</v>
      </c>
      <c r="G670" s="21">
        <v>348.61</v>
      </c>
    </row>
    <row r="671" spans="1:7" ht="15" customHeight="1" x14ac:dyDescent="0.3">
      <c r="A671" s="21" t="s">
        <v>98</v>
      </c>
      <c r="B671" s="21" t="s">
        <v>95</v>
      </c>
      <c r="C671" s="21" t="s">
        <v>278</v>
      </c>
      <c r="D671" s="21">
        <v>7.0000000000000007E-2</v>
      </c>
      <c r="E671" s="21">
        <v>5.37</v>
      </c>
      <c r="F671" s="21">
        <v>187.28</v>
      </c>
      <c r="G671" s="21">
        <v>348.75</v>
      </c>
    </row>
    <row r="672" spans="1:7" ht="15" customHeight="1" x14ac:dyDescent="0.3">
      <c r="A672" s="21" t="s">
        <v>98</v>
      </c>
      <c r="B672" s="21" t="s">
        <v>95</v>
      </c>
      <c r="C672" s="21" t="s">
        <v>254</v>
      </c>
      <c r="D672" s="21">
        <v>0.36</v>
      </c>
      <c r="E672" s="21">
        <v>26.27</v>
      </c>
      <c r="F672" s="21">
        <v>916.04</v>
      </c>
      <c r="G672" s="21">
        <v>348.7</v>
      </c>
    </row>
    <row r="673" spans="1:7" ht="15" customHeight="1" x14ac:dyDescent="0.3">
      <c r="A673" s="21" t="s">
        <v>98</v>
      </c>
      <c r="B673" s="21" t="s">
        <v>95</v>
      </c>
      <c r="C673" s="21" t="s">
        <v>277</v>
      </c>
      <c r="D673" s="21">
        <v>0.26</v>
      </c>
      <c r="E673" s="21">
        <v>19.3</v>
      </c>
      <c r="F673" s="21">
        <v>672.98</v>
      </c>
      <c r="G673" s="21">
        <v>348.69</v>
      </c>
    </row>
    <row r="674" spans="1:7" ht="15" customHeight="1" x14ac:dyDescent="0.3">
      <c r="A674" s="21" t="s">
        <v>98</v>
      </c>
      <c r="B674" s="21" t="s">
        <v>95</v>
      </c>
      <c r="C674" s="21" t="s">
        <v>266</v>
      </c>
      <c r="D674" s="21">
        <v>0.43</v>
      </c>
      <c r="E674" s="21">
        <v>31.52</v>
      </c>
      <c r="F674" s="21">
        <v>1099.2</v>
      </c>
      <c r="G674" s="21">
        <v>348.73</v>
      </c>
    </row>
    <row r="675" spans="1:7" ht="15" customHeight="1" x14ac:dyDescent="0.3">
      <c r="A675" s="21" t="s">
        <v>98</v>
      </c>
      <c r="B675" s="21" t="s">
        <v>95</v>
      </c>
      <c r="C675" s="21" t="s">
        <v>269</v>
      </c>
      <c r="D675" s="21">
        <v>0.03</v>
      </c>
      <c r="E675" s="21">
        <v>2.2400000000000002</v>
      </c>
      <c r="F675" s="21">
        <v>77.989999999999995</v>
      </c>
      <c r="G675" s="21">
        <v>348.17</v>
      </c>
    </row>
    <row r="676" spans="1:7" ht="15" customHeight="1" x14ac:dyDescent="0.3">
      <c r="A676" s="21" t="s">
        <v>98</v>
      </c>
      <c r="B676" s="21" t="s">
        <v>95</v>
      </c>
      <c r="C676" s="21" t="s">
        <v>249</v>
      </c>
      <c r="D676" s="21">
        <v>0.05</v>
      </c>
      <c r="E676" s="21">
        <v>3.64</v>
      </c>
      <c r="F676" s="21">
        <v>126.95</v>
      </c>
      <c r="G676" s="21">
        <v>348.76</v>
      </c>
    </row>
    <row r="677" spans="1:7" ht="15" customHeight="1" x14ac:dyDescent="0.3">
      <c r="A677" s="21" t="s">
        <v>98</v>
      </c>
      <c r="B677" s="21" t="s">
        <v>95</v>
      </c>
      <c r="C677" s="21" t="s">
        <v>258</v>
      </c>
      <c r="D677" s="21">
        <v>0.06</v>
      </c>
      <c r="E677" s="21">
        <v>4.58</v>
      </c>
      <c r="F677" s="21">
        <v>159.79</v>
      </c>
      <c r="G677" s="21">
        <v>348.89</v>
      </c>
    </row>
    <row r="678" spans="1:7" ht="15" customHeight="1" x14ac:dyDescent="0.3">
      <c r="A678" s="21" t="s">
        <v>98</v>
      </c>
      <c r="B678" s="21" t="s">
        <v>95</v>
      </c>
      <c r="C678" s="21" t="s">
        <v>270</v>
      </c>
      <c r="D678" s="21">
        <v>0.01</v>
      </c>
      <c r="E678" s="21">
        <v>0.73</v>
      </c>
      <c r="F678" s="21">
        <v>25.55</v>
      </c>
      <c r="G678" s="21">
        <v>350</v>
      </c>
    </row>
    <row r="679" spans="1:7" ht="15" customHeight="1" x14ac:dyDescent="0.3">
      <c r="A679" s="21" t="s">
        <v>100</v>
      </c>
      <c r="B679" s="21" t="s">
        <v>88</v>
      </c>
      <c r="C679" s="21" t="s">
        <v>243</v>
      </c>
      <c r="D679" s="21">
        <v>16.18</v>
      </c>
      <c r="E679" s="21">
        <v>1291.3599999999999</v>
      </c>
      <c r="F679" s="21">
        <v>44372.2</v>
      </c>
      <c r="G679" s="21">
        <v>343.61</v>
      </c>
    </row>
    <row r="680" spans="1:7" ht="15" customHeight="1" x14ac:dyDescent="0.3">
      <c r="A680" s="21" t="s">
        <v>100</v>
      </c>
      <c r="B680" s="21" t="s">
        <v>88</v>
      </c>
      <c r="C680" s="21" t="s">
        <v>244</v>
      </c>
      <c r="D680" s="21">
        <v>13.15</v>
      </c>
      <c r="E680" s="21">
        <v>1049.07</v>
      </c>
      <c r="F680" s="21">
        <v>36046.83</v>
      </c>
      <c r="G680" s="21">
        <v>343.61</v>
      </c>
    </row>
    <row r="681" spans="1:7" ht="15" customHeight="1" x14ac:dyDescent="0.3">
      <c r="A681" s="21" t="s">
        <v>100</v>
      </c>
      <c r="B681" s="21" t="s">
        <v>88</v>
      </c>
      <c r="C681" s="21" t="s">
        <v>245</v>
      </c>
      <c r="D681" s="21">
        <v>8.56</v>
      </c>
      <c r="E681" s="21">
        <v>683.03</v>
      </c>
      <c r="F681" s="21">
        <v>23469.41</v>
      </c>
      <c r="G681" s="21">
        <v>343.61</v>
      </c>
    </row>
    <row r="682" spans="1:7" ht="15" customHeight="1" x14ac:dyDescent="0.3">
      <c r="A682" s="21" t="s">
        <v>100</v>
      </c>
      <c r="B682" s="21" t="s">
        <v>88</v>
      </c>
      <c r="C682" s="21" t="s">
        <v>246</v>
      </c>
      <c r="D682" s="21">
        <v>6.86</v>
      </c>
      <c r="E682" s="21">
        <v>547.65</v>
      </c>
      <c r="F682" s="21">
        <v>18817.63</v>
      </c>
      <c r="G682" s="21">
        <v>343.61</v>
      </c>
    </row>
    <row r="683" spans="1:7" ht="15" customHeight="1" x14ac:dyDescent="0.3">
      <c r="A683" s="21" t="s">
        <v>100</v>
      </c>
      <c r="B683" s="21" t="s">
        <v>88</v>
      </c>
      <c r="C683" s="21" t="s">
        <v>247</v>
      </c>
      <c r="D683" s="21">
        <v>6.48</v>
      </c>
      <c r="E683" s="21">
        <v>517.12</v>
      </c>
      <c r="F683" s="21">
        <v>17768.57</v>
      </c>
      <c r="G683" s="21">
        <v>343.61</v>
      </c>
    </row>
    <row r="684" spans="1:7" ht="15" customHeight="1" x14ac:dyDescent="0.3">
      <c r="A684" s="21" t="s">
        <v>100</v>
      </c>
      <c r="B684" s="21" t="s">
        <v>88</v>
      </c>
      <c r="C684" s="21" t="s">
        <v>248</v>
      </c>
      <c r="D684" s="21">
        <v>5.49</v>
      </c>
      <c r="E684" s="21">
        <v>438.35</v>
      </c>
      <c r="F684" s="21">
        <v>15061.95</v>
      </c>
      <c r="G684" s="21">
        <v>343.61</v>
      </c>
    </row>
    <row r="685" spans="1:7" ht="15" customHeight="1" x14ac:dyDescent="0.3">
      <c r="A685" s="21" t="s">
        <v>100</v>
      </c>
      <c r="B685" s="21" t="s">
        <v>88</v>
      </c>
      <c r="C685" s="21" t="s">
        <v>255</v>
      </c>
      <c r="D685" s="21">
        <v>4.8099999999999996</v>
      </c>
      <c r="E685" s="21">
        <v>384.08</v>
      </c>
      <c r="F685" s="21">
        <v>13197.34</v>
      </c>
      <c r="G685" s="21">
        <v>343.61</v>
      </c>
    </row>
    <row r="686" spans="1:7" ht="15" customHeight="1" x14ac:dyDescent="0.3">
      <c r="A686" s="21" t="s">
        <v>100</v>
      </c>
      <c r="B686" s="21" t="s">
        <v>88</v>
      </c>
      <c r="C686" s="21" t="s">
        <v>257</v>
      </c>
      <c r="D686" s="21">
        <v>4.8499999999999996</v>
      </c>
      <c r="E686" s="21">
        <v>386.88</v>
      </c>
      <c r="F686" s="21">
        <v>13293.52</v>
      </c>
      <c r="G686" s="21">
        <v>343.61</v>
      </c>
    </row>
    <row r="687" spans="1:7" ht="15" customHeight="1" x14ac:dyDescent="0.3">
      <c r="A687" s="21" t="s">
        <v>100</v>
      </c>
      <c r="B687" s="21" t="s">
        <v>88</v>
      </c>
      <c r="C687" s="21" t="s">
        <v>259</v>
      </c>
      <c r="D687" s="21">
        <v>4.33</v>
      </c>
      <c r="E687" s="21">
        <v>345.36</v>
      </c>
      <c r="F687" s="21">
        <v>11867.02</v>
      </c>
      <c r="G687" s="21">
        <v>343.61</v>
      </c>
    </row>
    <row r="688" spans="1:7" ht="15" customHeight="1" x14ac:dyDescent="0.3">
      <c r="A688" s="21" t="s">
        <v>100</v>
      </c>
      <c r="B688" s="21" t="s">
        <v>88</v>
      </c>
      <c r="C688" s="21" t="s">
        <v>260</v>
      </c>
      <c r="D688" s="21">
        <v>3.85</v>
      </c>
      <c r="E688" s="21">
        <v>307.20999999999998</v>
      </c>
      <c r="F688" s="21">
        <v>10556.13</v>
      </c>
      <c r="G688" s="21">
        <v>343.61</v>
      </c>
    </row>
    <row r="689" spans="1:7" ht="15" customHeight="1" x14ac:dyDescent="0.3">
      <c r="A689" s="21" t="s">
        <v>100</v>
      </c>
      <c r="B689" s="21" t="s">
        <v>88</v>
      </c>
      <c r="C689" s="21" t="s">
        <v>262</v>
      </c>
      <c r="D689" s="21">
        <v>3.16</v>
      </c>
      <c r="E689" s="21">
        <v>252.07</v>
      </c>
      <c r="F689" s="21">
        <v>8661.5</v>
      </c>
      <c r="G689" s="21">
        <v>343.61</v>
      </c>
    </row>
    <row r="690" spans="1:7" ht="15" customHeight="1" x14ac:dyDescent="0.3">
      <c r="A690" s="21" t="s">
        <v>100</v>
      </c>
      <c r="B690" s="21" t="s">
        <v>88</v>
      </c>
      <c r="C690" s="21" t="s">
        <v>250</v>
      </c>
      <c r="D690" s="21">
        <v>3.14</v>
      </c>
      <c r="E690" s="21">
        <v>250.88</v>
      </c>
      <c r="F690" s="21">
        <v>8620.48</v>
      </c>
      <c r="G690" s="21">
        <v>343.61</v>
      </c>
    </row>
    <row r="691" spans="1:7" ht="15" customHeight="1" x14ac:dyDescent="0.3">
      <c r="A691" s="21" t="s">
        <v>100</v>
      </c>
      <c r="B691" s="21" t="s">
        <v>88</v>
      </c>
      <c r="C691" s="21" t="s">
        <v>263</v>
      </c>
      <c r="D691" s="21">
        <v>2.4900000000000002</v>
      </c>
      <c r="E691" s="21">
        <v>198.66</v>
      </c>
      <c r="F691" s="21">
        <v>6826.02</v>
      </c>
      <c r="G691" s="21">
        <v>343.6</v>
      </c>
    </row>
    <row r="692" spans="1:7" ht="15" customHeight="1" x14ac:dyDescent="0.3">
      <c r="A692" s="21" t="s">
        <v>100</v>
      </c>
      <c r="B692" s="21" t="s">
        <v>88</v>
      </c>
      <c r="C692" s="21" t="s">
        <v>265</v>
      </c>
      <c r="D692" s="21">
        <v>2.67</v>
      </c>
      <c r="E692" s="21">
        <v>213.16</v>
      </c>
      <c r="F692" s="21">
        <v>7324.47</v>
      </c>
      <c r="G692" s="21">
        <v>343.61</v>
      </c>
    </row>
    <row r="693" spans="1:7" ht="15" customHeight="1" x14ac:dyDescent="0.3">
      <c r="A693" s="21" t="s">
        <v>100</v>
      </c>
      <c r="B693" s="21" t="s">
        <v>88</v>
      </c>
      <c r="C693" s="21" t="s">
        <v>253</v>
      </c>
      <c r="D693" s="21">
        <v>2.08</v>
      </c>
      <c r="E693" s="21">
        <v>166.03</v>
      </c>
      <c r="F693" s="21">
        <v>5704.82</v>
      </c>
      <c r="G693" s="21">
        <v>343.6</v>
      </c>
    </row>
    <row r="694" spans="1:7" ht="15" customHeight="1" x14ac:dyDescent="0.3">
      <c r="A694" s="21" t="s">
        <v>100</v>
      </c>
      <c r="B694" s="21" t="s">
        <v>88</v>
      </c>
      <c r="C694" s="21" t="s">
        <v>268</v>
      </c>
      <c r="D694" s="21">
        <v>1.91</v>
      </c>
      <c r="E694" s="21">
        <v>152.66</v>
      </c>
      <c r="F694" s="21">
        <v>5245.41</v>
      </c>
      <c r="G694" s="21">
        <v>343.6</v>
      </c>
    </row>
    <row r="695" spans="1:7" ht="15" customHeight="1" x14ac:dyDescent="0.3">
      <c r="A695" s="21" t="s">
        <v>100</v>
      </c>
      <c r="B695" s="21" t="s">
        <v>88</v>
      </c>
      <c r="C695" s="21" t="s">
        <v>252</v>
      </c>
      <c r="D695" s="21">
        <v>1.26</v>
      </c>
      <c r="E695" s="21">
        <v>100.29</v>
      </c>
      <c r="F695" s="21">
        <v>3446.01</v>
      </c>
      <c r="G695" s="21">
        <v>343.6</v>
      </c>
    </row>
    <row r="696" spans="1:7" ht="15" customHeight="1" x14ac:dyDescent="0.3">
      <c r="A696" s="21" t="s">
        <v>100</v>
      </c>
      <c r="B696" s="21" t="s">
        <v>88</v>
      </c>
      <c r="C696" s="21" t="s">
        <v>267</v>
      </c>
      <c r="D696" s="21">
        <v>0.95</v>
      </c>
      <c r="E696" s="21">
        <v>76.209999999999994</v>
      </c>
      <c r="F696" s="21">
        <v>2618.5300000000002</v>
      </c>
      <c r="G696" s="21">
        <v>343.59</v>
      </c>
    </row>
    <row r="697" spans="1:7" ht="15" customHeight="1" x14ac:dyDescent="0.3">
      <c r="A697" s="21" t="s">
        <v>100</v>
      </c>
      <c r="B697" s="21" t="s">
        <v>88</v>
      </c>
      <c r="C697" s="21" t="s">
        <v>256</v>
      </c>
      <c r="D697" s="21">
        <v>0.85</v>
      </c>
      <c r="E697" s="21">
        <v>67.75</v>
      </c>
      <c r="F697" s="21">
        <v>2328.0300000000002</v>
      </c>
      <c r="G697" s="21">
        <v>343.62</v>
      </c>
    </row>
    <row r="698" spans="1:7" ht="15" customHeight="1" x14ac:dyDescent="0.3">
      <c r="A698" s="21" t="s">
        <v>100</v>
      </c>
      <c r="B698" s="21" t="s">
        <v>88</v>
      </c>
      <c r="C698" s="21" t="s">
        <v>271</v>
      </c>
      <c r="D698" s="21">
        <v>0.81</v>
      </c>
      <c r="E698" s="21">
        <v>64.959999999999994</v>
      </c>
      <c r="F698" s="21">
        <v>2232.0300000000002</v>
      </c>
      <c r="G698" s="21">
        <v>343.6</v>
      </c>
    </row>
    <row r="699" spans="1:7" ht="15" customHeight="1" x14ac:dyDescent="0.3">
      <c r="A699" s="21" t="s">
        <v>100</v>
      </c>
      <c r="B699" s="21" t="s">
        <v>88</v>
      </c>
      <c r="C699" s="21" t="s">
        <v>264</v>
      </c>
      <c r="D699" s="21">
        <v>0.56999999999999995</v>
      </c>
      <c r="E699" s="21">
        <v>45.86</v>
      </c>
      <c r="F699" s="21">
        <v>1575.75</v>
      </c>
      <c r="G699" s="21">
        <v>343.6</v>
      </c>
    </row>
    <row r="700" spans="1:7" ht="15" customHeight="1" x14ac:dyDescent="0.3">
      <c r="A700" s="21" t="s">
        <v>100</v>
      </c>
      <c r="B700" s="21" t="s">
        <v>88</v>
      </c>
      <c r="C700" s="21" t="s">
        <v>261</v>
      </c>
      <c r="D700" s="21">
        <v>0.5</v>
      </c>
      <c r="E700" s="21">
        <v>40.1</v>
      </c>
      <c r="F700" s="21">
        <v>1378.03</v>
      </c>
      <c r="G700" s="21">
        <v>343.65</v>
      </c>
    </row>
    <row r="701" spans="1:7" ht="15" customHeight="1" x14ac:dyDescent="0.3">
      <c r="A701" s="21" t="s">
        <v>100</v>
      </c>
      <c r="B701" s="21" t="s">
        <v>88</v>
      </c>
      <c r="C701" s="21" t="s">
        <v>273</v>
      </c>
      <c r="D701" s="21">
        <v>0.28999999999999998</v>
      </c>
      <c r="E701" s="21">
        <v>23.36</v>
      </c>
      <c r="F701" s="21">
        <v>802.74</v>
      </c>
      <c r="G701" s="21">
        <v>343.64</v>
      </c>
    </row>
    <row r="702" spans="1:7" ht="15" customHeight="1" x14ac:dyDescent="0.3">
      <c r="A702" s="21" t="s">
        <v>100</v>
      </c>
      <c r="B702" s="21" t="s">
        <v>88</v>
      </c>
      <c r="C702" s="21" t="s">
        <v>274</v>
      </c>
      <c r="D702" s="21">
        <v>0.18</v>
      </c>
      <c r="E702" s="21">
        <v>14.54</v>
      </c>
      <c r="F702" s="21">
        <v>499.56</v>
      </c>
      <c r="G702" s="21">
        <v>343.58</v>
      </c>
    </row>
    <row r="703" spans="1:7" ht="15" customHeight="1" x14ac:dyDescent="0.3">
      <c r="A703" s="21" t="s">
        <v>100</v>
      </c>
      <c r="B703" s="21" t="s">
        <v>88</v>
      </c>
      <c r="C703" s="21" t="s">
        <v>272</v>
      </c>
      <c r="D703" s="21">
        <v>0.13</v>
      </c>
      <c r="E703" s="21">
        <v>10.64</v>
      </c>
      <c r="F703" s="21">
        <v>365.43</v>
      </c>
      <c r="G703" s="21">
        <v>343.45</v>
      </c>
    </row>
    <row r="704" spans="1:7" ht="15" customHeight="1" x14ac:dyDescent="0.3">
      <c r="A704" s="21" t="s">
        <v>100</v>
      </c>
      <c r="B704" s="21" t="s">
        <v>88</v>
      </c>
      <c r="C704" s="21" t="s">
        <v>276</v>
      </c>
      <c r="D704" s="21">
        <v>0.12</v>
      </c>
      <c r="E704" s="21">
        <v>9.68</v>
      </c>
      <c r="F704" s="21">
        <v>332.77</v>
      </c>
      <c r="G704" s="21">
        <v>343.77</v>
      </c>
    </row>
    <row r="705" spans="1:7" ht="15" customHeight="1" x14ac:dyDescent="0.3">
      <c r="A705" s="21" t="s">
        <v>100</v>
      </c>
      <c r="B705" s="21" t="s">
        <v>88</v>
      </c>
      <c r="C705" s="21" t="s">
        <v>251</v>
      </c>
      <c r="D705" s="21">
        <v>0.1</v>
      </c>
      <c r="E705" s="21">
        <v>7.76</v>
      </c>
      <c r="F705" s="21">
        <v>266.5</v>
      </c>
      <c r="G705" s="21">
        <v>343.43</v>
      </c>
    </row>
    <row r="706" spans="1:7" ht="15" customHeight="1" x14ac:dyDescent="0.3">
      <c r="A706" s="21" t="s">
        <v>100</v>
      </c>
      <c r="B706" s="21" t="s">
        <v>88</v>
      </c>
      <c r="C706" s="21" t="s">
        <v>275</v>
      </c>
      <c r="D706" s="21">
        <v>0.08</v>
      </c>
      <c r="E706" s="21">
        <v>6.21</v>
      </c>
      <c r="F706" s="21">
        <v>213.29</v>
      </c>
      <c r="G706" s="21">
        <v>343.46</v>
      </c>
    </row>
    <row r="707" spans="1:7" ht="15" customHeight="1" x14ac:dyDescent="0.3">
      <c r="A707" s="21" t="s">
        <v>100</v>
      </c>
      <c r="B707" s="21" t="s">
        <v>88</v>
      </c>
      <c r="C707" s="21" t="s">
        <v>278</v>
      </c>
      <c r="D707" s="21">
        <v>7.0000000000000007E-2</v>
      </c>
      <c r="E707" s="21">
        <v>5.78</v>
      </c>
      <c r="F707" s="21">
        <v>198.62</v>
      </c>
      <c r="G707" s="21">
        <v>343.63</v>
      </c>
    </row>
    <row r="708" spans="1:7" ht="15" customHeight="1" x14ac:dyDescent="0.3">
      <c r="A708" s="21" t="s">
        <v>100</v>
      </c>
      <c r="B708" s="21" t="s">
        <v>88</v>
      </c>
      <c r="C708" s="21" t="s">
        <v>254</v>
      </c>
      <c r="D708" s="21">
        <v>0.37</v>
      </c>
      <c r="E708" s="21">
        <v>29.57</v>
      </c>
      <c r="F708" s="21">
        <v>1016.01</v>
      </c>
      <c r="G708" s="21">
        <v>343.59</v>
      </c>
    </row>
    <row r="709" spans="1:7" ht="15" customHeight="1" x14ac:dyDescent="0.3">
      <c r="A709" s="21" t="s">
        <v>100</v>
      </c>
      <c r="B709" s="21" t="s">
        <v>88</v>
      </c>
      <c r="C709" s="21" t="s">
        <v>277</v>
      </c>
      <c r="D709" s="21">
        <v>0.25</v>
      </c>
      <c r="E709" s="21">
        <v>19.68</v>
      </c>
      <c r="F709" s="21">
        <v>676.16</v>
      </c>
      <c r="G709" s="21">
        <v>343.58</v>
      </c>
    </row>
    <row r="710" spans="1:7" ht="15" customHeight="1" x14ac:dyDescent="0.3">
      <c r="A710" s="21" t="s">
        <v>100</v>
      </c>
      <c r="B710" s="21" t="s">
        <v>88</v>
      </c>
      <c r="C710" s="21" t="s">
        <v>266</v>
      </c>
      <c r="D710" s="21">
        <v>0.44</v>
      </c>
      <c r="E710" s="21">
        <v>35.299999999999997</v>
      </c>
      <c r="F710" s="21">
        <v>1212.8900000000001</v>
      </c>
      <c r="G710" s="21">
        <v>343.59</v>
      </c>
    </row>
    <row r="711" spans="1:7" ht="15" customHeight="1" x14ac:dyDescent="0.3">
      <c r="A711" s="21" t="s">
        <v>100</v>
      </c>
      <c r="B711" s="21" t="s">
        <v>88</v>
      </c>
      <c r="C711" s="21" t="s">
        <v>269</v>
      </c>
      <c r="D711" s="21">
        <v>0.03</v>
      </c>
      <c r="E711" s="21">
        <v>2.4500000000000002</v>
      </c>
      <c r="F711" s="21">
        <v>84.32</v>
      </c>
      <c r="G711" s="21">
        <v>344.16</v>
      </c>
    </row>
    <row r="712" spans="1:7" ht="15" customHeight="1" x14ac:dyDescent="0.3">
      <c r="A712" s="21" t="s">
        <v>100</v>
      </c>
      <c r="B712" s="21" t="s">
        <v>88</v>
      </c>
      <c r="C712" s="21" t="s">
        <v>249</v>
      </c>
      <c r="D712" s="21">
        <v>0.05</v>
      </c>
      <c r="E712" s="21">
        <v>3.72</v>
      </c>
      <c r="F712" s="21">
        <v>127.8</v>
      </c>
      <c r="G712" s="21">
        <v>343.55</v>
      </c>
    </row>
    <row r="713" spans="1:7" ht="15" customHeight="1" x14ac:dyDescent="0.3">
      <c r="A713" s="21" t="s">
        <v>100</v>
      </c>
      <c r="B713" s="21" t="s">
        <v>88</v>
      </c>
      <c r="C713" s="21" t="s">
        <v>258</v>
      </c>
      <c r="D713" s="21">
        <v>0.06</v>
      </c>
      <c r="E713" s="21">
        <v>4.84</v>
      </c>
      <c r="F713" s="21">
        <v>166.36</v>
      </c>
      <c r="G713" s="21">
        <v>343.72</v>
      </c>
    </row>
    <row r="714" spans="1:7" ht="15" customHeight="1" x14ac:dyDescent="0.3">
      <c r="A714" s="21" t="s">
        <v>100</v>
      </c>
      <c r="B714" s="21" t="s">
        <v>88</v>
      </c>
      <c r="C714" s="21" t="s">
        <v>270</v>
      </c>
      <c r="D714" s="21">
        <v>0.01</v>
      </c>
      <c r="E714" s="21">
        <v>0.82</v>
      </c>
      <c r="F714" s="21">
        <v>28.18</v>
      </c>
      <c r="G714" s="21">
        <v>343.66</v>
      </c>
    </row>
    <row r="715" spans="1:7" ht="15" customHeight="1" x14ac:dyDescent="0.3">
      <c r="A715" s="21" t="s">
        <v>100</v>
      </c>
      <c r="B715" s="21" t="s">
        <v>87</v>
      </c>
      <c r="C715" s="21" t="s">
        <v>243</v>
      </c>
      <c r="D715" s="21">
        <v>17.059999999999999</v>
      </c>
      <c r="E715" s="21">
        <v>1782.86</v>
      </c>
      <c r="F715" s="21">
        <v>60342.02</v>
      </c>
      <c r="G715" s="21">
        <v>338.46</v>
      </c>
    </row>
    <row r="716" spans="1:7" ht="15" customHeight="1" x14ac:dyDescent="0.3">
      <c r="A716" s="21" t="s">
        <v>100</v>
      </c>
      <c r="B716" s="21" t="s">
        <v>87</v>
      </c>
      <c r="C716" s="21" t="s">
        <v>244</v>
      </c>
      <c r="D716" s="21">
        <v>11.56</v>
      </c>
      <c r="E716" s="21">
        <v>1208.05</v>
      </c>
      <c r="F716" s="21">
        <v>40887.1</v>
      </c>
      <c r="G716" s="21">
        <v>338.46</v>
      </c>
    </row>
    <row r="717" spans="1:7" ht="15" customHeight="1" x14ac:dyDescent="0.3">
      <c r="A717" s="21" t="s">
        <v>100</v>
      </c>
      <c r="B717" s="21" t="s">
        <v>87</v>
      </c>
      <c r="C717" s="21" t="s">
        <v>245</v>
      </c>
      <c r="D717" s="21">
        <v>7.89</v>
      </c>
      <c r="E717" s="21">
        <v>824.26</v>
      </c>
      <c r="F717" s="21">
        <v>27897.73</v>
      </c>
      <c r="G717" s="21">
        <v>338.46</v>
      </c>
    </row>
    <row r="718" spans="1:7" ht="15" customHeight="1" x14ac:dyDescent="0.3">
      <c r="A718" s="21" t="s">
        <v>100</v>
      </c>
      <c r="B718" s="21" t="s">
        <v>87</v>
      </c>
      <c r="C718" s="21" t="s">
        <v>246</v>
      </c>
      <c r="D718" s="21">
        <v>6.79</v>
      </c>
      <c r="E718" s="21">
        <v>709.36</v>
      </c>
      <c r="F718" s="21">
        <v>24008.560000000001</v>
      </c>
      <c r="G718" s="21">
        <v>338.45</v>
      </c>
    </row>
    <row r="719" spans="1:7" ht="15" customHeight="1" x14ac:dyDescent="0.3">
      <c r="A719" s="21" t="s">
        <v>100</v>
      </c>
      <c r="B719" s="21" t="s">
        <v>87</v>
      </c>
      <c r="C719" s="21" t="s">
        <v>247</v>
      </c>
      <c r="D719" s="21">
        <v>6.53</v>
      </c>
      <c r="E719" s="21">
        <v>682.63</v>
      </c>
      <c r="F719" s="21">
        <v>23104.02</v>
      </c>
      <c r="G719" s="21">
        <v>338.46</v>
      </c>
    </row>
    <row r="720" spans="1:7" ht="15" customHeight="1" x14ac:dyDescent="0.3">
      <c r="A720" s="21" t="s">
        <v>100</v>
      </c>
      <c r="B720" s="21" t="s">
        <v>87</v>
      </c>
      <c r="C720" s="21" t="s">
        <v>248</v>
      </c>
      <c r="D720" s="21">
        <v>5.94</v>
      </c>
      <c r="E720" s="21">
        <v>620.66</v>
      </c>
      <c r="F720" s="21">
        <v>21006.53</v>
      </c>
      <c r="G720" s="21">
        <v>338.45</v>
      </c>
    </row>
    <row r="721" spans="1:7" ht="15" customHeight="1" x14ac:dyDescent="0.3">
      <c r="A721" s="21" t="s">
        <v>100</v>
      </c>
      <c r="B721" s="21" t="s">
        <v>87</v>
      </c>
      <c r="C721" s="21" t="s">
        <v>255</v>
      </c>
      <c r="D721" s="21">
        <v>5.91</v>
      </c>
      <c r="E721" s="21">
        <v>617.75</v>
      </c>
      <c r="F721" s="21">
        <v>20908.13</v>
      </c>
      <c r="G721" s="21">
        <v>338.46</v>
      </c>
    </row>
    <row r="722" spans="1:7" ht="15" customHeight="1" x14ac:dyDescent="0.3">
      <c r="A722" s="21" t="s">
        <v>100</v>
      </c>
      <c r="B722" s="21" t="s">
        <v>87</v>
      </c>
      <c r="C722" s="21" t="s">
        <v>257</v>
      </c>
      <c r="D722" s="21">
        <v>4.68</v>
      </c>
      <c r="E722" s="21">
        <v>489.18</v>
      </c>
      <c r="F722" s="21">
        <v>16556.5</v>
      </c>
      <c r="G722" s="21">
        <v>338.45</v>
      </c>
    </row>
    <row r="723" spans="1:7" ht="15" customHeight="1" x14ac:dyDescent="0.3">
      <c r="A723" s="21" t="s">
        <v>100</v>
      </c>
      <c r="B723" s="21" t="s">
        <v>87</v>
      </c>
      <c r="C723" s="21" t="s">
        <v>259</v>
      </c>
      <c r="D723" s="21">
        <v>4.0999999999999996</v>
      </c>
      <c r="E723" s="21">
        <v>427.97</v>
      </c>
      <c r="F723" s="21">
        <v>14485</v>
      </c>
      <c r="G723" s="21">
        <v>338.46</v>
      </c>
    </row>
    <row r="724" spans="1:7" ht="15" customHeight="1" x14ac:dyDescent="0.3">
      <c r="A724" s="21" t="s">
        <v>100</v>
      </c>
      <c r="B724" s="21" t="s">
        <v>87</v>
      </c>
      <c r="C724" s="21" t="s">
        <v>260</v>
      </c>
      <c r="D724" s="21">
        <v>4.0199999999999996</v>
      </c>
      <c r="E724" s="21">
        <v>419.92</v>
      </c>
      <c r="F724" s="21">
        <v>14212.41</v>
      </c>
      <c r="G724" s="21">
        <v>338.46</v>
      </c>
    </row>
    <row r="725" spans="1:7" ht="15" customHeight="1" x14ac:dyDescent="0.3">
      <c r="A725" s="21" t="s">
        <v>100</v>
      </c>
      <c r="B725" s="21" t="s">
        <v>87</v>
      </c>
      <c r="C725" s="21" t="s">
        <v>262</v>
      </c>
      <c r="D725" s="21">
        <v>3.55</v>
      </c>
      <c r="E725" s="21">
        <v>371.17</v>
      </c>
      <c r="F725" s="21">
        <v>12562.36</v>
      </c>
      <c r="G725" s="21">
        <v>338.45</v>
      </c>
    </row>
    <row r="726" spans="1:7" ht="15" customHeight="1" x14ac:dyDescent="0.3">
      <c r="A726" s="21" t="s">
        <v>100</v>
      </c>
      <c r="B726" s="21" t="s">
        <v>87</v>
      </c>
      <c r="C726" s="21" t="s">
        <v>250</v>
      </c>
      <c r="D726" s="21">
        <v>3.4</v>
      </c>
      <c r="E726" s="21">
        <v>355.59</v>
      </c>
      <c r="F726" s="21">
        <v>12035.11</v>
      </c>
      <c r="G726" s="21">
        <v>338.45</v>
      </c>
    </row>
    <row r="727" spans="1:7" ht="15" customHeight="1" x14ac:dyDescent="0.3">
      <c r="A727" s="21" t="s">
        <v>100</v>
      </c>
      <c r="B727" s="21" t="s">
        <v>87</v>
      </c>
      <c r="C727" s="21" t="s">
        <v>263</v>
      </c>
      <c r="D727" s="21">
        <v>2.84</v>
      </c>
      <c r="E727" s="21">
        <v>296.82</v>
      </c>
      <c r="F727" s="21">
        <v>10046</v>
      </c>
      <c r="G727" s="21">
        <v>338.45</v>
      </c>
    </row>
    <row r="728" spans="1:7" ht="15" customHeight="1" x14ac:dyDescent="0.3">
      <c r="A728" s="21" t="s">
        <v>100</v>
      </c>
      <c r="B728" s="21" t="s">
        <v>87</v>
      </c>
      <c r="C728" s="21" t="s">
        <v>265</v>
      </c>
      <c r="D728" s="21">
        <v>2.36</v>
      </c>
      <c r="E728" s="21">
        <v>246.13</v>
      </c>
      <c r="F728" s="21">
        <v>8330.44</v>
      </c>
      <c r="G728" s="21">
        <v>338.46</v>
      </c>
    </row>
    <row r="729" spans="1:7" ht="15" customHeight="1" x14ac:dyDescent="0.3">
      <c r="A729" s="21" t="s">
        <v>100</v>
      </c>
      <c r="B729" s="21" t="s">
        <v>87</v>
      </c>
      <c r="C729" s="21" t="s">
        <v>253</v>
      </c>
      <c r="D729" s="21">
        <v>2.0499999999999998</v>
      </c>
      <c r="E729" s="21">
        <v>214.57</v>
      </c>
      <c r="F729" s="21">
        <v>7262.31</v>
      </c>
      <c r="G729" s="21">
        <v>338.46</v>
      </c>
    </row>
    <row r="730" spans="1:7" ht="15" customHeight="1" x14ac:dyDescent="0.3">
      <c r="A730" s="21" t="s">
        <v>100</v>
      </c>
      <c r="B730" s="21" t="s">
        <v>87</v>
      </c>
      <c r="C730" s="21" t="s">
        <v>268</v>
      </c>
      <c r="D730" s="21">
        <v>1.66</v>
      </c>
      <c r="E730" s="21">
        <v>173.5</v>
      </c>
      <c r="F730" s="21">
        <v>5872.38</v>
      </c>
      <c r="G730" s="21">
        <v>338.47</v>
      </c>
    </row>
    <row r="731" spans="1:7" ht="15" customHeight="1" x14ac:dyDescent="0.3">
      <c r="A731" s="21" t="s">
        <v>100</v>
      </c>
      <c r="B731" s="21" t="s">
        <v>87</v>
      </c>
      <c r="C731" s="21" t="s">
        <v>252</v>
      </c>
      <c r="D731" s="21">
        <v>1.24</v>
      </c>
      <c r="E731" s="21">
        <v>129.55000000000001</v>
      </c>
      <c r="F731" s="21">
        <v>4384.6499999999996</v>
      </c>
      <c r="G731" s="21">
        <v>338.45</v>
      </c>
    </row>
    <row r="732" spans="1:7" ht="15" customHeight="1" x14ac:dyDescent="0.3">
      <c r="A732" s="21" t="s">
        <v>100</v>
      </c>
      <c r="B732" s="21" t="s">
        <v>87</v>
      </c>
      <c r="C732" s="21" t="s">
        <v>267</v>
      </c>
      <c r="D732" s="21">
        <v>1.06</v>
      </c>
      <c r="E732" s="21">
        <v>110.71</v>
      </c>
      <c r="F732" s="21">
        <v>3746.99</v>
      </c>
      <c r="G732" s="21">
        <v>338.45</v>
      </c>
    </row>
    <row r="733" spans="1:7" ht="15" customHeight="1" x14ac:dyDescent="0.3">
      <c r="A733" s="21" t="s">
        <v>100</v>
      </c>
      <c r="B733" s="21" t="s">
        <v>87</v>
      </c>
      <c r="C733" s="21" t="s">
        <v>256</v>
      </c>
      <c r="D733" s="21">
        <v>0.98</v>
      </c>
      <c r="E733" s="21">
        <v>102.74</v>
      </c>
      <c r="F733" s="21">
        <v>3477.46</v>
      </c>
      <c r="G733" s="21">
        <v>338.47</v>
      </c>
    </row>
    <row r="734" spans="1:7" ht="15" customHeight="1" x14ac:dyDescent="0.3">
      <c r="A734" s="21" t="s">
        <v>100</v>
      </c>
      <c r="B734" s="21" t="s">
        <v>87</v>
      </c>
      <c r="C734" s="21" t="s">
        <v>271</v>
      </c>
      <c r="D734" s="21">
        <v>0.83</v>
      </c>
      <c r="E734" s="21">
        <v>87.12</v>
      </c>
      <c r="F734" s="21">
        <v>2948.72</v>
      </c>
      <c r="G734" s="21">
        <v>338.47</v>
      </c>
    </row>
    <row r="735" spans="1:7" ht="15" customHeight="1" x14ac:dyDescent="0.3">
      <c r="A735" s="21" t="s">
        <v>100</v>
      </c>
      <c r="B735" s="21" t="s">
        <v>87</v>
      </c>
      <c r="C735" s="21" t="s">
        <v>264</v>
      </c>
      <c r="D735" s="21">
        <v>0.63</v>
      </c>
      <c r="E735" s="21">
        <v>66.34</v>
      </c>
      <c r="F735" s="21">
        <v>2245.46</v>
      </c>
      <c r="G735" s="21">
        <v>338.48</v>
      </c>
    </row>
    <row r="736" spans="1:7" ht="15" customHeight="1" x14ac:dyDescent="0.3">
      <c r="A736" s="21" t="s">
        <v>100</v>
      </c>
      <c r="B736" s="21" t="s">
        <v>87</v>
      </c>
      <c r="C736" s="21" t="s">
        <v>261</v>
      </c>
      <c r="D736" s="21">
        <v>0.49</v>
      </c>
      <c r="E736" s="21">
        <v>50.73</v>
      </c>
      <c r="F736" s="21">
        <v>1717.11</v>
      </c>
      <c r="G736" s="21">
        <v>338.48</v>
      </c>
    </row>
    <row r="737" spans="1:7" ht="15" customHeight="1" x14ac:dyDescent="0.3">
      <c r="A737" s="21" t="s">
        <v>100</v>
      </c>
      <c r="B737" s="21" t="s">
        <v>87</v>
      </c>
      <c r="C737" s="21" t="s">
        <v>273</v>
      </c>
      <c r="D737" s="21">
        <v>0.28000000000000003</v>
      </c>
      <c r="E737" s="21">
        <v>29.54</v>
      </c>
      <c r="F737" s="21">
        <v>999.69</v>
      </c>
      <c r="G737" s="21">
        <v>338.42</v>
      </c>
    </row>
    <row r="738" spans="1:7" ht="15" customHeight="1" x14ac:dyDescent="0.3">
      <c r="A738" s="21" t="s">
        <v>100</v>
      </c>
      <c r="B738" s="21" t="s">
        <v>87</v>
      </c>
      <c r="C738" s="21" t="s">
        <v>274</v>
      </c>
      <c r="D738" s="21">
        <v>0.21</v>
      </c>
      <c r="E738" s="21">
        <v>21.79</v>
      </c>
      <c r="F738" s="21">
        <v>737.43</v>
      </c>
      <c r="G738" s="21">
        <v>338.43</v>
      </c>
    </row>
    <row r="739" spans="1:7" ht="15" customHeight="1" x14ac:dyDescent="0.3">
      <c r="A739" s="21" t="s">
        <v>100</v>
      </c>
      <c r="B739" s="21" t="s">
        <v>87</v>
      </c>
      <c r="C739" s="21" t="s">
        <v>272</v>
      </c>
      <c r="D739" s="21">
        <v>0.15</v>
      </c>
      <c r="E739" s="21">
        <v>16</v>
      </c>
      <c r="F739" s="21">
        <v>541.6</v>
      </c>
      <c r="G739" s="21">
        <v>338.5</v>
      </c>
    </row>
    <row r="740" spans="1:7" ht="15" customHeight="1" x14ac:dyDescent="0.3">
      <c r="A740" s="21" t="s">
        <v>100</v>
      </c>
      <c r="B740" s="21" t="s">
        <v>87</v>
      </c>
      <c r="C740" s="21" t="s">
        <v>276</v>
      </c>
      <c r="D740" s="21">
        <v>0.12</v>
      </c>
      <c r="E740" s="21">
        <v>12.61</v>
      </c>
      <c r="F740" s="21">
        <v>426.7</v>
      </c>
      <c r="G740" s="21">
        <v>338.38</v>
      </c>
    </row>
    <row r="741" spans="1:7" ht="15" customHeight="1" x14ac:dyDescent="0.3">
      <c r="A741" s="21" t="s">
        <v>100</v>
      </c>
      <c r="B741" s="21" t="s">
        <v>87</v>
      </c>
      <c r="C741" s="21" t="s">
        <v>251</v>
      </c>
      <c r="D741" s="21">
        <v>0.1</v>
      </c>
      <c r="E741" s="21">
        <v>10.65</v>
      </c>
      <c r="F741" s="21">
        <v>360.53</v>
      </c>
      <c r="G741" s="21">
        <v>338.53</v>
      </c>
    </row>
    <row r="742" spans="1:7" ht="15" customHeight="1" x14ac:dyDescent="0.3">
      <c r="A742" s="21" t="s">
        <v>100</v>
      </c>
      <c r="B742" s="21" t="s">
        <v>87</v>
      </c>
      <c r="C742" s="21" t="s">
        <v>275</v>
      </c>
      <c r="D742" s="21">
        <v>0.08</v>
      </c>
      <c r="E742" s="21">
        <v>8.49</v>
      </c>
      <c r="F742" s="21">
        <v>287.52</v>
      </c>
      <c r="G742" s="21">
        <v>338.66</v>
      </c>
    </row>
    <row r="743" spans="1:7" ht="15" customHeight="1" x14ac:dyDescent="0.3">
      <c r="A743" s="21" t="s">
        <v>100</v>
      </c>
      <c r="B743" s="21" t="s">
        <v>87</v>
      </c>
      <c r="C743" s="21" t="s">
        <v>278</v>
      </c>
      <c r="D743" s="21">
        <v>7.0000000000000007E-2</v>
      </c>
      <c r="E743" s="21">
        <v>7.78</v>
      </c>
      <c r="F743" s="21">
        <v>263.47000000000003</v>
      </c>
      <c r="G743" s="21">
        <v>338.65</v>
      </c>
    </row>
    <row r="744" spans="1:7" ht="15" customHeight="1" x14ac:dyDescent="0.3">
      <c r="A744" s="21" t="s">
        <v>100</v>
      </c>
      <c r="B744" s="21" t="s">
        <v>87</v>
      </c>
      <c r="C744" s="21" t="s">
        <v>254</v>
      </c>
      <c r="D744" s="21">
        <v>0.37</v>
      </c>
      <c r="E744" s="21">
        <v>38.94</v>
      </c>
      <c r="F744" s="21">
        <v>1318.03</v>
      </c>
      <c r="G744" s="21">
        <v>338.48</v>
      </c>
    </row>
    <row r="745" spans="1:7" ht="15" customHeight="1" x14ac:dyDescent="0.3">
      <c r="A745" s="21" t="s">
        <v>100</v>
      </c>
      <c r="B745" s="21" t="s">
        <v>87</v>
      </c>
      <c r="C745" s="21" t="s">
        <v>277</v>
      </c>
      <c r="D745" s="21">
        <v>0.26</v>
      </c>
      <c r="E745" s="21">
        <v>26.84</v>
      </c>
      <c r="F745" s="21">
        <v>908.26</v>
      </c>
      <c r="G745" s="21">
        <v>338.4</v>
      </c>
    </row>
    <row r="746" spans="1:7" ht="15" customHeight="1" x14ac:dyDescent="0.3">
      <c r="A746" s="21" t="s">
        <v>100</v>
      </c>
      <c r="B746" s="21" t="s">
        <v>87</v>
      </c>
      <c r="C746" s="21" t="s">
        <v>266</v>
      </c>
      <c r="D746" s="21">
        <v>0.47</v>
      </c>
      <c r="E746" s="21">
        <v>49.01</v>
      </c>
      <c r="F746" s="21">
        <v>1658.87</v>
      </c>
      <c r="G746" s="21">
        <v>338.48</v>
      </c>
    </row>
    <row r="747" spans="1:7" ht="15" customHeight="1" x14ac:dyDescent="0.3">
      <c r="A747" s="21" t="s">
        <v>100</v>
      </c>
      <c r="B747" s="21" t="s">
        <v>87</v>
      </c>
      <c r="C747" s="21" t="s">
        <v>269</v>
      </c>
      <c r="D747" s="21">
        <v>0.03</v>
      </c>
      <c r="E747" s="21">
        <v>3.22</v>
      </c>
      <c r="F747" s="21">
        <v>108.83</v>
      </c>
      <c r="G747" s="21">
        <v>337.98</v>
      </c>
    </row>
    <row r="748" spans="1:7" ht="15" customHeight="1" x14ac:dyDescent="0.3">
      <c r="A748" s="21" t="s">
        <v>100</v>
      </c>
      <c r="B748" s="21" t="s">
        <v>87</v>
      </c>
      <c r="C748" s="21" t="s">
        <v>249</v>
      </c>
      <c r="D748" s="21">
        <v>0.05</v>
      </c>
      <c r="E748" s="21">
        <v>5.0999999999999996</v>
      </c>
      <c r="F748" s="21">
        <v>172.76</v>
      </c>
      <c r="G748" s="21">
        <v>338.75</v>
      </c>
    </row>
    <row r="749" spans="1:7" ht="15" customHeight="1" x14ac:dyDescent="0.3">
      <c r="A749" s="21" t="s">
        <v>100</v>
      </c>
      <c r="B749" s="21" t="s">
        <v>87</v>
      </c>
      <c r="C749" s="21" t="s">
        <v>258</v>
      </c>
      <c r="D749" s="21">
        <v>0.06</v>
      </c>
      <c r="E749" s="21">
        <v>6.51</v>
      </c>
      <c r="F749" s="21">
        <v>220.24</v>
      </c>
      <c r="G749" s="21">
        <v>338.31</v>
      </c>
    </row>
    <row r="750" spans="1:7" ht="15" customHeight="1" x14ac:dyDescent="0.3">
      <c r="A750" s="21" t="s">
        <v>100</v>
      </c>
      <c r="B750" s="21" t="s">
        <v>87</v>
      </c>
      <c r="C750" s="21" t="s">
        <v>270</v>
      </c>
      <c r="D750" s="21">
        <v>0.01</v>
      </c>
      <c r="E750" s="21">
        <v>1.04</v>
      </c>
      <c r="F750" s="21">
        <v>35.369999999999997</v>
      </c>
      <c r="G750" s="21">
        <v>340.1</v>
      </c>
    </row>
    <row r="751" spans="1:7" ht="15" customHeight="1" x14ac:dyDescent="0.3">
      <c r="A751" s="21" t="s">
        <v>100</v>
      </c>
      <c r="B751" s="21" t="s">
        <v>92</v>
      </c>
      <c r="C751" s="21" t="s">
        <v>243</v>
      </c>
      <c r="D751" s="21">
        <v>17.37</v>
      </c>
      <c r="E751" s="21">
        <v>2252.0500000000002</v>
      </c>
      <c r="F751" s="21">
        <v>76241.509999999995</v>
      </c>
      <c r="G751" s="21">
        <v>338.54</v>
      </c>
    </row>
    <row r="752" spans="1:7" ht="15" customHeight="1" x14ac:dyDescent="0.3">
      <c r="A752" s="21" t="s">
        <v>100</v>
      </c>
      <c r="B752" s="21" t="s">
        <v>92</v>
      </c>
      <c r="C752" s="21" t="s">
        <v>244</v>
      </c>
      <c r="D752" s="21">
        <v>12.04</v>
      </c>
      <c r="E752" s="21">
        <v>1560.48</v>
      </c>
      <c r="F752" s="21">
        <v>52828.65</v>
      </c>
      <c r="G752" s="21">
        <v>338.54</v>
      </c>
    </row>
    <row r="753" spans="1:7" ht="15" customHeight="1" x14ac:dyDescent="0.3">
      <c r="A753" s="21" t="s">
        <v>100</v>
      </c>
      <c r="B753" s="21" t="s">
        <v>92</v>
      </c>
      <c r="C753" s="21" t="s">
        <v>245</v>
      </c>
      <c r="D753" s="21">
        <v>8.32</v>
      </c>
      <c r="E753" s="21">
        <v>1078.3699999999999</v>
      </c>
      <c r="F753" s="21">
        <v>36507.43</v>
      </c>
      <c r="G753" s="21">
        <v>338.54</v>
      </c>
    </row>
    <row r="754" spans="1:7" ht="15" customHeight="1" x14ac:dyDescent="0.3">
      <c r="A754" s="21" t="s">
        <v>100</v>
      </c>
      <c r="B754" s="21" t="s">
        <v>92</v>
      </c>
      <c r="C754" s="21" t="s">
        <v>246</v>
      </c>
      <c r="D754" s="21">
        <v>6.8</v>
      </c>
      <c r="E754" s="21">
        <v>881.66</v>
      </c>
      <c r="F754" s="21">
        <v>29847.79</v>
      </c>
      <c r="G754" s="21">
        <v>338.54</v>
      </c>
    </row>
    <row r="755" spans="1:7" ht="15" customHeight="1" x14ac:dyDescent="0.3">
      <c r="A755" s="21" t="s">
        <v>100</v>
      </c>
      <c r="B755" s="21" t="s">
        <v>92</v>
      </c>
      <c r="C755" s="21" t="s">
        <v>247</v>
      </c>
      <c r="D755" s="21">
        <v>6.68</v>
      </c>
      <c r="E755" s="21">
        <v>866.08</v>
      </c>
      <c r="F755" s="21">
        <v>29320.54</v>
      </c>
      <c r="G755" s="21">
        <v>338.54</v>
      </c>
    </row>
    <row r="756" spans="1:7" ht="15" customHeight="1" x14ac:dyDescent="0.3">
      <c r="A756" s="21" t="s">
        <v>100</v>
      </c>
      <c r="B756" s="21" t="s">
        <v>92</v>
      </c>
      <c r="C756" s="21" t="s">
        <v>248</v>
      </c>
      <c r="D756" s="21">
        <v>5.79</v>
      </c>
      <c r="E756" s="21">
        <v>750.73</v>
      </c>
      <c r="F756" s="21">
        <v>25415.34</v>
      </c>
      <c r="G756" s="21">
        <v>338.54</v>
      </c>
    </row>
    <row r="757" spans="1:7" ht="15" customHeight="1" x14ac:dyDescent="0.3">
      <c r="A757" s="21" t="s">
        <v>100</v>
      </c>
      <c r="B757" s="21" t="s">
        <v>92</v>
      </c>
      <c r="C757" s="21" t="s">
        <v>255</v>
      </c>
      <c r="D757" s="21">
        <v>5.0599999999999996</v>
      </c>
      <c r="E757" s="21">
        <v>656.25</v>
      </c>
      <c r="F757" s="21">
        <v>22216.69</v>
      </c>
      <c r="G757" s="21">
        <v>338.54</v>
      </c>
    </row>
    <row r="758" spans="1:7" ht="15" customHeight="1" x14ac:dyDescent="0.3">
      <c r="A758" s="21" t="s">
        <v>100</v>
      </c>
      <c r="B758" s="21" t="s">
        <v>92</v>
      </c>
      <c r="C758" s="21" t="s">
        <v>257</v>
      </c>
      <c r="D758" s="21">
        <v>4.9000000000000004</v>
      </c>
      <c r="E758" s="21">
        <v>635.44000000000005</v>
      </c>
      <c r="F758" s="21">
        <v>21512.31</v>
      </c>
      <c r="G758" s="21">
        <v>338.54</v>
      </c>
    </row>
    <row r="759" spans="1:7" ht="15" customHeight="1" x14ac:dyDescent="0.3">
      <c r="A759" s="21" t="s">
        <v>100</v>
      </c>
      <c r="B759" s="21" t="s">
        <v>92</v>
      </c>
      <c r="C759" s="21" t="s">
        <v>259</v>
      </c>
      <c r="D759" s="21">
        <v>4.08</v>
      </c>
      <c r="E759" s="21">
        <v>528.82000000000005</v>
      </c>
      <c r="F759" s="21">
        <v>17902.77</v>
      </c>
      <c r="G759" s="21">
        <v>338.54</v>
      </c>
    </row>
    <row r="760" spans="1:7" ht="15" customHeight="1" x14ac:dyDescent="0.3">
      <c r="A760" s="21" t="s">
        <v>100</v>
      </c>
      <c r="B760" s="21" t="s">
        <v>92</v>
      </c>
      <c r="C760" s="21" t="s">
        <v>260</v>
      </c>
      <c r="D760" s="21">
        <v>3.97</v>
      </c>
      <c r="E760" s="21">
        <v>514.4</v>
      </c>
      <c r="F760" s="21">
        <v>17414.580000000002</v>
      </c>
      <c r="G760" s="21">
        <v>338.54</v>
      </c>
    </row>
    <row r="761" spans="1:7" ht="15" customHeight="1" x14ac:dyDescent="0.3">
      <c r="A761" s="21" t="s">
        <v>100</v>
      </c>
      <c r="B761" s="21" t="s">
        <v>92</v>
      </c>
      <c r="C761" s="21" t="s">
        <v>262</v>
      </c>
      <c r="D761" s="21">
        <v>3.5</v>
      </c>
      <c r="E761" s="21">
        <v>453.83</v>
      </c>
      <c r="F761" s="21">
        <v>15363.92</v>
      </c>
      <c r="G761" s="21">
        <v>338.54</v>
      </c>
    </row>
    <row r="762" spans="1:7" ht="15" customHeight="1" x14ac:dyDescent="0.3">
      <c r="A762" s="21" t="s">
        <v>100</v>
      </c>
      <c r="B762" s="21" t="s">
        <v>92</v>
      </c>
      <c r="C762" s="21" t="s">
        <v>250</v>
      </c>
      <c r="D762" s="21">
        <v>3.26</v>
      </c>
      <c r="E762" s="21">
        <v>423.1</v>
      </c>
      <c r="F762" s="21">
        <v>14323.79</v>
      </c>
      <c r="G762" s="21">
        <v>338.54</v>
      </c>
    </row>
    <row r="763" spans="1:7" ht="15" customHeight="1" x14ac:dyDescent="0.3">
      <c r="A763" s="21" t="s">
        <v>100</v>
      </c>
      <c r="B763" s="21" t="s">
        <v>92</v>
      </c>
      <c r="C763" s="21" t="s">
        <v>263</v>
      </c>
      <c r="D763" s="21">
        <v>2.67</v>
      </c>
      <c r="E763" s="21">
        <v>345.66</v>
      </c>
      <c r="F763" s="21">
        <v>11701.88</v>
      </c>
      <c r="G763" s="21">
        <v>338.54</v>
      </c>
    </row>
    <row r="764" spans="1:7" ht="15" customHeight="1" x14ac:dyDescent="0.3">
      <c r="A764" s="21" t="s">
        <v>100</v>
      </c>
      <c r="B764" s="21" t="s">
        <v>92</v>
      </c>
      <c r="C764" s="21" t="s">
        <v>265</v>
      </c>
      <c r="D764" s="21">
        <v>2.4300000000000002</v>
      </c>
      <c r="E764" s="21">
        <v>314.58999999999997</v>
      </c>
      <c r="F764" s="21">
        <v>10650.15</v>
      </c>
      <c r="G764" s="21">
        <v>338.54</v>
      </c>
    </row>
    <row r="765" spans="1:7" ht="15" customHeight="1" x14ac:dyDescent="0.3">
      <c r="A765" s="21" t="s">
        <v>100</v>
      </c>
      <c r="B765" s="21" t="s">
        <v>92</v>
      </c>
      <c r="C765" s="21" t="s">
        <v>253</v>
      </c>
      <c r="D765" s="21">
        <v>2.15</v>
      </c>
      <c r="E765" s="21">
        <v>278.7</v>
      </c>
      <c r="F765" s="21">
        <v>9435.23</v>
      </c>
      <c r="G765" s="21">
        <v>338.54</v>
      </c>
    </row>
    <row r="766" spans="1:7" ht="15" customHeight="1" x14ac:dyDescent="0.3">
      <c r="A766" s="21" t="s">
        <v>100</v>
      </c>
      <c r="B766" s="21" t="s">
        <v>92</v>
      </c>
      <c r="C766" s="21" t="s">
        <v>268</v>
      </c>
      <c r="D766" s="21">
        <v>1.88</v>
      </c>
      <c r="E766" s="21">
        <v>243.38</v>
      </c>
      <c r="F766" s="21">
        <v>8239.36</v>
      </c>
      <c r="G766" s="21">
        <v>338.54</v>
      </c>
    </row>
    <row r="767" spans="1:7" ht="15" customHeight="1" x14ac:dyDescent="0.3">
      <c r="A767" s="21" t="s">
        <v>100</v>
      </c>
      <c r="B767" s="21" t="s">
        <v>92</v>
      </c>
      <c r="C767" s="21" t="s">
        <v>252</v>
      </c>
      <c r="D767" s="21">
        <v>1.3</v>
      </c>
      <c r="E767" s="21">
        <v>168.64</v>
      </c>
      <c r="F767" s="21">
        <v>5709.04</v>
      </c>
      <c r="G767" s="21">
        <v>338.53</v>
      </c>
    </row>
    <row r="768" spans="1:7" ht="15" customHeight="1" x14ac:dyDescent="0.3">
      <c r="A768" s="21" t="s">
        <v>100</v>
      </c>
      <c r="B768" s="21" t="s">
        <v>92</v>
      </c>
      <c r="C768" s="21" t="s">
        <v>267</v>
      </c>
      <c r="D768" s="21">
        <v>0.96</v>
      </c>
      <c r="E768" s="21">
        <v>124.44</v>
      </c>
      <c r="F768" s="21">
        <v>4212.6899999999996</v>
      </c>
      <c r="G768" s="21">
        <v>338.53</v>
      </c>
    </row>
    <row r="769" spans="1:7" ht="15" customHeight="1" x14ac:dyDescent="0.3">
      <c r="A769" s="21" t="s">
        <v>100</v>
      </c>
      <c r="B769" s="21" t="s">
        <v>92</v>
      </c>
      <c r="C769" s="21" t="s">
        <v>256</v>
      </c>
      <c r="D769" s="21">
        <v>0.95</v>
      </c>
      <c r="E769" s="21">
        <v>122.97</v>
      </c>
      <c r="F769" s="21">
        <v>4163.16</v>
      </c>
      <c r="G769" s="21">
        <v>338.55</v>
      </c>
    </row>
    <row r="770" spans="1:7" ht="15" customHeight="1" x14ac:dyDescent="0.3">
      <c r="A770" s="21" t="s">
        <v>100</v>
      </c>
      <c r="B770" s="21" t="s">
        <v>92</v>
      </c>
      <c r="C770" s="21" t="s">
        <v>271</v>
      </c>
      <c r="D770" s="21">
        <v>0.71</v>
      </c>
      <c r="E770" s="21">
        <v>92.47</v>
      </c>
      <c r="F770" s="21">
        <v>3130.58</v>
      </c>
      <c r="G770" s="21">
        <v>338.55</v>
      </c>
    </row>
    <row r="771" spans="1:7" ht="15" customHeight="1" x14ac:dyDescent="0.3">
      <c r="A771" s="21" t="s">
        <v>100</v>
      </c>
      <c r="B771" s="21" t="s">
        <v>92</v>
      </c>
      <c r="C771" s="21" t="s">
        <v>264</v>
      </c>
      <c r="D771" s="21">
        <v>0.56000000000000005</v>
      </c>
      <c r="E771" s="21">
        <v>73.150000000000006</v>
      </c>
      <c r="F771" s="21">
        <v>2476.39</v>
      </c>
      <c r="G771" s="21">
        <v>338.54</v>
      </c>
    </row>
    <row r="772" spans="1:7" ht="15" customHeight="1" x14ac:dyDescent="0.3">
      <c r="A772" s="21" t="s">
        <v>100</v>
      </c>
      <c r="B772" s="21" t="s">
        <v>92</v>
      </c>
      <c r="C772" s="21" t="s">
        <v>261</v>
      </c>
      <c r="D772" s="21">
        <v>0.48</v>
      </c>
      <c r="E772" s="21">
        <v>61.72</v>
      </c>
      <c r="F772" s="21">
        <v>2089.4899999999998</v>
      </c>
      <c r="G772" s="21">
        <v>338.54</v>
      </c>
    </row>
    <row r="773" spans="1:7" ht="15" customHeight="1" x14ac:dyDescent="0.3">
      <c r="A773" s="21" t="s">
        <v>100</v>
      </c>
      <c r="B773" s="21" t="s">
        <v>92</v>
      </c>
      <c r="C773" s="21" t="s">
        <v>273</v>
      </c>
      <c r="D773" s="21">
        <v>0.28000000000000003</v>
      </c>
      <c r="E773" s="21">
        <v>36.270000000000003</v>
      </c>
      <c r="F773" s="21">
        <v>1227.77</v>
      </c>
      <c r="G773" s="21">
        <v>338.51</v>
      </c>
    </row>
    <row r="774" spans="1:7" ht="15" customHeight="1" x14ac:dyDescent="0.3">
      <c r="A774" s="21" t="s">
        <v>100</v>
      </c>
      <c r="B774" s="21" t="s">
        <v>92</v>
      </c>
      <c r="C774" s="21" t="s">
        <v>274</v>
      </c>
      <c r="D774" s="21">
        <v>0.18</v>
      </c>
      <c r="E774" s="21">
        <v>23.88</v>
      </c>
      <c r="F774" s="21">
        <v>808.37</v>
      </c>
      <c r="G774" s="21">
        <v>338.51</v>
      </c>
    </row>
    <row r="775" spans="1:7" ht="15" customHeight="1" x14ac:dyDescent="0.3">
      <c r="A775" s="21" t="s">
        <v>100</v>
      </c>
      <c r="B775" s="21" t="s">
        <v>92</v>
      </c>
      <c r="C775" s="21" t="s">
        <v>272</v>
      </c>
      <c r="D775" s="21">
        <v>0.15</v>
      </c>
      <c r="E775" s="21">
        <v>19.850000000000001</v>
      </c>
      <c r="F775" s="21">
        <v>672.01</v>
      </c>
      <c r="G775" s="21">
        <v>338.54</v>
      </c>
    </row>
    <row r="776" spans="1:7" ht="15" customHeight="1" x14ac:dyDescent="0.3">
      <c r="A776" s="21" t="s">
        <v>100</v>
      </c>
      <c r="B776" s="21" t="s">
        <v>92</v>
      </c>
      <c r="C776" s="21" t="s">
        <v>276</v>
      </c>
      <c r="D776" s="21">
        <v>0.12</v>
      </c>
      <c r="E776" s="21">
        <v>15.39</v>
      </c>
      <c r="F776" s="21">
        <v>521.09</v>
      </c>
      <c r="G776" s="21">
        <v>338.59</v>
      </c>
    </row>
    <row r="777" spans="1:7" ht="15" customHeight="1" x14ac:dyDescent="0.3">
      <c r="A777" s="21" t="s">
        <v>100</v>
      </c>
      <c r="B777" s="21" t="s">
        <v>92</v>
      </c>
      <c r="C777" s="21" t="s">
        <v>251</v>
      </c>
      <c r="D777" s="21">
        <v>0.1</v>
      </c>
      <c r="E777" s="21">
        <v>13.21</v>
      </c>
      <c r="F777" s="21">
        <v>447.27</v>
      </c>
      <c r="G777" s="21">
        <v>338.58</v>
      </c>
    </row>
    <row r="778" spans="1:7" ht="15" customHeight="1" x14ac:dyDescent="0.3">
      <c r="A778" s="21" t="s">
        <v>100</v>
      </c>
      <c r="B778" s="21" t="s">
        <v>92</v>
      </c>
      <c r="C778" s="21" t="s">
        <v>275</v>
      </c>
      <c r="D778" s="21">
        <v>0.08</v>
      </c>
      <c r="E778" s="21">
        <v>10.73</v>
      </c>
      <c r="F778" s="21">
        <v>363.28</v>
      </c>
      <c r="G778" s="21">
        <v>338.56</v>
      </c>
    </row>
    <row r="779" spans="1:7" ht="15" customHeight="1" x14ac:dyDescent="0.3">
      <c r="A779" s="21" t="s">
        <v>100</v>
      </c>
      <c r="B779" s="21" t="s">
        <v>92</v>
      </c>
      <c r="C779" s="21" t="s">
        <v>278</v>
      </c>
      <c r="D779" s="21">
        <v>7.0000000000000007E-2</v>
      </c>
      <c r="E779" s="21">
        <v>9.1999999999999993</v>
      </c>
      <c r="F779" s="21">
        <v>311.33999999999997</v>
      </c>
      <c r="G779" s="21">
        <v>338.41</v>
      </c>
    </row>
    <row r="780" spans="1:7" ht="15" customHeight="1" x14ac:dyDescent="0.3">
      <c r="A780" s="21" t="s">
        <v>100</v>
      </c>
      <c r="B780" s="21" t="s">
        <v>92</v>
      </c>
      <c r="C780" s="21" t="s">
        <v>254</v>
      </c>
      <c r="D780" s="21">
        <v>0.36</v>
      </c>
      <c r="E780" s="21">
        <v>46.87</v>
      </c>
      <c r="F780" s="21">
        <v>1586.82</v>
      </c>
      <c r="G780" s="21">
        <v>338.56</v>
      </c>
    </row>
    <row r="781" spans="1:7" ht="15" customHeight="1" x14ac:dyDescent="0.3">
      <c r="A781" s="21" t="s">
        <v>100</v>
      </c>
      <c r="B781" s="21" t="s">
        <v>92</v>
      </c>
      <c r="C781" s="21" t="s">
        <v>277</v>
      </c>
      <c r="D781" s="21">
        <v>0.25</v>
      </c>
      <c r="E781" s="21">
        <v>32.299999999999997</v>
      </c>
      <c r="F781" s="21">
        <v>1093.53</v>
      </c>
      <c r="G781" s="21">
        <v>338.55</v>
      </c>
    </row>
    <row r="782" spans="1:7" ht="15" customHeight="1" x14ac:dyDescent="0.3">
      <c r="A782" s="21" t="s">
        <v>100</v>
      </c>
      <c r="B782" s="21" t="s">
        <v>92</v>
      </c>
      <c r="C782" s="21" t="s">
        <v>266</v>
      </c>
      <c r="D782" s="21">
        <v>0.42</v>
      </c>
      <c r="E782" s="21">
        <v>54.88</v>
      </c>
      <c r="F782" s="21">
        <v>1858</v>
      </c>
      <c r="G782" s="21">
        <v>338.56</v>
      </c>
    </row>
    <row r="783" spans="1:7" ht="15" customHeight="1" x14ac:dyDescent="0.3">
      <c r="A783" s="21" t="s">
        <v>100</v>
      </c>
      <c r="B783" s="21" t="s">
        <v>92</v>
      </c>
      <c r="C783" s="21" t="s">
        <v>269</v>
      </c>
      <c r="D783" s="21">
        <v>0.03</v>
      </c>
      <c r="E783" s="21">
        <v>4.0999999999999996</v>
      </c>
      <c r="F783" s="21">
        <v>138.65</v>
      </c>
      <c r="G783" s="21">
        <v>338.17</v>
      </c>
    </row>
    <row r="784" spans="1:7" ht="15" customHeight="1" x14ac:dyDescent="0.3">
      <c r="A784" s="21" t="s">
        <v>100</v>
      </c>
      <c r="B784" s="21" t="s">
        <v>92</v>
      </c>
      <c r="C784" s="21" t="s">
        <v>249</v>
      </c>
      <c r="D784" s="21">
        <v>0.05</v>
      </c>
      <c r="E784" s="21">
        <v>6.29</v>
      </c>
      <c r="F784" s="21">
        <v>213.01</v>
      </c>
      <c r="G784" s="21">
        <v>338.65</v>
      </c>
    </row>
    <row r="785" spans="1:7" ht="15" customHeight="1" x14ac:dyDescent="0.3">
      <c r="A785" s="21" t="s">
        <v>100</v>
      </c>
      <c r="B785" s="21" t="s">
        <v>92</v>
      </c>
      <c r="C785" s="21" t="s">
        <v>258</v>
      </c>
      <c r="D785" s="21">
        <v>0.06</v>
      </c>
      <c r="E785" s="21">
        <v>7.42</v>
      </c>
      <c r="F785" s="21">
        <v>251.04</v>
      </c>
      <c r="G785" s="21">
        <v>338.33</v>
      </c>
    </row>
    <row r="786" spans="1:7" ht="15" customHeight="1" x14ac:dyDescent="0.3">
      <c r="A786" s="21" t="s">
        <v>100</v>
      </c>
      <c r="B786" s="21" t="s">
        <v>92</v>
      </c>
      <c r="C786" s="21" t="s">
        <v>270</v>
      </c>
      <c r="D786" s="21">
        <v>0.01</v>
      </c>
      <c r="E786" s="21">
        <v>1.3</v>
      </c>
      <c r="F786" s="21">
        <v>43.89</v>
      </c>
      <c r="G786" s="21">
        <v>337.62</v>
      </c>
    </row>
    <row r="787" spans="1:7" ht="15" customHeight="1" x14ac:dyDescent="0.3">
      <c r="A787" s="21" t="s">
        <v>100</v>
      </c>
      <c r="B787" s="21" t="s">
        <v>95</v>
      </c>
      <c r="C787" s="21" t="s">
        <v>243</v>
      </c>
      <c r="D787" s="21">
        <v>15.75</v>
      </c>
      <c r="E787" s="21">
        <v>2291.84</v>
      </c>
      <c r="F787" s="21">
        <v>76901.710000000006</v>
      </c>
      <c r="G787" s="21">
        <v>335.55</v>
      </c>
    </row>
    <row r="788" spans="1:7" ht="15" customHeight="1" x14ac:dyDescent="0.3">
      <c r="A788" s="21" t="s">
        <v>100</v>
      </c>
      <c r="B788" s="21" t="s">
        <v>95</v>
      </c>
      <c r="C788" s="21" t="s">
        <v>244</v>
      </c>
      <c r="D788" s="21">
        <v>12.53</v>
      </c>
      <c r="E788" s="21">
        <v>1824.06</v>
      </c>
      <c r="F788" s="21">
        <v>61205.4</v>
      </c>
      <c r="G788" s="21">
        <v>335.54</v>
      </c>
    </row>
    <row r="789" spans="1:7" ht="15" customHeight="1" x14ac:dyDescent="0.3">
      <c r="A789" s="21" t="s">
        <v>100</v>
      </c>
      <c r="B789" s="21" t="s">
        <v>95</v>
      </c>
      <c r="C789" s="21" t="s">
        <v>245</v>
      </c>
      <c r="D789" s="21">
        <v>8.34</v>
      </c>
      <c r="E789" s="21">
        <v>1213.97</v>
      </c>
      <c r="F789" s="21">
        <v>40734.410000000003</v>
      </c>
      <c r="G789" s="21">
        <v>335.55</v>
      </c>
    </row>
    <row r="790" spans="1:7" ht="15" customHeight="1" x14ac:dyDescent="0.3">
      <c r="A790" s="21" t="s">
        <v>100</v>
      </c>
      <c r="B790" s="21" t="s">
        <v>95</v>
      </c>
      <c r="C790" s="21" t="s">
        <v>246</v>
      </c>
      <c r="D790" s="21">
        <v>7.22</v>
      </c>
      <c r="E790" s="21">
        <v>1051.3499999999999</v>
      </c>
      <c r="F790" s="21">
        <v>35277.47</v>
      </c>
      <c r="G790" s="21">
        <v>335.54</v>
      </c>
    </row>
    <row r="791" spans="1:7" ht="15" customHeight="1" x14ac:dyDescent="0.3">
      <c r="A791" s="21" t="s">
        <v>100</v>
      </c>
      <c r="B791" s="21" t="s">
        <v>95</v>
      </c>
      <c r="C791" s="21" t="s">
        <v>247</v>
      </c>
      <c r="D791" s="21">
        <v>6.21</v>
      </c>
      <c r="E791" s="21">
        <v>903.55</v>
      </c>
      <c r="F791" s="21">
        <v>30318.39</v>
      </c>
      <c r="G791" s="21">
        <v>335.55</v>
      </c>
    </row>
    <row r="792" spans="1:7" ht="15" customHeight="1" x14ac:dyDescent="0.3">
      <c r="A792" s="21" t="s">
        <v>100</v>
      </c>
      <c r="B792" s="21" t="s">
        <v>95</v>
      </c>
      <c r="C792" s="21" t="s">
        <v>248</v>
      </c>
      <c r="D792" s="21">
        <v>5.66</v>
      </c>
      <c r="E792" s="21">
        <v>823.56</v>
      </c>
      <c r="F792" s="21">
        <v>27634.17</v>
      </c>
      <c r="G792" s="21">
        <v>335.55</v>
      </c>
    </row>
    <row r="793" spans="1:7" ht="15" customHeight="1" x14ac:dyDescent="0.3">
      <c r="A793" s="21" t="s">
        <v>100</v>
      </c>
      <c r="B793" s="21" t="s">
        <v>95</v>
      </c>
      <c r="C793" s="21" t="s">
        <v>255</v>
      </c>
      <c r="D793" s="21">
        <v>5.8</v>
      </c>
      <c r="E793" s="21">
        <v>843.48</v>
      </c>
      <c r="F793" s="21">
        <v>28302.62</v>
      </c>
      <c r="G793" s="21">
        <v>335.55</v>
      </c>
    </row>
    <row r="794" spans="1:7" ht="15" customHeight="1" x14ac:dyDescent="0.3">
      <c r="A794" s="21" t="s">
        <v>100</v>
      </c>
      <c r="B794" s="21" t="s">
        <v>95</v>
      </c>
      <c r="C794" s="21" t="s">
        <v>257</v>
      </c>
      <c r="D794" s="21">
        <v>4.92</v>
      </c>
      <c r="E794" s="21">
        <v>715.94</v>
      </c>
      <c r="F794" s="21">
        <v>24023.09</v>
      </c>
      <c r="G794" s="21">
        <v>335.55</v>
      </c>
    </row>
    <row r="795" spans="1:7" ht="15" customHeight="1" x14ac:dyDescent="0.3">
      <c r="A795" s="21" t="s">
        <v>100</v>
      </c>
      <c r="B795" s="21" t="s">
        <v>95</v>
      </c>
      <c r="C795" s="21" t="s">
        <v>259</v>
      </c>
      <c r="D795" s="21">
        <v>4.6399999999999997</v>
      </c>
      <c r="E795" s="21">
        <v>674.7</v>
      </c>
      <c r="F795" s="21">
        <v>22639.22</v>
      </c>
      <c r="G795" s="21">
        <v>335.54</v>
      </c>
    </row>
    <row r="796" spans="1:7" ht="15" customHeight="1" x14ac:dyDescent="0.3">
      <c r="A796" s="21" t="s">
        <v>100</v>
      </c>
      <c r="B796" s="21" t="s">
        <v>95</v>
      </c>
      <c r="C796" s="21" t="s">
        <v>260</v>
      </c>
      <c r="D796" s="21">
        <v>4.0199999999999996</v>
      </c>
      <c r="E796" s="21">
        <v>585.69000000000005</v>
      </c>
      <c r="F796" s="21">
        <v>19652.7</v>
      </c>
      <c r="G796" s="21">
        <v>335.55</v>
      </c>
    </row>
    <row r="797" spans="1:7" ht="15" customHeight="1" x14ac:dyDescent="0.3">
      <c r="A797" s="21" t="s">
        <v>100</v>
      </c>
      <c r="B797" s="21" t="s">
        <v>95</v>
      </c>
      <c r="C797" s="21" t="s">
        <v>262</v>
      </c>
      <c r="D797" s="21">
        <v>3.7</v>
      </c>
      <c r="E797" s="21">
        <v>538.54</v>
      </c>
      <c r="F797" s="21">
        <v>18070.55</v>
      </c>
      <c r="G797" s="21">
        <v>335.55</v>
      </c>
    </row>
    <row r="798" spans="1:7" ht="15" customHeight="1" x14ac:dyDescent="0.3">
      <c r="A798" s="21" t="s">
        <v>100</v>
      </c>
      <c r="B798" s="21" t="s">
        <v>95</v>
      </c>
      <c r="C798" s="21" t="s">
        <v>250</v>
      </c>
      <c r="D798" s="21">
        <v>2.98</v>
      </c>
      <c r="E798" s="21">
        <v>433.42</v>
      </c>
      <c r="F798" s="21">
        <v>14543.07</v>
      </c>
      <c r="G798" s="21">
        <v>335.54</v>
      </c>
    </row>
    <row r="799" spans="1:7" ht="15" customHeight="1" x14ac:dyDescent="0.3">
      <c r="A799" s="21" t="s">
        <v>100</v>
      </c>
      <c r="B799" s="21" t="s">
        <v>95</v>
      </c>
      <c r="C799" s="21" t="s">
        <v>263</v>
      </c>
      <c r="D799" s="21">
        <v>2.91</v>
      </c>
      <c r="E799" s="21">
        <v>423.08</v>
      </c>
      <c r="F799" s="21">
        <v>14196.33</v>
      </c>
      <c r="G799" s="21">
        <v>335.55</v>
      </c>
    </row>
    <row r="800" spans="1:7" ht="15" customHeight="1" x14ac:dyDescent="0.3">
      <c r="A800" s="21" t="s">
        <v>100</v>
      </c>
      <c r="B800" s="21" t="s">
        <v>95</v>
      </c>
      <c r="C800" s="21" t="s">
        <v>265</v>
      </c>
      <c r="D800" s="21">
        <v>2.4900000000000002</v>
      </c>
      <c r="E800" s="21">
        <v>362.89</v>
      </c>
      <c r="F800" s="21">
        <v>12176.58</v>
      </c>
      <c r="G800" s="21">
        <v>335.54</v>
      </c>
    </row>
    <row r="801" spans="1:7" ht="15" customHeight="1" x14ac:dyDescent="0.3">
      <c r="A801" s="21" t="s">
        <v>100</v>
      </c>
      <c r="B801" s="21" t="s">
        <v>95</v>
      </c>
      <c r="C801" s="21" t="s">
        <v>253</v>
      </c>
      <c r="D801" s="21">
        <v>2.14</v>
      </c>
      <c r="E801" s="21">
        <v>311.37</v>
      </c>
      <c r="F801" s="21">
        <v>10447.93</v>
      </c>
      <c r="G801" s="21">
        <v>335.55</v>
      </c>
    </row>
    <row r="802" spans="1:7" ht="15" customHeight="1" x14ac:dyDescent="0.3">
      <c r="A802" s="21" t="s">
        <v>100</v>
      </c>
      <c r="B802" s="21" t="s">
        <v>95</v>
      </c>
      <c r="C802" s="21" t="s">
        <v>268</v>
      </c>
      <c r="D802" s="21">
        <v>1.82</v>
      </c>
      <c r="E802" s="21">
        <v>264.18</v>
      </c>
      <c r="F802" s="21">
        <v>8864.33</v>
      </c>
      <c r="G802" s="21">
        <v>335.54</v>
      </c>
    </row>
    <row r="803" spans="1:7" ht="15" customHeight="1" x14ac:dyDescent="0.3">
      <c r="A803" s="21" t="s">
        <v>100</v>
      </c>
      <c r="B803" s="21" t="s">
        <v>95</v>
      </c>
      <c r="C803" s="21" t="s">
        <v>252</v>
      </c>
      <c r="D803" s="21">
        <v>1.26</v>
      </c>
      <c r="E803" s="21">
        <v>182.9</v>
      </c>
      <c r="F803" s="21">
        <v>6137.28</v>
      </c>
      <c r="G803" s="21">
        <v>335.55</v>
      </c>
    </row>
    <row r="804" spans="1:7" ht="15" customHeight="1" x14ac:dyDescent="0.3">
      <c r="A804" s="21" t="s">
        <v>100</v>
      </c>
      <c r="B804" s="21" t="s">
        <v>95</v>
      </c>
      <c r="C804" s="21" t="s">
        <v>267</v>
      </c>
      <c r="D804" s="21">
        <v>1.03</v>
      </c>
      <c r="E804" s="21">
        <v>149.19</v>
      </c>
      <c r="F804" s="21">
        <v>5005.8900000000003</v>
      </c>
      <c r="G804" s="21">
        <v>335.54</v>
      </c>
    </row>
    <row r="805" spans="1:7" ht="15" customHeight="1" x14ac:dyDescent="0.3">
      <c r="A805" s="21" t="s">
        <v>100</v>
      </c>
      <c r="B805" s="21" t="s">
        <v>95</v>
      </c>
      <c r="C805" s="21" t="s">
        <v>256</v>
      </c>
      <c r="D805" s="21">
        <v>0.86</v>
      </c>
      <c r="E805" s="21">
        <v>125.23</v>
      </c>
      <c r="F805" s="21">
        <v>4202.18</v>
      </c>
      <c r="G805" s="21">
        <v>335.56</v>
      </c>
    </row>
    <row r="806" spans="1:7" ht="15" customHeight="1" x14ac:dyDescent="0.3">
      <c r="A806" s="21" t="s">
        <v>100</v>
      </c>
      <c r="B806" s="21" t="s">
        <v>95</v>
      </c>
      <c r="C806" s="21" t="s">
        <v>271</v>
      </c>
      <c r="D806" s="21">
        <v>0.83</v>
      </c>
      <c r="E806" s="21">
        <v>120.76</v>
      </c>
      <c r="F806" s="21">
        <v>4051.91</v>
      </c>
      <c r="G806" s="21">
        <v>335.53</v>
      </c>
    </row>
    <row r="807" spans="1:7" ht="15" customHeight="1" x14ac:dyDescent="0.3">
      <c r="A807" s="21" t="s">
        <v>100</v>
      </c>
      <c r="B807" s="21" t="s">
        <v>95</v>
      </c>
      <c r="C807" s="21" t="s">
        <v>264</v>
      </c>
      <c r="D807" s="21">
        <v>0.57999999999999996</v>
      </c>
      <c r="E807" s="21">
        <v>84.54</v>
      </c>
      <c r="F807" s="21">
        <v>2836.75</v>
      </c>
      <c r="G807" s="21">
        <v>335.55</v>
      </c>
    </row>
    <row r="808" spans="1:7" ht="15" customHeight="1" x14ac:dyDescent="0.3">
      <c r="A808" s="21" t="s">
        <v>100</v>
      </c>
      <c r="B808" s="21" t="s">
        <v>95</v>
      </c>
      <c r="C808" s="21" t="s">
        <v>261</v>
      </c>
      <c r="D808" s="21">
        <v>0.51</v>
      </c>
      <c r="E808" s="21">
        <v>73.56</v>
      </c>
      <c r="F808" s="21">
        <v>2468.25</v>
      </c>
      <c r="G808" s="21">
        <v>335.54</v>
      </c>
    </row>
    <row r="809" spans="1:7" ht="15" customHeight="1" x14ac:dyDescent="0.3">
      <c r="A809" s="21" t="s">
        <v>100</v>
      </c>
      <c r="B809" s="21" t="s">
        <v>95</v>
      </c>
      <c r="C809" s="21" t="s">
        <v>273</v>
      </c>
      <c r="D809" s="21">
        <v>0.3</v>
      </c>
      <c r="E809" s="21">
        <v>43</v>
      </c>
      <c r="F809" s="21">
        <v>1442.86</v>
      </c>
      <c r="G809" s="21">
        <v>335.55</v>
      </c>
    </row>
    <row r="810" spans="1:7" ht="15" customHeight="1" x14ac:dyDescent="0.3">
      <c r="A810" s="21" t="s">
        <v>100</v>
      </c>
      <c r="B810" s="21" t="s">
        <v>95</v>
      </c>
      <c r="C810" s="21" t="s">
        <v>274</v>
      </c>
      <c r="D810" s="21">
        <v>0.2</v>
      </c>
      <c r="E810" s="21">
        <v>28.79</v>
      </c>
      <c r="F810" s="21">
        <v>966.03</v>
      </c>
      <c r="G810" s="21">
        <v>335.54</v>
      </c>
    </row>
    <row r="811" spans="1:7" ht="15" customHeight="1" x14ac:dyDescent="0.3">
      <c r="A811" s="21" t="s">
        <v>100</v>
      </c>
      <c r="B811" s="21" t="s">
        <v>95</v>
      </c>
      <c r="C811" s="21" t="s">
        <v>272</v>
      </c>
      <c r="D811" s="21">
        <v>0.16</v>
      </c>
      <c r="E811" s="21">
        <v>22.67</v>
      </c>
      <c r="F811" s="21">
        <v>760.61</v>
      </c>
      <c r="G811" s="21">
        <v>335.51</v>
      </c>
    </row>
    <row r="812" spans="1:7" ht="15" customHeight="1" x14ac:dyDescent="0.3">
      <c r="A812" s="21" t="s">
        <v>100</v>
      </c>
      <c r="B812" s="21" t="s">
        <v>95</v>
      </c>
      <c r="C812" s="21" t="s">
        <v>276</v>
      </c>
      <c r="D812" s="21">
        <v>0.11</v>
      </c>
      <c r="E812" s="21">
        <v>16.559999999999999</v>
      </c>
      <c r="F812" s="21">
        <v>555.54999999999995</v>
      </c>
      <c r="G812" s="21">
        <v>335.48</v>
      </c>
    </row>
    <row r="813" spans="1:7" ht="15" customHeight="1" x14ac:dyDescent="0.3">
      <c r="A813" s="21" t="s">
        <v>100</v>
      </c>
      <c r="B813" s="21" t="s">
        <v>95</v>
      </c>
      <c r="C813" s="21" t="s">
        <v>251</v>
      </c>
      <c r="D813" s="21">
        <v>0.11</v>
      </c>
      <c r="E813" s="21">
        <v>15.97</v>
      </c>
      <c r="F813" s="21">
        <v>535.86</v>
      </c>
      <c r="G813" s="21">
        <v>335.54</v>
      </c>
    </row>
    <row r="814" spans="1:7" ht="15" customHeight="1" x14ac:dyDescent="0.3">
      <c r="A814" s="21" t="s">
        <v>100</v>
      </c>
      <c r="B814" s="21" t="s">
        <v>95</v>
      </c>
      <c r="C814" s="21" t="s">
        <v>275</v>
      </c>
      <c r="D814" s="21">
        <v>7.0000000000000007E-2</v>
      </c>
      <c r="E814" s="21">
        <v>10.58</v>
      </c>
      <c r="F814" s="21">
        <v>355.11</v>
      </c>
      <c r="G814" s="21">
        <v>335.64</v>
      </c>
    </row>
    <row r="815" spans="1:7" ht="15" customHeight="1" x14ac:dyDescent="0.3">
      <c r="A815" s="21" t="s">
        <v>100</v>
      </c>
      <c r="B815" s="21" t="s">
        <v>95</v>
      </c>
      <c r="C815" s="21" t="s">
        <v>278</v>
      </c>
      <c r="D815" s="21">
        <v>7.0000000000000007E-2</v>
      </c>
      <c r="E815" s="21">
        <v>9.8800000000000008</v>
      </c>
      <c r="F815" s="21">
        <v>331.64</v>
      </c>
      <c r="G815" s="21">
        <v>335.67</v>
      </c>
    </row>
    <row r="816" spans="1:7" ht="15" customHeight="1" x14ac:dyDescent="0.3">
      <c r="A816" s="21" t="s">
        <v>100</v>
      </c>
      <c r="B816" s="21" t="s">
        <v>95</v>
      </c>
      <c r="C816" s="21" t="s">
        <v>254</v>
      </c>
      <c r="D816" s="21">
        <v>0.36</v>
      </c>
      <c r="E816" s="21">
        <v>51.88</v>
      </c>
      <c r="F816" s="21">
        <v>1740.9</v>
      </c>
      <c r="G816" s="21">
        <v>335.56</v>
      </c>
    </row>
    <row r="817" spans="1:7" ht="15" customHeight="1" x14ac:dyDescent="0.3">
      <c r="A817" s="21" t="s">
        <v>100</v>
      </c>
      <c r="B817" s="21" t="s">
        <v>95</v>
      </c>
      <c r="C817" s="21" t="s">
        <v>277</v>
      </c>
      <c r="D817" s="21">
        <v>0.26</v>
      </c>
      <c r="E817" s="21">
        <v>37.450000000000003</v>
      </c>
      <c r="F817" s="21">
        <v>1256.57</v>
      </c>
      <c r="G817" s="21">
        <v>335.53</v>
      </c>
    </row>
    <row r="818" spans="1:7" ht="15" customHeight="1" x14ac:dyDescent="0.3">
      <c r="A818" s="21" t="s">
        <v>100</v>
      </c>
      <c r="B818" s="21" t="s">
        <v>95</v>
      </c>
      <c r="C818" s="21" t="s">
        <v>266</v>
      </c>
      <c r="D818" s="21">
        <v>0.45</v>
      </c>
      <c r="E818" s="21">
        <v>65.16</v>
      </c>
      <c r="F818" s="21">
        <v>2186.58</v>
      </c>
      <c r="G818" s="21">
        <v>335.57</v>
      </c>
    </row>
    <row r="819" spans="1:7" ht="15" customHeight="1" x14ac:dyDescent="0.3">
      <c r="A819" s="21" t="s">
        <v>100</v>
      </c>
      <c r="B819" s="21" t="s">
        <v>95</v>
      </c>
      <c r="C819" s="21" t="s">
        <v>269</v>
      </c>
      <c r="D819" s="21">
        <v>0.03</v>
      </c>
      <c r="E819" s="21">
        <v>4.3499999999999996</v>
      </c>
      <c r="F819" s="21">
        <v>146.09</v>
      </c>
      <c r="G819" s="21">
        <v>335.84</v>
      </c>
    </row>
    <row r="820" spans="1:7" ht="15" customHeight="1" x14ac:dyDescent="0.3">
      <c r="A820" s="21" t="s">
        <v>100</v>
      </c>
      <c r="B820" s="21" t="s">
        <v>95</v>
      </c>
      <c r="C820" s="21" t="s">
        <v>249</v>
      </c>
      <c r="D820" s="21">
        <v>0.05</v>
      </c>
      <c r="E820" s="21">
        <v>7.43</v>
      </c>
      <c r="F820" s="21">
        <v>249.19</v>
      </c>
      <c r="G820" s="21">
        <v>335.38</v>
      </c>
    </row>
    <row r="821" spans="1:7" ht="15" customHeight="1" x14ac:dyDescent="0.3">
      <c r="A821" s="21" t="s">
        <v>100</v>
      </c>
      <c r="B821" s="21" t="s">
        <v>95</v>
      </c>
      <c r="C821" s="21" t="s">
        <v>258</v>
      </c>
      <c r="D821" s="21">
        <v>0.06</v>
      </c>
      <c r="E821" s="21">
        <v>8.6300000000000008</v>
      </c>
      <c r="F821" s="21">
        <v>289.63</v>
      </c>
      <c r="G821" s="21">
        <v>335.61</v>
      </c>
    </row>
    <row r="822" spans="1:7" ht="15" customHeight="1" x14ac:dyDescent="0.3">
      <c r="A822" s="21" t="s">
        <v>100</v>
      </c>
      <c r="B822" s="21" t="s">
        <v>95</v>
      </c>
      <c r="C822" s="21" t="s">
        <v>270</v>
      </c>
      <c r="D822" s="21">
        <v>0.01</v>
      </c>
      <c r="E822" s="21">
        <v>1.56</v>
      </c>
      <c r="F822" s="21">
        <v>52.24</v>
      </c>
      <c r="G822" s="21">
        <v>334.87</v>
      </c>
    </row>
    <row r="823" spans="1:7" ht="15" customHeight="1" x14ac:dyDescent="0.3">
      <c r="A823" s="21" t="s">
        <v>102</v>
      </c>
      <c r="B823" s="21" t="s">
        <v>88</v>
      </c>
      <c r="C823" s="21" t="s">
        <v>243</v>
      </c>
      <c r="D823" s="21">
        <v>17.190000000000001</v>
      </c>
      <c r="E823" s="21">
        <v>2990.63</v>
      </c>
      <c r="F823" s="21">
        <v>101779.38</v>
      </c>
      <c r="G823" s="21">
        <v>340.33</v>
      </c>
    </row>
    <row r="824" spans="1:7" ht="15" customHeight="1" x14ac:dyDescent="0.3">
      <c r="A824" s="21" t="s">
        <v>102</v>
      </c>
      <c r="B824" s="21" t="s">
        <v>88</v>
      </c>
      <c r="C824" s="21" t="s">
        <v>244</v>
      </c>
      <c r="D824" s="21">
        <v>13.36</v>
      </c>
      <c r="E824" s="21">
        <v>2323.73</v>
      </c>
      <c r="F824" s="21">
        <v>79082.960000000006</v>
      </c>
      <c r="G824" s="21">
        <v>340.33</v>
      </c>
    </row>
    <row r="825" spans="1:7" ht="15" customHeight="1" x14ac:dyDescent="0.3">
      <c r="A825" s="21" t="s">
        <v>102</v>
      </c>
      <c r="B825" s="21" t="s">
        <v>88</v>
      </c>
      <c r="C825" s="21" t="s">
        <v>245</v>
      </c>
      <c r="D825" s="21">
        <v>7.8</v>
      </c>
      <c r="E825" s="21">
        <v>1357.48</v>
      </c>
      <c r="F825" s="21">
        <v>46198.94</v>
      </c>
      <c r="G825" s="21">
        <v>340.33</v>
      </c>
    </row>
    <row r="826" spans="1:7" ht="15" customHeight="1" x14ac:dyDescent="0.3">
      <c r="A826" s="21" t="s">
        <v>102</v>
      </c>
      <c r="B826" s="21" t="s">
        <v>88</v>
      </c>
      <c r="C826" s="21" t="s">
        <v>246</v>
      </c>
      <c r="D826" s="21">
        <v>7.07</v>
      </c>
      <c r="E826" s="21">
        <v>1230.1400000000001</v>
      </c>
      <c r="F826" s="21">
        <v>41865.160000000003</v>
      </c>
      <c r="G826" s="21">
        <v>340.33</v>
      </c>
    </row>
    <row r="827" spans="1:7" ht="15" customHeight="1" x14ac:dyDescent="0.3">
      <c r="A827" s="21" t="s">
        <v>102</v>
      </c>
      <c r="B827" s="21" t="s">
        <v>88</v>
      </c>
      <c r="C827" s="21" t="s">
        <v>247</v>
      </c>
      <c r="D827" s="21">
        <v>6.4</v>
      </c>
      <c r="E827" s="21">
        <v>1113.69</v>
      </c>
      <c r="F827" s="21">
        <v>37901.9</v>
      </c>
      <c r="G827" s="21">
        <v>340.33</v>
      </c>
    </row>
    <row r="828" spans="1:7" ht="15" customHeight="1" x14ac:dyDescent="0.3">
      <c r="A828" s="21" t="s">
        <v>102</v>
      </c>
      <c r="B828" s="21" t="s">
        <v>88</v>
      </c>
      <c r="C828" s="21" t="s">
        <v>248</v>
      </c>
      <c r="D828" s="21">
        <v>5.51</v>
      </c>
      <c r="E828" s="21">
        <v>958.18</v>
      </c>
      <c r="F828" s="21">
        <v>32609.58</v>
      </c>
      <c r="G828" s="21">
        <v>340.33</v>
      </c>
    </row>
    <row r="829" spans="1:7" ht="15" customHeight="1" x14ac:dyDescent="0.3">
      <c r="A829" s="21" t="s">
        <v>102</v>
      </c>
      <c r="B829" s="21" t="s">
        <v>88</v>
      </c>
      <c r="C829" s="21" t="s">
        <v>255</v>
      </c>
      <c r="D829" s="21">
        <v>5.6</v>
      </c>
      <c r="E829" s="21">
        <v>973.95</v>
      </c>
      <c r="F829" s="21">
        <v>33146.35</v>
      </c>
      <c r="G829" s="21">
        <v>340.33</v>
      </c>
    </row>
    <row r="830" spans="1:7" ht="15" customHeight="1" x14ac:dyDescent="0.3">
      <c r="A830" s="21" t="s">
        <v>102</v>
      </c>
      <c r="B830" s="21" t="s">
        <v>88</v>
      </c>
      <c r="C830" s="21" t="s">
        <v>257</v>
      </c>
      <c r="D830" s="21">
        <v>4.67</v>
      </c>
      <c r="E830" s="21">
        <v>812.51</v>
      </c>
      <c r="F830" s="21">
        <v>27652.11</v>
      </c>
      <c r="G830" s="21">
        <v>340.33</v>
      </c>
    </row>
    <row r="831" spans="1:7" ht="15" customHeight="1" x14ac:dyDescent="0.3">
      <c r="A831" s="21" t="s">
        <v>102</v>
      </c>
      <c r="B831" s="21" t="s">
        <v>88</v>
      </c>
      <c r="C831" s="21" t="s">
        <v>259</v>
      </c>
      <c r="D831" s="21">
        <v>4.34</v>
      </c>
      <c r="E831" s="21">
        <v>754.53</v>
      </c>
      <c r="F831" s="21">
        <v>25678.799999999999</v>
      </c>
      <c r="G831" s="21">
        <v>340.33</v>
      </c>
    </row>
    <row r="832" spans="1:7" ht="15" customHeight="1" x14ac:dyDescent="0.3">
      <c r="A832" s="21" t="s">
        <v>102</v>
      </c>
      <c r="B832" s="21" t="s">
        <v>88</v>
      </c>
      <c r="C832" s="21" t="s">
        <v>260</v>
      </c>
      <c r="D832" s="21">
        <v>3.6</v>
      </c>
      <c r="E832" s="21">
        <v>625.64</v>
      </c>
      <c r="F832" s="21">
        <v>21292.25</v>
      </c>
      <c r="G832" s="21">
        <v>340.33</v>
      </c>
    </row>
    <row r="833" spans="1:7" ht="15" customHeight="1" x14ac:dyDescent="0.3">
      <c r="A833" s="21" t="s">
        <v>102</v>
      </c>
      <c r="B833" s="21" t="s">
        <v>88</v>
      </c>
      <c r="C833" s="21" t="s">
        <v>262</v>
      </c>
      <c r="D833" s="21">
        <v>3.8</v>
      </c>
      <c r="E833" s="21">
        <v>661.15</v>
      </c>
      <c r="F833" s="21">
        <v>22500.93</v>
      </c>
      <c r="G833" s="21">
        <v>340.33</v>
      </c>
    </row>
    <row r="834" spans="1:7" ht="15" customHeight="1" x14ac:dyDescent="0.3">
      <c r="A834" s="21" t="s">
        <v>102</v>
      </c>
      <c r="B834" s="21" t="s">
        <v>88</v>
      </c>
      <c r="C834" s="21" t="s">
        <v>250</v>
      </c>
      <c r="D834" s="21">
        <v>3.06</v>
      </c>
      <c r="E834" s="21">
        <v>531.69000000000005</v>
      </c>
      <c r="F834" s="21">
        <v>18094.990000000002</v>
      </c>
      <c r="G834" s="21">
        <v>340.33</v>
      </c>
    </row>
    <row r="835" spans="1:7" ht="15" customHeight="1" x14ac:dyDescent="0.3">
      <c r="A835" s="21" t="s">
        <v>102</v>
      </c>
      <c r="B835" s="21" t="s">
        <v>88</v>
      </c>
      <c r="C835" s="21" t="s">
        <v>263</v>
      </c>
      <c r="D835" s="21">
        <v>2.83</v>
      </c>
      <c r="E835" s="21">
        <v>492.4</v>
      </c>
      <c r="F835" s="21">
        <v>16757.759999999998</v>
      </c>
      <c r="G835" s="21">
        <v>340.33</v>
      </c>
    </row>
    <row r="836" spans="1:7" ht="15" customHeight="1" x14ac:dyDescent="0.3">
      <c r="A836" s="21" t="s">
        <v>102</v>
      </c>
      <c r="B836" s="21" t="s">
        <v>88</v>
      </c>
      <c r="C836" s="21" t="s">
        <v>265</v>
      </c>
      <c r="D836" s="21">
        <v>2.6</v>
      </c>
      <c r="E836" s="21">
        <v>452.09</v>
      </c>
      <c r="F836" s="21">
        <v>15385.98</v>
      </c>
      <c r="G836" s="21">
        <v>340.33</v>
      </c>
    </row>
    <row r="837" spans="1:7" ht="15" customHeight="1" x14ac:dyDescent="0.3">
      <c r="A837" s="21" t="s">
        <v>102</v>
      </c>
      <c r="B837" s="21" t="s">
        <v>88</v>
      </c>
      <c r="C837" s="21" t="s">
        <v>253</v>
      </c>
      <c r="D837" s="21">
        <v>2.14</v>
      </c>
      <c r="E837" s="21">
        <v>371.77</v>
      </c>
      <c r="F837" s="21">
        <v>12652.4</v>
      </c>
      <c r="G837" s="21">
        <v>340.33</v>
      </c>
    </row>
    <row r="838" spans="1:7" ht="15" customHeight="1" x14ac:dyDescent="0.3">
      <c r="A838" s="21" t="s">
        <v>102</v>
      </c>
      <c r="B838" s="21" t="s">
        <v>88</v>
      </c>
      <c r="C838" s="21" t="s">
        <v>268</v>
      </c>
      <c r="D838" s="21">
        <v>1.88</v>
      </c>
      <c r="E838" s="21">
        <v>326.45999999999998</v>
      </c>
      <c r="F838" s="21">
        <v>11110.2</v>
      </c>
      <c r="G838" s="21">
        <v>340.32</v>
      </c>
    </row>
    <row r="839" spans="1:7" ht="15" customHeight="1" x14ac:dyDescent="0.3">
      <c r="A839" s="21" t="s">
        <v>102</v>
      </c>
      <c r="B839" s="21" t="s">
        <v>88</v>
      </c>
      <c r="C839" s="21" t="s">
        <v>252</v>
      </c>
      <c r="D839" s="21">
        <v>1.1299999999999999</v>
      </c>
      <c r="E839" s="21">
        <v>195.91</v>
      </c>
      <c r="F839" s="21">
        <v>6667.39</v>
      </c>
      <c r="G839" s="21">
        <v>340.33</v>
      </c>
    </row>
    <row r="840" spans="1:7" ht="15" customHeight="1" x14ac:dyDescent="0.3">
      <c r="A840" s="21" t="s">
        <v>102</v>
      </c>
      <c r="B840" s="21" t="s">
        <v>88</v>
      </c>
      <c r="C840" s="21" t="s">
        <v>267</v>
      </c>
      <c r="D840" s="21">
        <v>1.07</v>
      </c>
      <c r="E840" s="21">
        <v>186.58</v>
      </c>
      <c r="F840" s="21">
        <v>6349.83</v>
      </c>
      <c r="G840" s="21">
        <v>340.33</v>
      </c>
    </row>
    <row r="841" spans="1:7" ht="15" customHeight="1" x14ac:dyDescent="0.3">
      <c r="A841" s="21" t="s">
        <v>102</v>
      </c>
      <c r="B841" s="21" t="s">
        <v>88</v>
      </c>
      <c r="C841" s="21" t="s">
        <v>256</v>
      </c>
      <c r="D841" s="21">
        <v>0.9</v>
      </c>
      <c r="E841" s="21">
        <v>156.66999999999999</v>
      </c>
      <c r="F841" s="21">
        <v>5331.77</v>
      </c>
      <c r="G841" s="21">
        <v>340.32</v>
      </c>
    </row>
    <row r="842" spans="1:7" ht="15" customHeight="1" x14ac:dyDescent="0.3">
      <c r="A842" s="21" t="s">
        <v>102</v>
      </c>
      <c r="B842" s="21" t="s">
        <v>88</v>
      </c>
      <c r="C842" s="21" t="s">
        <v>271</v>
      </c>
      <c r="D842" s="21">
        <v>0.78</v>
      </c>
      <c r="E842" s="21">
        <v>135.01</v>
      </c>
      <c r="F842" s="21">
        <v>4594.7700000000004</v>
      </c>
      <c r="G842" s="21">
        <v>340.33</v>
      </c>
    </row>
    <row r="843" spans="1:7" ht="15" customHeight="1" x14ac:dyDescent="0.3">
      <c r="A843" s="21" t="s">
        <v>102</v>
      </c>
      <c r="B843" s="21" t="s">
        <v>88</v>
      </c>
      <c r="C843" s="21" t="s">
        <v>264</v>
      </c>
      <c r="D843" s="21">
        <v>0.59</v>
      </c>
      <c r="E843" s="21">
        <v>102.81</v>
      </c>
      <c r="F843" s="21">
        <v>3498.87</v>
      </c>
      <c r="G843" s="21">
        <v>340.32</v>
      </c>
    </row>
    <row r="844" spans="1:7" ht="15" customHeight="1" x14ac:dyDescent="0.3">
      <c r="A844" s="21" t="s">
        <v>102</v>
      </c>
      <c r="B844" s="21" t="s">
        <v>88</v>
      </c>
      <c r="C844" s="21" t="s">
        <v>261</v>
      </c>
      <c r="D844" s="21">
        <v>0.52</v>
      </c>
      <c r="E844" s="21">
        <v>90.49</v>
      </c>
      <c r="F844" s="21">
        <v>3079.72</v>
      </c>
      <c r="G844" s="21">
        <v>340.34</v>
      </c>
    </row>
    <row r="845" spans="1:7" ht="15" customHeight="1" x14ac:dyDescent="0.3">
      <c r="A845" s="21" t="s">
        <v>102</v>
      </c>
      <c r="B845" s="21" t="s">
        <v>88</v>
      </c>
      <c r="C845" s="21" t="s">
        <v>273</v>
      </c>
      <c r="D845" s="21">
        <v>0.28999999999999998</v>
      </c>
      <c r="E845" s="21">
        <v>50.66</v>
      </c>
      <c r="F845" s="21">
        <v>1724.1</v>
      </c>
      <c r="G845" s="21">
        <v>340.33</v>
      </c>
    </row>
    <row r="846" spans="1:7" ht="15" customHeight="1" x14ac:dyDescent="0.3">
      <c r="A846" s="21" t="s">
        <v>102</v>
      </c>
      <c r="B846" s="21" t="s">
        <v>88</v>
      </c>
      <c r="C846" s="21" t="s">
        <v>274</v>
      </c>
      <c r="D846" s="21">
        <v>0.19</v>
      </c>
      <c r="E846" s="21">
        <v>33.49</v>
      </c>
      <c r="F846" s="21">
        <v>1139.6400000000001</v>
      </c>
      <c r="G846" s="21">
        <v>340.29</v>
      </c>
    </row>
    <row r="847" spans="1:7" ht="15" customHeight="1" x14ac:dyDescent="0.3">
      <c r="A847" s="21" t="s">
        <v>102</v>
      </c>
      <c r="B847" s="21" t="s">
        <v>88</v>
      </c>
      <c r="C847" s="21" t="s">
        <v>272</v>
      </c>
      <c r="D847" s="21">
        <v>0.15</v>
      </c>
      <c r="E847" s="21">
        <v>25.8</v>
      </c>
      <c r="F847" s="21">
        <v>878.16</v>
      </c>
      <c r="G847" s="21">
        <v>340.37</v>
      </c>
    </row>
    <row r="848" spans="1:7" ht="15" customHeight="1" x14ac:dyDescent="0.3">
      <c r="A848" s="21" t="s">
        <v>102</v>
      </c>
      <c r="B848" s="21" t="s">
        <v>88</v>
      </c>
      <c r="C848" s="21" t="s">
        <v>276</v>
      </c>
      <c r="D848" s="21">
        <v>0.11</v>
      </c>
      <c r="E848" s="21">
        <v>19.649999999999999</v>
      </c>
      <c r="F848" s="21">
        <v>668.59</v>
      </c>
      <c r="G848" s="21">
        <v>340.25</v>
      </c>
    </row>
    <row r="849" spans="1:7" ht="15" customHeight="1" x14ac:dyDescent="0.3">
      <c r="A849" s="21" t="s">
        <v>102</v>
      </c>
      <c r="B849" s="21" t="s">
        <v>88</v>
      </c>
      <c r="C849" s="21" t="s">
        <v>251</v>
      </c>
      <c r="D849" s="21">
        <v>0.11</v>
      </c>
      <c r="E849" s="21">
        <v>18.98</v>
      </c>
      <c r="F849" s="21">
        <v>645.89</v>
      </c>
      <c r="G849" s="21">
        <v>340.3</v>
      </c>
    </row>
    <row r="850" spans="1:7" ht="15" customHeight="1" x14ac:dyDescent="0.3">
      <c r="A850" s="21" t="s">
        <v>102</v>
      </c>
      <c r="B850" s="21" t="s">
        <v>88</v>
      </c>
      <c r="C850" s="21" t="s">
        <v>275</v>
      </c>
      <c r="D850" s="21">
        <v>0.08</v>
      </c>
      <c r="E850" s="21">
        <v>13.52</v>
      </c>
      <c r="F850" s="21">
        <v>460.19</v>
      </c>
      <c r="G850" s="21">
        <v>340.38</v>
      </c>
    </row>
    <row r="851" spans="1:7" ht="15" customHeight="1" x14ac:dyDescent="0.3">
      <c r="A851" s="21" t="s">
        <v>102</v>
      </c>
      <c r="B851" s="21" t="s">
        <v>88</v>
      </c>
      <c r="C851" s="21" t="s">
        <v>278</v>
      </c>
      <c r="D851" s="21">
        <v>7.0000000000000007E-2</v>
      </c>
      <c r="E851" s="21">
        <v>12.68</v>
      </c>
      <c r="F851" s="21">
        <v>431.63</v>
      </c>
      <c r="G851" s="21">
        <v>340.4</v>
      </c>
    </row>
    <row r="852" spans="1:7" ht="15" customHeight="1" x14ac:dyDescent="0.3">
      <c r="A852" s="21" t="s">
        <v>102</v>
      </c>
      <c r="B852" s="21" t="s">
        <v>88</v>
      </c>
      <c r="C852" s="21" t="s">
        <v>254</v>
      </c>
      <c r="D852" s="21">
        <v>0.35</v>
      </c>
      <c r="E852" s="21">
        <v>61.52</v>
      </c>
      <c r="F852" s="21">
        <v>2093.6999999999998</v>
      </c>
      <c r="G852" s="21">
        <v>340.33</v>
      </c>
    </row>
    <row r="853" spans="1:7" ht="15" customHeight="1" x14ac:dyDescent="0.3">
      <c r="A853" s="21" t="s">
        <v>102</v>
      </c>
      <c r="B853" s="21" t="s">
        <v>88</v>
      </c>
      <c r="C853" s="21" t="s">
        <v>277</v>
      </c>
      <c r="D853" s="21">
        <v>0.24</v>
      </c>
      <c r="E853" s="21">
        <v>41.35</v>
      </c>
      <c r="F853" s="21">
        <v>1407.14</v>
      </c>
      <c r="G853" s="21">
        <v>340.3</v>
      </c>
    </row>
    <row r="854" spans="1:7" ht="15" customHeight="1" x14ac:dyDescent="0.3">
      <c r="A854" s="21" t="s">
        <v>102</v>
      </c>
      <c r="B854" s="21" t="s">
        <v>88</v>
      </c>
      <c r="C854" s="21" t="s">
        <v>266</v>
      </c>
      <c r="D854" s="21">
        <v>0.45</v>
      </c>
      <c r="E854" s="21">
        <v>78.25</v>
      </c>
      <c r="F854" s="21">
        <v>2663.21</v>
      </c>
      <c r="G854" s="21">
        <v>340.35</v>
      </c>
    </row>
    <row r="855" spans="1:7" ht="15" customHeight="1" x14ac:dyDescent="0.3">
      <c r="A855" s="21" t="s">
        <v>102</v>
      </c>
      <c r="B855" s="21" t="s">
        <v>88</v>
      </c>
      <c r="C855" s="21" t="s">
        <v>269</v>
      </c>
      <c r="D855" s="21">
        <v>0.03</v>
      </c>
      <c r="E855" s="21">
        <v>5.42</v>
      </c>
      <c r="F855" s="21">
        <v>184.56</v>
      </c>
      <c r="G855" s="21">
        <v>340.52</v>
      </c>
    </row>
    <row r="856" spans="1:7" ht="15" customHeight="1" x14ac:dyDescent="0.3">
      <c r="A856" s="21" t="s">
        <v>102</v>
      </c>
      <c r="B856" s="21" t="s">
        <v>88</v>
      </c>
      <c r="C856" s="21" t="s">
        <v>249</v>
      </c>
      <c r="D856" s="21">
        <v>0.05</v>
      </c>
      <c r="E856" s="21">
        <v>8.6199999999999992</v>
      </c>
      <c r="F856" s="21">
        <v>293.20999999999998</v>
      </c>
      <c r="G856" s="21">
        <v>340.15</v>
      </c>
    </row>
    <row r="857" spans="1:7" ht="15" customHeight="1" x14ac:dyDescent="0.3">
      <c r="A857" s="21" t="s">
        <v>102</v>
      </c>
      <c r="B857" s="21" t="s">
        <v>88</v>
      </c>
      <c r="C857" s="21" t="s">
        <v>258</v>
      </c>
      <c r="D857" s="21">
        <v>0.06</v>
      </c>
      <c r="E857" s="21">
        <v>11.06</v>
      </c>
      <c r="F857" s="21">
        <v>376.39</v>
      </c>
      <c r="G857" s="21">
        <v>340.32</v>
      </c>
    </row>
    <row r="858" spans="1:7" ht="15" customHeight="1" x14ac:dyDescent="0.3">
      <c r="A858" s="21" t="s">
        <v>102</v>
      </c>
      <c r="B858" s="21" t="s">
        <v>88</v>
      </c>
      <c r="C858" s="21" t="s">
        <v>270</v>
      </c>
      <c r="D858" s="21">
        <v>0.01</v>
      </c>
      <c r="E858" s="21">
        <v>1.83</v>
      </c>
      <c r="F858" s="21">
        <v>62.22</v>
      </c>
      <c r="G858" s="21">
        <v>340</v>
      </c>
    </row>
    <row r="859" spans="1:7" ht="15" customHeight="1" x14ac:dyDescent="0.3">
      <c r="A859" s="21" t="s">
        <v>102</v>
      </c>
      <c r="B859" s="21" t="s">
        <v>87</v>
      </c>
      <c r="C859" s="21" t="s">
        <v>243</v>
      </c>
      <c r="D859" s="21">
        <v>17.260000000000002</v>
      </c>
      <c r="E859" s="21">
        <v>3389.49</v>
      </c>
      <c r="F859" s="21">
        <v>115710.41</v>
      </c>
      <c r="G859" s="21">
        <v>341.38</v>
      </c>
    </row>
    <row r="860" spans="1:7" ht="15" customHeight="1" x14ac:dyDescent="0.3">
      <c r="A860" s="21" t="s">
        <v>102</v>
      </c>
      <c r="B860" s="21" t="s">
        <v>87</v>
      </c>
      <c r="C860" s="21" t="s">
        <v>244</v>
      </c>
      <c r="D860" s="21">
        <v>12.51</v>
      </c>
      <c r="E860" s="21">
        <v>2456.14</v>
      </c>
      <c r="F860" s="21">
        <v>83847.77</v>
      </c>
      <c r="G860" s="21">
        <v>341.38</v>
      </c>
    </row>
    <row r="861" spans="1:7" ht="15" customHeight="1" x14ac:dyDescent="0.3">
      <c r="A861" s="21" t="s">
        <v>102</v>
      </c>
      <c r="B861" s="21" t="s">
        <v>87</v>
      </c>
      <c r="C861" s="21" t="s">
        <v>245</v>
      </c>
      <c r="D861" s="21">
        <v>7.76</v>
      </c>
      <c r="E861" s="21">
        <v>1523.53</v>
      </c>
      <c r="F861" s="21">
        <v>52010.13</v>
      </c>
      <c r="G861" s="21">
        <v>341.38</v>
      </c>
    </row>
    <row r="862" spans="1:7" ht="15" customHeight="1" x14ac:dyDescent="0.3">
      <c r="A862" s="21" t="s">
        <v>102</v>
      </c>
      <c r="B862" s="21" t="s">
        <v>87</v>
      </c>
      <c r="C862" s="21" t="s">
        <v>246</v>
      </c>
      <c r="D862" s="21">
        <v>6.88</v>
      </c>
      <c r="E862" s="21">
        <v>1351.66</v>
      </c>
      <c r="F862" s="21">
        <v>46142.93</v>
      </c>
      <c r="G862" s="21">
        <v>341.38</v>
      </c>
    </row>
    <row r="863" spans="1:7" ht="15" customHeight="1" x14ac:dyDescent="0.3">
      <c r="A863" s="21" t="s">
        <v>102</v>
      </c>
      <c r="B863" s="21" t="s">
        <v>87</v>
      </c>
      <c r="C863" s="21" t="s">
        <v>247</v>
      </c>
      <c r="D863" s="21">
        <v>6.56</v>
      </c>
      <c r="E863" s="21">
        <v>1289.1300000000001</v>
      </c>
      <c r="F863" s="21">
        <v>44008.160000000003</v>
      </c>
      <c r="G863" s="21">
        <v>341.38</v>
      </c>
    </row>
    <row r="864" spans="1:7" ht="15" customHeight="1" x14ac:dyDescent="0.3">
      <c r="A864" s="21" t="s">
        <v>102</v>
      </c>
      <c r="B864" s="21" t="s">
        <v>87</v>
      </c>
      <c r="C864" s="21" t="s">
        <v>248</v>
      </c>
      <c r="D864" s="21">
        <v>5.96</v>
      </c>
      <c r="E864" s="21">
        <v>1170.21</v>
      </c>
      <c r="F864" s="21">
        <v>39948.47</v>
      </c>
      <c r="G864" s="21">
        <v>341.38</v>
      </c>
    </row>
    <row r="865" spans="1:7" ht="15" customHeight="1" x14ac:dyDescent="0.3">
      <c r="A865" s="21" t="s">
        <v>102</v>
      </c>
      <c r="B865" s="21" t="s">
        <v>87</v>
      </c>
      <c r="C865" s="21" t="s">
        <v>255</v>
      </c>
      <c r="D865" s="21">
        <v>4.9000000000000004</v>
      </c>
      <c r="E865" s="21">
        <v>962.91</v>
      </c>
      <c r="F865" s="21">
        <v>32871.919999999998</v>
      </c>
      <c r="G865" s="21">
        <v>341.38</v>
      </c>
    </row>
    <row r="866" spans="1:7" ht="15" customHeight="1" x14ac:dyDescent="0.3">
      <c r="A866" s="21" t="s">
        <v>102</v>
      </c>
      <c r="B866" s="21" t="s">
        <v>87</v>
      </c>
      <c r="C866" s="21" t="s">
        <v>257</v>
      </c>
      <c r="D866" s="21">
        <v>4.8</v>
      </c>
      <c r="E866" s="21">
        <v>942.34</v>
      </c>
      <c r="F866" s="21">
        <v>32169.5</v>
      </c>
      <c r="G866" s="21">
        <v>341.38</v>
      </c>
    </row>
    <row r="867" spans="1:7" ht="15" customHeight="1" x14ac:dyDescent="0.3">
      <c r="A867" s="21" t="s">
        <v>102</v>
      </c>
      <c r="B867" s="21" t="s">
        <v>87</v>
      </c>
      <c r="C867" s="21" t="s">
        <v>259</v>
      </c>
      <c r="D867" s="21">
        <v>4.2300000000000004</v>
      </c>
      <c r="E867" s="21">
        <v>831.4</v>
      </c>
      <c r="F867" s="21">
        <v>28382.33</v>
      </c>
      <c r="G867" s="21">
        <v>341.38</v>
      </c>
    </row>
    <row r="868" spans="1:7" ht="15" customHeight="1" x14ac:dyDescent="0.3">
      <c r="A868" s="21" t="s">
        <v>102</v>
      </c>
      <c r="B868" s="21" t="s">
        <v>87</v>
      </c>
      <c r="C868" s="21" t="s">
        <v>260</v>
      </c>
      <c r="D868" s="21">
        <v>3.75</v>
      </c>
      <c r="E868" s="21">
        <v>735.96</v>
      </c>
      <c r="F868" s="21">
        <v>25124.3</v>
      </c>
      <c r="G868" s="21">
        <v>341.38</v>
      </c>
    </row>
    <row r="869" spans="1:7" ht="15" customHeight="1" x14ac:dyDescent="0.3">
      <c r="A869" s="21" t="s">
        <v>102</v>
      </c>
      <c r="B869" s="21" t="s">
        <v>87</v>
      </c>
      <c r="C869" s="21" t="s">
        <v>262</v>
      </c>
      <c r="D869" s="21">
        <v>3.73</v>
      </c>
      <c r="E869" s="21">
        <v>731.78</v>
      </c>
      <c r="F869" s="21">
        <v>24981.53</v>
      </c>
      <c r="G869" s="21">
        <v>341.38</v>
      </c>
    </row>
    <row r="870" spans="1:7" ht="15" customHeight="1" x14ac:dyDescent="0.3">
      <c r="A870" s="21" t="s">
        <v>102</v>
      </c>
      <c r="B870" s="21" t="s">
        <v>87</v>
      </c>
      <c r="C870" s="21" t="s">
        <v>250</v>
      </c>
      <c r="D870" s="21">
        <v>3.27</v>
      </c>
      <c r="E870" s="21">
        <v>641.73</v>
      </c>
      <c r="F870" s="21">
        <v>21907.51</v>
      </c>
      <c r="G870" s="21">
        <v>341.38</v>
      </c>
    </row>
    <row r="871" spans="1:7" ht="15" customHeight="1" x14ac:dyDescent="0.3">
      <c r="A871" s="21" t="s">
        <v>102</v>
      </c>
      <c r="B871" s="21" t="s">
        <v>87</v>
      </c>
      <c r="C871" s="21" t="s">
        <v>263</v>
      </c>
      <c r="D871" s="21">
        <v>2.98</v>
      </c>
      <c r="E871" s="21">
        <v>585.95000000000005</v>
      </c>
      <c r="F871" s="21">
        <v>20002.98</v>
      </c>
      <c r="G871" s="21">
        <v>341.38</v>
      </c>
    </row>
    <row r="872" spans="1:7" ht="15" customHeight="1" x14ac:dyDescent="0.3">
      <c r="A872" s="21" t="s">
        <v>102</v>
      </c>
      <c r="B872" s="21" t="s">
        <v>87</v>
      </c>
      <c r="C872" s="21" t="s">
        <v>265</v>
      </c>
      <c r="D872" s="21">
        <v>2.4700000000000002</v>
      </c>
      <c r="E872" s="21">
        <v>485.7</v>
      </c>
      <c r="F872" s="21">
        <v>16580.759999999998</v>
      </c>
      <c r="G872" s="21">
        <v>341.38</v>
      </c>
    </row>
    <row r="873" spans="1:7" ht="15" customHeight="1" x14ac:dyDescent="0.3">
      <c r="A873" s="21" t="s">
        <v>102</v>
      </c>
      <c r="B873" s="21" t="s">
        <v>87</v>
      </c>
      <c r="C873" s="21" t="s">
        <v>253</v>
      </c>
      <c r="D873" s="21">
        <v>2.2999999999999998</v>
      </c>
      <c r="E873" s="21">
        <v>452.33</v>
      </c>
      <c r="F873" s="21">
        <v>15441.75</v>
      </c>
      <c r="G873" s="21">
        <v>341.38</v>
      </c>
    </row>
    <row r="874" spans="1:7" ht="15" customHeight="1" x14ac:dyDescent="0.3">
      <c r="A874" s="21" t="s">
        <v>102</v>
      </c>
      <c r="B874" s="21" t="s">
        <v>87</v>
      </c>
      <c r="C874" s="21" t="s">
        <v>268</v>
      </c>
      <c r="D874" s="21">
        <v>1.95</v>
      </c>
      <c r="E874" s="21">
        <v>382.42</v>
      </c>
      <c r="F874" s="21">
        <v>13055.1</v>
      </c>
      <c r="G874" s="21">
        <v>341.38</v>
      </c>
    </row>
    <row r="875" spans="1:7" ht="15" customHeight="1" x14ac:dyDescent="0.3">
      <c r="A875" s="21" t="s">
        <v>102</v>
      </c>
      <c r="B875" s="21" t="s">
        <v>87</v>
      </c>
      <c r="C875" s="21" t="s">
        <v>252</v>
      </c>
      <c r="D875" s="21">
        <v>1.28</v>
      </c>
      <c r="E875" s="21">
        <v>251.14</v>
      </c>
      <c r="F875" s="21">
        <v>8573.31</v>
      </c>
      <c r="G875" s="21">
        <v>341.38</v>
      </c>
    </row>
    <row r="876" spans="1:7" ht="15" customHeight="1" x14ac:dyDescent="0.3">
      <c r="A876" s="21" t="s">
        <v>102</v>
      </c>
      <c r="B876" s="21" t="s">
        <v>87</v>
      </c>
      <c r="C876" s="21" t="s">
        <v>267</v>
      </c>
      <c r="D876" s="21">
        <v>0.95</v>
      </c>
      <c r="E876" s="21">
        <v>185.68</v>
      </c>
      <c r="F876" s="21">
        <v>6338.58</v>
      </c>
      <c r="G876" s="21">
        <v>341.37</v>
      </c>
    </row>
    <row r="877" spans="1:7" ht="15" customHeight="1" x14ac:dyDescent="0.3">
      <c r="A877" s="21" t="s">
        <v>102</v>
      </c>
      <c r="B877" s="21" t="s">
        <v>87</v>
      </c>
      <c r="C877" s="21" t="s">
        <v>256</v>
      </c>
      <c r="D877" s="21">
        <v>0.89</v>
      </c>
      <c r="E877" s="21">
        <v>174.52</v>
      </c>
      <c r="F877" s="21">
        <v>5957.69</v>
      </c>
      <c r="G877" s="21">
        <v>341.38</v>
      </c>
    </row>
    <row r="878" spans="1:7" ht="15" customHeight="1" x14ac:dyDescent="0.3">
      <c r="A878" s="21" t="s">
        <v>102</v>
      </c>
      <c r="B878" s="21" t="s">
        <v>87</v>
      </c>
      <c r="C878" s="21" t="s">
        <v>271</v>
      </c>
      <c r="D878" s="21">
        <v>0.79</v>
      </c>
      <c r="E878" s="21">
        <v>154.41</v>
      </c>
      <c r="F878" s="21">
        <v>5271.19</v>
      </c>
      <c r="G878" s="21">
        <v>341.38</v>
      </c>
    </row>
    <row r="879" spans="1:7" ht="15" customHeight="1" x14ac:dyDescent="0.3">
      <c r="A879" s="21" t="s">
        <v>102</v>
      </c>
      <c r="B879" s="21" t="s">
        <v>87</v>
      </c>
      <c r="C879" s="21" t="s">
        <v>264</v>
      </c>
      <c r="D879" s="21">
        <v>0.61</v>
      </c>
      <c r="E879" s="21">
        <v>120.72</v>
      </c>
      <c r="F879" s="21">
        <v>4121.2299999999996</v>
      </c>
      <c r="G879" s="21">
        <v>341.39</v>
      </c>
    </row>
    <row r="880" spans="1:7" ht="15" customHeight="1" x14ac:dyDescent="0.3">
      <c r="A880" s="21" t="s">
        <v>102</v>
      </c>
      <c r="B880" s="21" t="s">
        <v>87</v>
      </c>
      <c r="C880" s="21" t="s">
        <v>261</v>
      </c>
      <c r="D880" s="21">
        <v>0.52</v>
      </c>
      <c r="E880" s="21">
        <v>101.57</v>
      </c>
      <c r="F880" s="21">
        <v>3467.39</v>
      </c>
      <c r="G880" s="21">
        <v>341.38</v>
      </c>
    </row>
    <row r="881" spans="1:7" ht="15" customHeight="1" x14ac:dyDescent="0.3">
      <c r="A881" s="21" t="s">
        <v>102</v>
      </c>
      <c r="B881" s="21" t="s">
        <v>87</v>
      </c>
      <c r="C881" s="21" t="s">
        <v>273</v>
      </c>
      <c r="D881" s="21">
        <v>0.28999999999999998</v>
      </c>
      <c r="E881" s="21">
        <v>56.45</v>
      </c>
      <c r="F881" s="21">
        <v>1927.04</v>
      </c>
      <c r="G881" s="21">
        <v>341.37</v>
      </c>
    </row>
    <row r="882" spans="1:7" ht="15" customHeight="1" x14ac:dyDescent="0.3">
      <c r="A882" s="21" t="s">
        <v>102</v>
      </c>
      <c r="B882" s="21" t="s">
        <v>87</v>
      </c>
      <c r="C882" s="21" t="s">
        <v>274</v>
      </c>
      <c r="D882" s="21">
        <v>0.2</v>
      </c>
      <c r="E882" s="21">
        <v>39.409999999999997</v>
      </c>
      <c r="F882" s="21">
        <v>1345.49</v>
      </c>
      <c r="G882" s="21">
        <v>341.41</v>
      </c>
    </row>
    <row r="883" spans="1:7" ht="15" customHeight="1" x14ac:dyDescent="0.3">
      <c r="A883" s="21" t="s">
        <v>102</v>
      </c>
      <c r="B883" s="21" t="s">
        <v>87</v>
      </c>
      <c r="C883" s="21" t="s">
        <v>272</v>
      </c>
      <c r="D883" s="21">
        <v>0.13</v>
      </c>
      <c r="E883" s="21">
        <v>26.48</v>
      </c>
      <c r="F883" s="21">
        <v>904.13</v>
      </c>
      <c r="G883" s="21">
        <v>341.44</v>
      </c>
    </row>
    <row r="884" spans="1:7" ht="15" customHeight="1" x14ac:dyDescent="0.3">
      <c r="A884" s="21" t="s">
        <v>102</v>
      </c>
      <c r="B884" s="21" t="s">
        <v>87</v>
      </c>
      <c r="C884" s="21" t="s">
        <v>276</v>
      </c>
      <c r="D884" s="21">
        <v>0.13</v>
      </c>
      <c r="E884" s="21">
        <v>25.27</v>
      </c>
      <c r="F884" s="21">
        <v>862.57</v>
      </c>
      <c r="G884" s="21">
        <v>341.34</v>
      </c>
    </row>
    <row r="885" spans="1:7" ht="15" customHeight="1" x14ac:dyDescent="0.3">
      <c r="A885" s="21" t="s">
        <v>102</v>
      </c>
      <c r="B885" s="21" t="s">
        <v>87</v>
      </c>
      <c r="C885" s="21" t="s">
        <v>251</v>
      </c>
      <c r="D885" s="21">
        <v>0.1</v>
      </c>
      <c r="E885" s="21">
        <v>19.14</v>
      </c>
      <c r="F885" s="21">
        <v>653.29</v>
      </c>
      <c r="G885" s="21">
        <v>341.32</v>
      </c>
    </row>
    <row r="886" spans="1:7" ht="15" customHeight="1" x14ac:dyDescent="0.3">
      <c r="A886" s="21" t="s">
        <v>102</v>
      </c>
      <c r="B886" s="21" t="s">
        <v>87</v>
      </c>
      <c r="C886" s="21" t="s">
        <v>275</v>
      </c>
      <c r="D886" s="21">
        <v>0.08</v>
      </c>
      <c r="E886" s="21">
        <v>15.76</v>
      </c>
      <c r="F886" s="21">
        <v>537.87</v>
      </c>
      <c r="G886" s="21">
        <v>341.29</v>
      </c>
    </row>
    <row r="887" spans="1:7" ht="15" customHeight="1" x14ac:dyDescent="0.3">
      <c r="A887" s="21" t="s">
        <v>102</v>
      </c>
      <c r="B887" s="21" t="s">
        <v>87</v>
      </c>
      <c r="C887" s="21" t="s">
        <v>278</v>
      </c>
      <c r="D887" s="21">
        <v>7.0000000000000007E-2</v>
      </c>
      <c r="E887" s="21">
        <v>13.54</v>
      </c>
      <c r="F887" s="21">
        <v>462.06</v>
      </c>
      <c r="G887" s="21">
        <v>341.26</v>
      </c>
    </row>
    <row r="888" spans="1:7" ht="15" customHeight="1" x14ac:dyDescent="0.3">
      <c r="A888" s="21" t="s">
        <v>102</v>
      </c>
      <c r="B888" s="21" t="s">
        <v>87</v>
      </c>
      <c r="C888" s="21" t="s">
        <v>254</v>
      </c>
      <c r="D888" s="21">
        <v>0.37</v>
      </c>
      <c r="E888" s="21">
        <v>72.680000000000007</v>
      </c>
      <c r="F888" s="21">
        <v>2481.11</v>
      </c>
      <c r="G888" s="21">
        <v>341.37</v>
      </c>
    </row>
    <row r="889" spans="1:7" ht="15" customHeight="1" x14ac:dyDescent="0.3">
      <c r="A889" s="21" t="s">
        <v>102</v>
      </c>
      <c r="B889" s="21" t="s">
        <v>87</v>
      </c>
      <c r="C889" s="21" t="s">
        <v>277</v>
      </c>
      <c r="D889" s="21">
        <v>0.21</v>
      </c>
      <c r="E889" s="21">
        <v>42.13</v>
      </c>
      <c r="F889" s="21">
        <v>1438.37</v>
      </c>
      <c r="G889" s="21">
        <v>341.41</v>
      </c>
    </row>
    <row r="890" spans="1:7" ht="15" customHeight="1" x14ac:dyDescent="0.3">
      <c r="A890" s="21" t="s">
        <v>102</v>
      </c>
      <c r="B890" s="21" t="s">
        <v>87</v>
      </c>
      <c r="C890" s="21" t="s">
        <v>266</v>
      </c>
      <c r="D890" s="21">
        <v>0.45</v>
      </c>
      <c r="E890" s="21">
        <v>88.31</v>
      </c>
      <c r="F890" s="21">
        <v>3014.61</v>
      </c>
      <c r="G890" s="21">
        <v>341.37</v>
      </c>
    </row>
    <row r="891" spans="1:7" ht="15" customHeight="1" x14ac:dyDescent="0.3">
      <c r="A891" s="21" t="s">
        <v>102</v>
      </c>
      <c r="B891" s="21" t="s">
        <v>87</v>
      </c>
      <c r="C891" s="21" t="s">
        <v>269</v>
      </c>
      <c r="D891" s="21">
        <v>0.03</v>
      </c>
      <c r="E891" s="21">
        <v>5.86</v>
      </c>
      <c r="F891" s="21">
        <v>200.08</v>
      </c>
      <c r="G891" s="21">
        <v>341.43</v>
      </c>
    </row>
    <row r="892" spans="1:7" ht="15" customHeight="1" x14ac:dyDescent="0.3">
      <c r="A892" s="21" t="s">
        <v>102</v>
      </c>
      <c r="B892" s="21" t="s">
        <v>87</v>
      </c>
      <c r="C892" s="21" t="s">
        <v>249</v>
      </c>
      <c r="D892" s="21">
        <v>0.05</v>
      </c>
      <c r="E892" s="21">
        <v>9.6</v>
      </c>
      <c r="F892" s="21">
        <v>327.63</v>
      </c>
      <c r="G892" s="21">
        <v>341.28</v>
      </c>
    </row>
    <row r="893" spans="1:7" ht="15" customHeight="1" x14ac:dyDescent="0.3">
      <c r="A893" s="21" t="s">
        <v>102</v>
      </c>
      <c r="B893" s="21" t="s">
        <v>87</v>
      </c>
      <c r="C893" s="21" t="s">
        <v>258</v>
      </c>
      <c r="D893" s="21">
        <v>7.0000000000000007E-2</v>
      </c>
      <c r="E893" s="21">
        <v>12.8</v>
      </c>
      <c r="F893" s="21">
        <v>437</v>
      </c>
      <c r="G893" s="21">
        <v>341.41</v>
      </c>
    </row>
    <row r="894" spans="1:7" ht="15" customHeight="1" x14ac:dyDescent="0.3">
      <c r="A894" s="21" t="s">
        <v>102</v>
      </c>
      <c r="B894" s="21" t="s">
        <v>87</v>
      </c>
      <c r="C894" s="21" t="s">
        <v>270</v>
      </c>
      <c r="D894" s="21">
        <v>0.01</v>
      </c>
      <c r="E894" s="21">
        <v>1.96</v>
      </c>
      <c r="F894" s="21">
        <v>67.05</v>
      </c>
      <c r="G894" s="21">
        <v>342.09</v>
      </c>
    </row>
    <row r="895" spans="1:7" ht="15" customHeight="1" x14ac:dyDescent="0.3">
      <c r="A895" s="21" t="s">
        <v>102</v>
      </c>
      <c r="B895" s="21" t="s">
        <v>92</v>
      </c>
      <c r="C895" s="21" t="s">
        <v>243</v>
      </c>
      <c r="D895" s="21">
        <v>17.14</v>
      </c>
      <c r="E895" s="21">
        <v>3846.17</v>
      </c>
      <c r="F895" s="21">
        <v>131659.79999999999</v>
      </c>
      <c r="G895" s="21">
        <v>342.31</v>
      </c>
    </row>
    <row r="896" spans="1:7" ht="15" customHeight="1" x14ac:dyDescent="0.3">
      <c r="A896" s="21" t="s">
        <v>102</v>
      </c>
      <c r="B896" s="21" t="s">
        <v>92</v>
      </c>
      <c r="C896" s="21" t="s">
        <v>244</v>
      </c>
      <c r="D896" s="21">
        <v>13.03</v>
      </c>
      <c r="E896" s="21">
        <v>2924</v>
      </c>
      <c r="F896" s="21">
        <v>100092.83</v>
      </c>
      <c r="G896" s="21">
        <v>342.31</v>
      </c>
    </row>
    <row r="897" spans="1:7" ht="15" customHeight="1" x14ac:dyDescent="0.3">
      <c r="A897" s="21" t="s">
        <v>102</v>
      </c>
      <c r="B897" s="21" t="s">
        <v>92</v>
      </c>
      <c r="C897" s="21" t="s">
        <v>245</v>
      </c>
      <c r="D897" s="21">
        <v>8.7200000000000006</v>
      </c>
      <c r="E897" s="21">
        <v>1956.49</v>
      </c>
      <c r="F897" s="21">
        <v>66973.55</v>
      </c>
      <c r="G897" s="21">
        <v>342.31</v>
      </c>
    </row>
    <row r="898" spans="1:7" ht="15" customHeight="1" x14ac:dyDescent="0.3">
      <c r="A898" s="21" t="s">
        <v>102</v>
      </c>
      <c r="B898" s="21" t="s">
        <v>92</v>
      </c>
      <c r="C898" s="21" t="s">
        <v>246</v>
      </c>
      <c r="D898" s="21">
        <v>6.86</v>
      </c>
      <c r="E898" s="21">
        <v>1540.36</v>
      </c>
      <c r="F898" s="21">
        <v>52728.88</v>
      </c>
      <c r="G898" s="21">
        <v>342.32</v>
      </c>
    </row>
    <row r="899" spans="1:7" ht="15" customHeight="1" x14ac:dyDescent="0.3">
      <c r="A899" s="21" t="s">
        <v>102</v>
      </c>
      <c r="B899" s="21" t="s">
        <v>92</v>
      </c>
      <c r="C899" s="21" t="s">
        <v>247</v>
      </c>
      <c r="D899" s="21">
        <v>6.26</v>
      </c>
      <c r="E899" s="21">
        <v>1405.4</v>
      </c>
      <c r="F899" s="21">
        <v>48108.67</v>
      </c>
      <c r="G899" s="21">
        <v>342.31</v>
      </c>
    </row>
    <row r="900" spans="1:7" ht="15" customHeight="1" x14ac:dyDescent="0.3">
      <c r="A900" s="21" t="s">
        <v>102</v>
      </c>
      <c r="B900" s="21" t="s">
        <v>92</v>
      </c>
      <c r="C900" s="21" t="s">
        <v>248</v>
      </c>
      <c r="D900" s="21">
        <v>6.12</v>
      </c>
      <c r="E900" s="21">
        <v>1373.09</v>
      </c>
      <c r="F900" s="21">
        <v>47002.91</v>
      </c>
      <c r="G900" s="21">
        <v>342.31</v>
      </c>
    </row>
    <row r="901" spans="1:7" ht="15" customHeight="1" x14ac:dyDescent="0.3">
      <c r="A901" s="21" t="s">
        <v>102</v>
      </c>
      <c r="B901" s="21" t="s">
        <v>92</v>
      </c>
      <c r="C901" s="21" t="s">
        <v>255</v>
      </c>
      <c r="D901" s="21">
        <v>5.62</v>
      </c>
      <c r="E901" s="21">
        <v>1260.67</v>
      </c>
      <c r="F901" s="21">
        <v>43154.57</v>
      </c>
      <c r="G901" s="21">
        <v>342.31</v>
      </c>
    </row>
    <row r="902" spans="1:7" ht="15" customHeight="1" x14ac:dyDescent="0.3">
      <c r="A902" s="21" t="s">
        <v>102</v>
      </c>
      <c r="B902" s="21" t="s">
        <v>92</v>
      </c>
      <c r="C902" s="21" t="s">
        <v>257</v>
      </c>
      <c r="D902" s="21">
        <v>4.43</v>
      </c>
      <c r="E902" s="21">
        <v>994.09</v>
      </c>
      <c r="F902" s="21">
        <v>34029.22</v>
      </c>
      <c r="G902" s="21">
        <v>342.32</v>
      </c>
    </row>
    <row r="903" spans="1:7" ht="15" customHeight="1" x14ac:dyDescent="0.3">
      <c r="A903" s="21" t="s">
        <v>102</v>
      </c>
      <c r="B903" s="21" t="s">
        <v>92</v>
      </c>
      <c r="C903" s="21" t="s">
        <v>259</v>
      </c>
      <c r="D903" s="21">
        <v>4.09</v>
      </c>
      <c r="E903" s="21">
        <v>917.23</v>
      </c>
      <c r="F903" s="21">
        <v>31398.06</v>
      </c>
      <c r="G903" s="21">
        <v>342.31</v>
      </c>
    </row>
    <row r="904" spans="1:7" ht="15" customHeight="1" x14ac:dyDescent="0.3">
      <c r="A904" s="21" t="s">
        <v>102</v>
      </c>
      <c r="B904" s="21" t="s">
        <v>92</v>
      </c>
      <c r="C904" s="21" t="s">
        <v>260</v>
      </c>
      <c r="D904" s="21">
        <v>3.87</v>
      </c>
      <c r="E904" s="21">
        <v>869.35</v>
      </c>
      <c r="F904" s="21">
        <v>29759.040000000001</v>
      </c>
      <c r="G904" s="21">
        <v>342.31</v>
      </c>
    </row>
    <row r="905" spans="1:7" ht="15" customHeight="1" x14ac:dyDescent="0.3">
      <c r="A905" s="21" t="s">
        <v>102</v>
      </c>
      <c r="B905" s="21" t="s">
        <v>92</v>
      </c>
      <c r="C905" s="21" t="s">
        <v>262</v>
      </c>
      <c r="D905" s="21">
        <v>3.65</v>
      </c>
      <c r="E905" s="21">
        <v>818.44</v>
      </c>
      <c r="F905" s="21">
        <v>28016.53</v>
      </c>
      <c r="G905" s="21">
        <v>342.32</v>
      </c>
    </row>
    <row r="906" spans="1:7" ht="15" customHeight="1" x14ac:dyDescent="0.3">
      <c r="A906" s="21" t="s">
        <v>102</v>
      </c>
      <c r="B906" s="21" t="s">
        <v>92</v>
      </c>
      <c r="C906" s="21" t="s">
        <v>250</v>
      </c>
      <c r="D906" s="21">
        <v>3.09</v>
      </c>
      <c r="E906" s="21">
        <v>693.82</v>
      </c>
      <c r="F906" s="21">
        <v>23750.33</v>
      </c>
      <c r="G906" s="21">
        <v>342.31</v>
      </c>
    </row>
    <row r="907" spans="1:7" ht="15" customHeight="1" x14ac:dyDescent="0.3">
      <c r="A907" s="21" t="s">
        <v>102</v>
      </c>
      <c r="B907" s="21" t="s">
        <v>92</v>
      </c>
      <c r="C907" s="21" t="s">
        <v>263</v>
      </c>
      <c r="D907" s="21">
        <v>2.39</v>
      </c>
      <c r="E907" s="21">
        <v>536.86</v>
      </c>
      <c r="F907" s="21">
        <v>18377.53</v>
      </c>
      <c r="G907" s="21">
        <v>342.32</v>
      </c>
    </row>
    <row r="908" spans="1:7" ht="15" customHeight="1" x14ac:dyDescent="0.3">
      <c r="A908" s="21" t="s">
        <v>102</v>
      </c>
      <c r="B908" s="21" t="s">
        <v>92</v>
      </c>
      <c r="C908" s="21" t="s">
        <v>265</v>
      </c>
      <c r="D908" s="21">
        <v>2.57</v>
      </c>
      <c r="E908" s="21">
        <v>575.78</v>
      </c>
      <c r="F908" s="21">
        <v>19709.73</v>
      </c>
      <c r="G908" s="21">
        <v>342.31</v>
      </c>
    </row>
    <row r="909" spans="1:7" ht="15" customHeight="1" x14ac:dyDescent="0.3">
      <c r="A909" s="21" t="s">
        <v>102</v>
      </c>
      <c r="B909" s="21" t="s">
        <v>92</v>
      </c>
      <c r="C909" s="21" t="s">
        <v>253</v>
      </c>
      <c r="D909" s="21">
        <v>2.0699999999999998</v>
      </c>
      <c r="E909" s="21">
        <v>463.64</v>
      </c>
      <c r="F909" s="21">
        <v>15871.06</v>
      </c>
      <c r="G909" s="21">
        <v>342.31</v>
      </c>
    </row>
    <row r="910" spans="1:7" ht="15" customHeight="1" x14ac:dyDescent="0.3">
      <c r="A910" s="21" t="s">
        <v>102</v>
      </c>
      <c r="B910" s="21" t="s">
        <v>92</v>
      </c>
      <c r="C910" s="21" t="s">
        <v>268</v>
      </c>
      <c r="D910" s="21">
        <v>1.62</v>
      </c>
      <c r="E910" s="21">
        <v>363.24</v>
      </c>
      <c r="F910" s="21">
        <v>12434.31</v>
      </c>
      <c r="G910" s="21">
        <v>342.32</v>
      </c>
    </row>
    <row r="911" spans="1:7" ht="15" customHeight="1" x14ac:dyDescent="0.3">
      <c r="A911" s="21" t="s">
        <v>102</v>
      </c>
      <c r="B911" s="21" t="s">
        <v>92</v>
      </c>
      <c r="C911" s="21" t="s">
        <v>252</v>
      </c>
      <c r="D911" s="21">
        <v>1.03</v>
      </c>
      <c r="E911" s="21">
        <v>231.19</v>
      </c>
      <c r="F911" s="21">
        <v>7913.85</v>
      </c>
      <c r="G911" s="21">
        <v>342.31</v>
      </c>
    </row>
    <row r="912" spans="1:7" ht="15" customHeight="1" x14ac:dyDescent="0.3">
      <c r="A912" s="21" t="s">
        <v>102</v>
      </c>
      <c r="B912" s="21" t="s">
        <v>92</v>
      </c>
      <c r="C912" s="21" t="s">
        <v>267</v>
      </c>
      <c r="D912" s="21">
        <v>1.04</v>
      </c>
      <c r="E912" s="21">
        <v>233.57</v>
      </c>
      <c r="F912" s="21">
        <v>7995.59</v>
      </c>
      <c r="G912" s="21">
        <v>342.32</v>
      </c>
    </row>
    <row r="913" spans="1:7" ht="15" customHeight="1" x14ac:dyDescent="0.3">
      <c r="A913" s="21" t="s">
        <v>102</v>
      </c>
      <c r="B913" s="21" t="s">
        <v>92</v>
      </c>
      <c r="C913" s="21" t="s">
        <v>256</v>
      </c>
      <c r="D913" s="21">
        <v>0.91</v>
      </c>
      <c r="E913" s="21">
        <v>203.3</v>
      </c>
      <c r="F913" s="21">
        <v>6959.08</v>
      </c>
      <c r="G913" s="21">
        <v>342.31</v>
      </c>
    </row>
    <row r="914" spans="1:7" ht="15" customHeight="1" x14ac:dyDescent="0.3">
      <c r="A914" s="21" t="s">
        <v>102</v>
      </c>
      <c r="B914" s="21" t="s">
        <v>92</v>
      </c>
      <c r="C914" s="21" t="s">
        <v>271</v>
      </c>
      <c r="D914" s="21">
        <v>0.79</v>
      </c>
      <c r="E914" s="21">
        <v>177.53</v>
      </c>
      <c r="F914" s="21">
        <v>6076.97</v>
      </c>
      <c r="G914" s="21">
        <v>342.31</v>
      </c>
    </row>
    <row r="915" spans="1:7" ht="15" customHeight="1" x14ac:dyDescent="0.3">
      <c r="A915" s="21" t="s">
        <v>102</v>
      </c>
      <c r="B915" s="21" t="s">
        <v>92</v>
      </c>
      <c r="C915" s="21" t="s">
        <v>264</v>
      </c>
      <c r="D915" s="21">
        <v>0.64</v>
      </c>
      <c r="E915" s="21">
        <v>144.02000000000001</v>
      </c>
      <c r="F915" s="21">
        <v>4929.8900000000003</v>
      </c>
      <c r="G915" s="21">
        <v>342.31</v>
      </c>
    </row>
    <row r="916" spans="1:7" ht="15" customHeight="1" x14ac:dyDescent="0.3">
      <c r="A916" s="21" t="s">
        <v>102</v>
      </c>
      <c r="B916" s="21" t="s">
        <v>92</v>
      </c>
      <c r="C916" s="21" t="s">
        <v>261</v>
      </c>
      <c r="D916" s="21">
        <v>0.52</v>
      </c>
      <c r="E916" s="21">
        <v>115.8</v>
      </c>
      <c r="F916" s="21">
        <v>3963.86</v>
      </c>
      <c r="G916" s="21">
        <v>342.3</v>
      </c>
    </row>
    <row r="917" spans="1:7" ht="15" customHeight="1" x14ac:dyDescent="0.3">
      <c r="A917" s="21" t="s">
        <v>102</v>
      </c>
      <c r="B917" s="21" t="s">
        <v>92</v>
      </c>
      <c r="C917" s="21" t="s">
        <v>273</v>
      </c>
      <c r="D917" s="21">
        <v>0.32</v>
      </c>
      <c r="E917" s="21">
        <v>72.77</v>
      </c>
      <c r="F917" s="21">
        <v>2491.14</v>
      </c>
      <c r="G917" s="21">
        <v>342.33</v>
      </c>
    </row>
    <row r="918" spans="1:7" ht="15" customHeight="1" x14ac:dyDescent="0.3">
      <c r="A918" s="21" t="s">
        <v>102</v>
      </c>
      <c r="B918" s="21" t="s">
        <v>92</v>
      </c>
      <c r="C918" s="21" t="s">
        <v>274</v>
      </c>
      <c r="D918" s="21">
        <v>0.19</v>
      </c>
      <c r="E918" s="21">
        <v>41.76</v>
      </c>
      <c r="F918" s="21">
        <v>1429.58</v>
      </c>
      <c r="G918" s="21">
        <v>342.33</v>
      </c>
    </row>
    <row r="919" spans="1:7" ht="15" customHeight="1" x14ac:dyDescent="0.3">
      <c r="A919" s="21" t="s">
        <v>102</v>
      </c>
      <c r="B919" s="21" t="s">
        <v>92</v>
      </c>
      <c r="C919" s="21" t="s">
        <v>272</v>
      </c>
      <c r="D919" s="21">
        <v>0.15</v>
      </c>
      <c r="E919" s="21">
        <v>33.61</v>
      </c>
      <c r="F919" s="21">
        <v>1150.44</v>
      </c>
      <c r="G919" s="21">
        <v>342.29</v>
      </c>
    </row>
    <row r="920" spans="1:7" ht="15" customHeight="1" x14ac:dyDescent="0.3">
      <c r="A920" s="21" t="s">
        <v>102</v>
      </c>
      <c r="B920" s="21" t="s">
        <v>92</v>
      </c>
      <c r="C920" s="21" t="s">
        <v>276</v>
      </c>
      <c r="D920" s="21">
        <v>0.11</v>
      </c>
      <c r="E920" s="21">
        <v>24.76</v>
      </c>
      <c r="F920" s="21">
        <v>847.42</v>
      </c>
      <c r="G920" s="21">
        <v>342.25</v>
      </c>
    </row>
    <row r="921" spans="1:7" ht="15" customHeight="1" x14ac:dyDescent="0.3">
      <c r="A921" s="21" t="s">
        <v>102</v>
      </c>
      <c r="B921" s="21" t="s">
        <v>92</v>
      </c>
      <c r="C921" s="21" t="s">
        <v>251</v>
      </c>
      <c r="D921" s="21">
        <v>0.1</v>
      </c>
      <c r="E921" s="21">
        <v>22.19</v>
      </c>
      <c r="F921" s="21">
        <v>759.48</v>
      </c>
      <c r="G921" s="21">
        <v>342.26</v>
      </c>
    </row>
    <row r="922" spans="1:7" ht="15" customHeight="1" x14ac:dyDescent="0.3">
      <c r="A922" s="21" t="s">
        <v>102</v>
      </c>
      <c r="B922" s="21" t="s">
        <v>92</v>
      </c>
      <c r="C922" s="21" t="s">
        <v>275</v>
      </c>
      <c r="D922" s="21">
        <v>0.08</v>
      </c>
      <c r="E922" s="21">
        <v>17.73</v>
      </c>
      <c r="F922" s="21">
        <v>606.99</v>
      </c>
      <c r="G922" s="21">
        <v>342.35</v>
      </c>
    </row>
    <row r="923" spans="1:7" ht="15" customHeight="1" x14ac:dyDescent="0.3">
      <c r="A923" s="21" t="s">
        <v>102</v>
      </c>
      <c r="B923" s="21" t="s">
        <v>92</v>
      </c>
      <c r="C923" s="21" t="s">
        <v>278</v>
      </c>
      <c r="D923" s="21">
        <v>7.0000000000000007E-2</v>
      </c>
      <c r="E923" s="21">
        <v>16.2</v>
      </c>
      <c r="F923" s="21">
        <v>554.65</v>
      </c>
      <c r="G923" s="21">
        <v>342.38</v>
      </c>
    </row>
    <row r="924" spans="1:7" ht="15" customHeight="1" x14ac:dyDescent="0.3">
      <c r="A924" s="21" t="s">
        <v>102</v>
      </c>
      <c r="B924" s="21" t="s">
        <v>92</v>
      </c>
      <c r="C924" s="21" t="s">
        <v>254</v>
      </c>
      <c r="D924" s="21">
        <v>0.35</v>
      </c>
      <c r="E924" s="21">
        <v>78.73</v>
      </c>
      <c r="F924" s="21">
        <v>2695.14</v>
      </c>
      <c r="G924" s="21">
        <v>342.33</v>
      </c>
    </row>
    <row r="925" spans="1:7" ht="15" customHeight="1" x14ac:dyDescent="0.3">
      <c r="A925" s="21" t="s">
        <v>102</v>
      </c>
      <c r="B925" s="21" t="s">
        <v>92</v>
      </c>
      <c r="C925" s="21" t="s">
        <v>277</v>
      </c>
      <c r="D925" s="21">
        <v>0.26</v>
      </c>
      <c r="E925" s="21">
        <v>57.86</v>
      </c>
      <c r="F925" s="21">
        <v>1980.59</v>
      </c>
      <c r="G925" s="21">
        <v>342.31</v>
      </c>
    </row>
    <row r="926" spans="1:7" ht="15" customHeight="1" x14ac:dyDescent="0.3">
      <c r="A926" s="21" t="s">
        <v>102</v>
      </c>
      <c r="B926" s="21" t="s">
        <v>92</v>
      </c>
      <c r="C926" s="21" t="s">
        <v>266</v>
      </c>
      <c r="D926" s="21">
        <v>0.47</v>
      </c>
      <c r="E926" s="21">
        <v>104.55</v>
      </c>
      <c r="F926" s="21">
        <v>3578.91</v>
      </c>
      <c r="G926" s="21">
        <v>342.32</v>
      </c>
    </row>
    <row r="927" spans="1:7" ht="15" customHeight="1" x14ac:dyDescent="0.3">
      <c r="A927" s="21" t="s">
        <v>102</v>
      </c>
      <c r="B927" s="21" t="s">
        <v>92</v>
      </c>
      <c r="C927" s="21" t="s">
        <v>269</v>
      </c>
      <c r="D927" s="21">
        <v>0.03</v>
      </c>
      <c r="E927" s="21">
        <v>7.46</v>
      </c>
      <c r="F927" s="21">
        <v>255.32</v>
      </c>
      <c r="G927" s="21">
        <v>342.25</v>
      </c>
    </row>
    <row r="928" spans="1:7" ht="15" customHeight="1" x14ac:dyDescent="0.3">
      <c r="A928" s="21" t="s">
        <v>102</v>
      </c>
      <c r="B928" s="21" t="s">
        <v>92</v>
      </c>
      <c r="C928" s="21" t="s">
        <v>249</v>
      </c>
      <c r="D928" s="21">
        <v>0.05</v>
      </c>
      <c r="E928" s="21">
        <v>11.05</v>
      </c>
      <c r="F928" s="21">
        <v>378.09</v>
      </c>
      <c r="G928" s="21">
        <v>342.16</v>
      </c>
    </row>
    <row r="929" spans="1:7" ht="15" customHeight="1" x14ac:dyDescent="0.3">
      <c r="A929" s="21" t="s">
        <v>102</v>
      </c>
      <c r="B929" s="21" t="s">
        <v>92</v>
      </c>
      <c r="C929" s="21" t="s">
        <v>258</v>
      </c>
      <c r="D929" s="21">
        <v>0.06</v>
      </c>
      <c r="E929" s="21">
        <v>12.83</v>
      </c>
      <c r="F929" s="21">
        <v>439.28</v>
      </c>
      <c r="G929" s="21">
        <v>342.39</v>
      </c>
    </row>
    <row r="930" spans="1:7" ht="15" customHeight="1" x14ac:dyDescent="0.3">
      <c r="A930" s="21" t="s">
        <v>102</v>
      </c>
      <c r="B930" s="21" t="s">
        <v>92</v>
      </c>
      <c r="C930" s="21" t="s">
        <v>270</v>
      </c>
      <c r="D930" s="21">
        <v>0.01</v>
      </c>
      <c r="E930" s="21">
        <v>2.27</v>
      </c>
      <c r="F930" s="21">
        <v>77.77</v>
      </c>
      <c r="G930" s="21">
        <v>342.6</v>
      </c>
    </row>
    <row r="931" spans="1:7" ht="15" customHeight="1" x14ac:dyDescent="0.3">
      <c r="A931" s="21" t="s">
        <v>102</v>
      </c>
      <c r="B931" s="21" t="s">
        <v>95</v>
      </c>
      <c r="C931" s="21" t="s">
        <v>243</v>
      </c>
      <c r="D931" s="21">
        <v>15.84</v>
      </c>
      <c r="E931" s="21">
        <v>3838.37</v>
      </c>
      <c r="F931" s="21">
        <v>131366.10999999999</v>
      </c>
      <c r="G931" s="21">
        <v>342.24</v>
      </c>
    </row>
    <row r="932" spans="1:7" ht="15" customHeight="1" x14ac:dyDescent="0.3">
      <c r="A932" s="21" t="s">
        <v>102</v>
      </c>
      <c r="B932" s="21" t="s">
        <v>95</v>
      </c>
      <c r="C932" s="21" t="s">
        <v>244</v>
      </c>
      <c r="D932" s="21">
        <v>13.75</v>
      </c>
      <c r="E932" s="21">
        <v>3331.94</v>
      </c>
      <c r="F932" s="21">
        <v>114033.81</v>
      </c>
      <c r="G932" s="21">
        <v>342.24</v>
      </c>
    </row>
    <row r="933" spans="1:7" ht="15" customHeight="1" x14ac:dyDescent="0.3">
      <c r="A933" s="21" t="s">
        <v>102</v>
      </c>
      <c r="B933" s="21" t="s">
        <v>95</v>
      </c>
      <c r="C933" s="21" t="s">
        <v>245</v>
      </c>
      <c r="D933" s="21">
        <v>8.08</v>
      </c>
      <c r="E933" s="21">
        <v>1959.13</v>
      </c>
      <c r="F933" s="21">
        <v>67050.13</v>
      </c>
      <c r="G933" s="21">
        <v>342.24</v>
      </c>
    </row>
    <row r="934" spans="1:7" ht="15" customHeight="1" x14ac:dyDescent="0.3">
      <c r="A934" s="21" t="s">
        <v>102</v>
      </c>
      <c r="B934" s="21" t="s">
        <v>95</v>
      </c>
      <c r="C934" s="21" t="s">
        <v>246</v>
      </c>
      <c r="D934" s="21">
        <v>6.9</v>
      </c>
      <c r="E934" s="21">
        <v>1672.03</v>
      </c>
      <c r="F934" s="21">
        <v>57224.2</v>
      </c>
      <c r="G934" s="21">
        <v>342.24</v>
      </c>
    </row>
    <row r="935" spans="1:7" ht="15" customHeight="1" x14ac:dyDescent="0.3">
      <c r="A935" s="21" t="s">
        <v>102</v>
      </c>
      <c r="B935" s="21" t="s">
        <v>95</v>
      </c>
      <c r="C935" s="21" t="s">
        <v>247</v>
      </c>
      <c r="D935" s="21">
        <v>6.35</v>
      </c>
      <c r="E935" s="21">
        <v>1538.15</v>
      </c>
      <c r="F935" s="21">
        <v>52642.45</v>
      </c>
      <c r="G935" s="21">
        <v>342.25</v>
      </c>
    </row>
    <row r="936" spans="1:7" ht="15" customHeight="1" x14ac:dyDescent="0.3">
      <c r="A936" s="21" t="s">
        <v>102</v>
      </c>
      <c r="B936" s="21" t="s">
        <v>95</v>
      </c>
      <c r="C936" s="21" t="s">
        <v>248</v>
      </c>
      <c r="D936" s="21">
        <v>6.01</v>
      </c>
      <c r="E936" s="21">
        <v>1456.12</v>
      </c>
      <c r="F936" s="21">
        <v>49834.98</v>
      </c>
      <c r="G936" s="21">
        <v>342.25</v>
      </c>
    </row>
    <row r="937" spans="1:7" ht="15" customHeight="1" x14ac:dyDescent="0.3">
      <c r="A937" s="21" t="s">
        <v>102</v>
      </c>
      <c r="B937" s="21" t="s">
        <v>95</v>
      </c>
      <c r="C937" s="21" t="s">
        <v>255</v>
      </c>
      <c r="D937" s="21">
        <v>5.46</v>
      </c>
      <c r="E937" s="21">
        <v>1322.41</v>
      </c>
      <c r="F937" s="21">
        <v>45258.84</v>
      </c>
      <c r="G937" s="21">
        <v>342.25</v>
      </c>
    </row>
    <row r="938" spans="1:7" ht="15" customHeight="1" x14ac:dyDescent="0.3">
      <c r="A938" s="21" t="s">
        <v>102</v>
      </c>
      <c r="B938" s="21" t="s">
        <v>95</v>
      </c>
      <c r="C938" s="21" t="s">
        <v>257</v>
      </c>
      <c r="D938" s="21">
        <v>4.6500000000000004</v>
      </c>
      <c r="E938" s="21">
        <v>1125.96</v>
      </c>
      <c r="F938" s="21">
        <v>38535.32</v>
      </c>
      <c r="G938" s="21">
        <v>342.24</v>
      </c>
    </row>
    <row r="939" spans="1:7" ht="15" customHeight="1" x14ac:dyDescent="0.3">
      <c r="A939" s="21" t="s">
        <v>102</v>
      </c>
      <c r="B939" s="21" t="s">
        <v>95</v>
      </c>
      <c r="C939" s="21" t="s">
        <v>259</v>
      </c>
      <c r="D939" s="21">
        <v>4.55</v>
      </c>
      <c r="E939" s="21">
        <v>1102.6300000000001</v>
      </c>
      <c r="F939" s="21">
        <v>37736.769999999997</v>
      </c>
      <c r="G939" s="21">
        <v>342.24</v>
      </c>
    </row>
    <row r="940" spans="1:7" ht="15" customHeight="1" x14ac:dyDescent="0.3">
      <c r="A940" s="21" t="s">
        <v>102</v>
      </c>
      <c r="B940" s="21" t="s">
        <v>95</v>
      </c>
      <c r="C940" s="21" t="s">
        <v>260</v>
      </c>
      <c r="D940" s="21">
        <v>3.64</v>
      </c>
      <c r="E940" s="21">
        <v>881.51</v>
      </c>
      <c r="F940" s="21">
        <v>30169.09</v>
      </c>
      <c r="G940" s="21">
        <v>342.24</v>
      </c>
    </row>
    <row r="941" spans="1:7" ht="15" customHeight="1" x14ac:dyDescent="0.3">
      <c r="A941" s="21" t="s">
        <v>102</v>
      </c>
      <c r="B941" s="21" t="s">
        <v>95</v>
      </c>
      <c r="C941" s="21" t="s">
        <v>262</v>
      </c>
      <c r="D941" s="21">
        <v>3.51</v>
      </c>
      <c r="E941" s="21">
        <v>849.73</v>
      </c>
      <c r="F941" s="21">
        <v>29081.67</v>
      </c>
      <c r="G941" s="21">
        <v>342.25</v>
      </c>
    </row>
    <row r="942" spans="1:7" ht="15" customHeight="1" x14ac:dyDescent="0.3">
      <c r="A942" s="21" t="s">
        <v>102</v>
      </c>
      <c r="B942" s="21" t="s">
        <v>95</v>
      </c>
      <c r="C942" s="21" t="s">
        <v>250</v>
      </c>
      <c r="D942" s="21">
        <v>3.3</v>
      </c>
      <c r="E942" s="21">
        <v>800.81</v>
      </c>
      <c r="F942" s="21">
        <v>27407.43</v>
      </c>
      <c r="G942" s="21">
        <v>342.25</v>
      </c>
    </row>
    <row r="943" spans="1:7" ht="15" customHeight="1" x14ac:dyDescent="0.3">
      <c r="A943" s="21" t="s">
        <v>102</v>
      </c>
      <c r="B943" s="21" t="s">
        <v>95</v>
      </c>
      <c r="C943" s="21" t="s">
        <v>263</v>
      </c>
      <c r="D943" s="21">
        <v>2.57</v>
      </c>
      <c r="E943" s="21">
        <v>623.23</v>
      </c>
      <c r="F943" s="21">
        <v>21329.73</v>
      </c>
      <c r="G943" s="21">
        <v>342.24</v>
      </c>
    </row>
    <row r="944" spans="1:7" ht="15" customHeight="1" x14ac:dyDescent="0.3">
      <c r="A944" s="21" t="s">
        <v>102</v>
      </c>
      <c r="B944" s="21" t="s">
        <v>95</v>
      </c>
      <c r="C944" s="21" t="s">
        <v>265</v>
      </c>
      <c r="D944" s="21">
        <v>2.56</v>
      </c>
      <c r="E944" s="21">
        <v>620.41999999999996</v>
      </c>
      <c r="F944" s="21">
        <v>21233.68</v>
      </c>
      <c r="G944" s="21">
        <v>342.25</v>
      </c>
    </row>
    <row r="945" spans="1:7" ht="15" customHeight="1" x14ac:dyDescent="0.3">
      <c r="A945" s="21" t="s">
        <v>102</v>
      </c>
      <c r="B945" s="21" t="s">
        <v>95</v>
      </c>
      <c r="C945" s="21" t="s">
        <v>253</v>
      </c>
      <c r="D945" s="21">
        <v>2.08</v>
      </c>
      <c r="E945" s="21">
        <v>505.04</v>
      </c>
      <c r="F945" s="21">
        <v>17284.810000000001</v>
      </c>
      <c r="G945" s="21">
        <v>342.25</v>
      </c>
    </row>
    <row r="946" spans="1:7" ht="15" customHeight="1" x14ac:dyDescent="0.3">
      <c r="A946" s="21" t="s">
        <v>102</v>
      </c>
      <c r="B946" s="21" t="s">
        <v>95</v>
      </c>
      <c r="C946" s="21" t="s">
        <v>268</v>
      </c>
      <c r="D946" s="21">
        <v>1.87</v>
      </c>
      <c r="E946" s="21">
        <v>454.18</v>
      </c>
      <c r="F946" s="21">
        <v>15543.94</v>
      </c>
      <c r="G946" s="21">
        <v>342.24</v>
      </c>
    </row>
    <row r="947" spans="1:7" ht="15" customHeight="1" x14ac:dyDescent="0.3">
      <c r="A947" s="21" t="s">
        <v>102</v>
      </c>
      <c r="B947" s="21" t="s">
        <v>95</v>
      </c>
      <c r="C947" s="21" t="s">
        <v>252</v>
      </c>
      <c r="D947" s="21">
        <v>1.1399999999999999</v>
      </c>
      <c r="E947" s="21">
        <v>276.82</v>
      </c>
      <c r="F947" s="21">
        <v>9474.09</v>
      </c>
      <c r="G947" s="21">
        <v>342.25</v>
      </c>
    </row>
    <row r="948" spans="1:7" ht="15" customHeight="1" x14ac:dyDescent="0.3">
      <c r="A948" s="21" t="s">
        <v>102</v>
      </c>
      <c r="B948" s="21" t="s">
        <v>95</v>
      </c>
      <c r="C948" s="21" t="s">
        <v>267</v>
      </c>
      <c r="D948" s="21">
        <v>1.03</v>
      </c>
      <c r="E948" s="21">
        <v>250.74</v>
      </c>
      <c r="F948" s="21">
        <v>8581.6</v>
      </c>
      <c r="G948" s="21">
        <v>342.25</v>
      </c>
    </row>
    <row r="949" spans="1:7" ht="15" customHeight="1" x14ac:dyDescent="0.3">
      <c r="A949" s="21" t="s">
        <v>102</v>
      </c>
      <c r="B949" s="21" t="s">
        <v>95</v>
      </c>
      <c r="C949" s="21" t="s">
        <v>256</v>
      </c>
      <c r="D949" s="21">
        <v>0.95</v>
      </c>
      <c r="E949" s="21">
        <v>230.17</v>
      </c>
      <c r="F949" s="21">
        <v>7877.62</v>
      </c>
      <c r="G949" s="21">
        <v>342.25</v>
      </c>
    </row>
    <row r="950" spans="1:7" ht="15" customHeight="1" x14ac:dyDescent="0.3">
      <c r="A950" s="21" t="s">
        <v>102</v>
      </c>
      <c r="B950" s="21" t="s">
        <v>95</v>
      </c>
      <c r="C950" s="21" t="s">
        <v>271</v>
      </c>
      <c r="D950" s="21">
        <v>0.83</v>
      </c>
      <c r="E950" s="21">
        <v>202.23</v>
      </c>
      <c r="F950" s="21">
        <v>6921.24</v>
      </c>
      <c r="G950" s="21">
        <v>342.25</v>
      </c>
    </row>
    <row r="951" spans="1:7" ht="15" customHeight="1" x14ac:dyDescent="0.3">
      <c r="A951" s="21" t="s">
        <v>102</v>
      </c>
      <c r="B951" s="21" t="s">
        <v>95</v>
      </c>
      <c r="C951" s="21" t="s">
        <v>264</v>
      </c>
      <c r="D951" s="21">
        <v>0.61</v>
      </c>
      <c r="E951" s="21">
        <v>147.24</v>
      </c>
      <c r="F951" s="21">
        <v>5039.1099999999997</v>
      </c>
      <c r="G951" s="21">
        <v>342.24</v>
      </c>
    </row>
    <row r="952" spans="1:7" ht="15" customHeight="1" x14ac:dyDescent="0.3">
      <c r="A952" s="21" t="s">
        <v>102</v>
      </c>
      <c r="B952" s="21" t="s">
        <v>95</v>
      </c>
      <c r="C952" s="21" t="s">
        <v>261</v>
      </c>
      <c r="D952" s="21">
        <v>0.49</v>
      </c>
      <c r="E952" s="21">
        <v>119.77</v>
      </c>
      <c r="F952" s="21">
        <v>4099.1899999999996</v>
      </c>
      <c r="G952" s="21">
        <v>342.26</v>
      </c>
    </row>
    <row r="953" spans="1:7" ht="15" customHeight="1" x14ac:dyDescent="0.3">
      <c r="A953" s="21" t="s">
        <v>102</v>
      </c>
      <c r="B953" s="21" t="s">
        <v>95</v>
      </c>
      <c r="C953" s="21" t="s">
        <v>273</v>
      </c>
      <c r="D953" s="21">
        <v>0.28999999999999998</v>
      </c>
      <c r="E953" s="21">
        <v>70.61</v>
      </c>
      <c r="F953" s="21">
        <v>2416.58</v>
      </c>
      <c r="G953" s="21">
        <v>342.24</v>
      </c>
    </row>
    <row r="954" spans="1:7" ht="15" customHeight="1" x14ac:dyDescent="0.3">
      <c r="A954" s="21" t="s">
        <v>102</v>
      </c>
      <c r="B954" s="21" t="s">
        <v>95</v>
      </c>
      <c r="C954" s="21" t="s">
        <v>274</v>
      </c>
      <c r="D954" s="21">
        <v>0.21</v>
      </c>
      <c r="E954" s="21">
        <v>52.04</v>
      </c>
      <c r="F954" s="21">
        <v>1780.87</v>
      </c>
      <c r="G954" s="21">
        <v>342.21</v>
      </c>
    </row>
    <row r="955" spans="1:7" ht="15" customHeight="1" x14ac:dyDescent="0.3">
      <c r="A955" s="21" t="s">
        <v>102</v>
      </c>
      <c r="B955" s="21" t="s">
        <v>95</v>
      </c>
      <c r="C955" s="21" t="s">
        <v>272</v>
      </c>
      <c r="D955" s="21">
        <v>0.14000000000000001</v>
      </c>
      <c r="E955" s="21">
        <v>35.08</v>
      </c>
      <c r="F955" s="21">
        <v>1200.6300000000001</v>
      </c>
      <c r="G955" s="21">
        <v>342.25</v>
      </c>
    </row>
    <row r="956" spans="1:7" ht="15" customHeight="1" x14ac:dyDescent="0.3">
      <c r="A956" s="21" t="s">
        <v>102</v>
      </c>
      <c r="B956" s="21" t="s">
        <v>95</v>
      </c>
      <c r="C956" s="21" t="s">
        <v>276</v>
      </c>
      <c r="D956" s="21">
        <v>0.11</v>
      </c>
      <c r="E956" s="21">
        <v>27.57</v>
      </c>
      <c r="F956" s="21">
        <v>943.71</v>
      </c>
      <c r="G956" s="21">
        <v>342.3</v>
      </c>
    </row>
    <row r="957" spans="1:7" ht="15" customHeight="1" x14ac:dyDescent="0.3">
      <c r="A957" s="21" t="s">
        <v>102</v>
      </c>
      <c r="B957" s="21" t="s">
        <v>95</v>
      </c>
      <c r="C957" s="21" t="s">
        <v>251</v>
      </c>
      <c r="D957" s="21">
        <v>0.1</v>
      </c>
      <c r="E957" s="21">
        <v>25.04</v>
      </c>
      <c r="F957" s="21">
        <v>857.02</v>
      </c>
      <c r="G957" s="21">
        <v>342.26</v>
      </c>
    </row>
    <row r="958" spans="1:7" ht="15" customHeight="1" x14ac:dyDescent="0.3">
      <c r="A958" s="21" t="s">
        <v>102</v>
      </c>
      <c r="B958" s="21" t="s">
        <v>95</v>
      </c>
      <c r="C958" s="21" t="s">
        <v>275</v>
      </c>
      <c r="D958" s="21">
        <v>0.08</v>
      </c>
      <c r="E958" s="21">
        <v>18.62</v>
      </c>
      <c r="F958" s="21">
        <v>637.13</v>
      </c>
      <c r="G958" s="21">
        <v>342.18</v>
      </c>
    </row>
    <row r="959" spans="1:7" ht="15" customHeight="1" x14ac:dyDescent="0.3">
      <c r="A959" s="21" t="s">
        <v>102</v>
      </c>
      <c r="B959" s="21" t="s">
        <v>95</v>
      </c>
      <c r="C959" s="21" t="s">
        <v>278</v>
      </c>
      <c r="D959" s="21">
        <v>7.0000000000000007E-2</v>
      </c>
      <c r="E959" s="21">
        <v>16.16</v>
      </c>
      <c r="F959" s="21">
        <v>553.02</v>
      </c>
      <c r="G959" s="21">
        <v>342.22</v>
      </c>
    </row>
    <row r="960" spans="1:7" ht="15" customHeight="1" x14ac:dyDescent="0.3">
      <c r="A960" s="21" t="s">
        <v>102</v>
      </c>
      <c r="B960" s="21" t="s">
        <v>95</v>
      </c>
      <c r="C960" s="21" t="s">
        <v>254</v>
      </c>
      <c r="D960" s="21">
        <v>0.32</v>
      </c>
      <c r="E960" s="21">
        <v>78.7</v>
      </c>
      <c r="F960" s="21">
        <v>2693.47</v>
      </c>
      <c r="G960" s="21">
        <v>342.25</v>
      </c>
    </row>
    <row r="961" spans="1:7" ht="15" customHeight="1" x14ac:dyDescent="0.3">
      <c r="A961" s="21" t="s">
        <v>102</v>
      </c>
      <c r="B961" s="21" t="s">
        <v>95</v>
      </c>
      <c r="C961" s="21" t="s">
        <v>277</v>
      </c>
      <c r="D961" s="21">
        <v>0.24</v>
      </c>
      <c r="E961" s="21">
        <v>59.12</v>
      </c>
      <c r="F961" s="21">
        <v>2023.51</v>
      </c>
      <c r="G961" s="21">
        <v>342.27</v>
      </c>
    </row>
    <row r="962" spans="1:7" ht="15" customHeight="1" x14ac:dyDescent="0.3">
      <c r="A962" s="21" t="s">
        <v>102</v>
      </c>
      <c r="B962" s="21" t="s">
        <v>95</v>
      </c>
      <c r="C962" s="21" t="s">
        <v>266</v>
      </c>
      <c r="D962" s="21">
        <v>0.45</v>
      </c>
      <c r="E962" s="21">
        <v>108.61</v>
      </c>
      <c r="F962" s="21">
        <v>3717</v>
      </c>
      <c r="G962" s="21">
        <v>342.23</v>
      </c>
    </row>
    <row r="963" spans="1:7" ht="15" customHeight="1" x14ac:dyDescent="0.3">
      <c r="A963" s="21" t="s">
        <v>102</v>
      </c>
      <c r="B963" s="21" t="s">
        <v>95</v>
      </c>
      <c r="C963" s="21" t="s">
        <v>269</v>
      </c>
      <c r="D963" s="21">
        <v>0.03</v>
      </c>
      <c r="E963" s="21">
        <v>7.36</v>
      </c>
      <c r="F963" s="21">
        <v>251.85</v>
      </c>
      <c r="G963" s="21">
        <v>342.19</v>
      </c>
    </row>
    <row r="964" spans="1:7" ht="15" customHeight="1" x14ac:dyDescent="0.3">
      <c r="A964" s="21" t="s">
        <v>102</v>
      </c>
      <c r="B964" s="21" t="s">
        <v>95</v>
      </c>
      <c r="C964" s="21" t="s">
        <v>249</v>
      </c>
      <c r="D964" s="21">
        <v>0.05</v>
      </c>
      <c r="E964" s="21">
        <v>12.69</v>
      </c>
      <c r="F964" s="21">
        <v>434.44</v>
      </c>
      <c r="G964" s="21">
        <v>342.35</v>
      </c>
    </row>
    <row r="965" spans="1:7" ht="15" customHeight="1" x14ac:dyDescent="0.3">
      <c r="A965" s="21" t="s">
        <v>102</v>
      </c>
      <c r="B965" s="21" t="s">
        <v>95</v>
      </c>
      <c r="C965" s="21" t="s">
        <v>258</v>
      </c>
      <c r="D965" s="21">
        <v>0.06</v>
      </c>
      <c r="E965" s="21">
        <v>14.92</v>
      </c>
      <c r="F965" s="21">
        <v>510.77</v>
      </c>
      <c r="G965" s="21">
        <v>342.34</v>
      </c>
    </row>
    <row r="966" spans="1:7" ht="15" customHeight="1" x14ac:dyDescent="0.3">
      <c r="A966" s="21" t="s">
        <v>102</v>
      </c>
      <c r="B966" s="21" t="s">
        <v>95</v>
      </c>
      <c r="C966" s="21" t="s">
        <v>270</v>
      </c>
      <c r="D966" s="21">
        <v>0.01</v>
      </c>
      <c r="E966" s="21">
        <v>2.42</v>
      </c>
      <c r="F966" s="21">
        <v>82.94</v>
      </c>
      <c r="G966" s="21">
        <v>342.73</v>
      </c>
    </row>
    <row r="967" spans="1:7" ht="15" customHeight="1" x14ac:dyDescent="0.3">
      <c r="A967" s="21" t="s">
        <v>104</v>
      </c>
      <c r="B967" s="21" t="s">
        <v>88</v>
      </c>
      <c r="C967" s="21" t="s">
        <v>243</v>
      </c>
      <c r="D967" s="21">
        <v>16.34</v>
      </c>
      <c r="E967" s="21">
        <v>4451.2</v>
      </c>
      <c r="F967" s="21">
        <v>154605.26</v>
      </c>
      <c r="G967" s="21">
        <v>347.33</v>
      </c>
    </row>
    <row r="968" spans="1:7" ht="15" customHeight="1" x14ac:dyDescent="0.3">
      <c r="A968" s="21" t="s">
        <v>104</v>
      </c>
      <c r="B968" s="21" t="s">
        <v>88</v>
      </c>
      <c r="C968" s="21" t="s">
        <v>244</v>
      </c>
      <c r="D968" s="21">
        <v>13.13</v>
      </c>
      <c r="E968" s="21">
        <v>3576.58</v>
      </c>
      <c r="F968" s="21">
        <v>124226.58</v>
      </c>
      <c r="G968" s="21">
        <v>347.33</v>
      </c>
    </row>
    <row r="969" spans="1:7" ht="15" customHeight="1" x14ac:dyDescent="0.3">
      <c r="A969" s="21" t="s">
        <v>104</v>
      </c>
      <c r="B969" s="21" t="s">
        <v>88</v>
      </c>
      <c r="C969" s="21" t="s">
        <v>245</v>
      </c>
      <c r="D969" s="21">
        <v>8.7200000000000006</v>
      </c>
      <c r="E969" s="21">
        <v>2376.42</v>
      </c>
      <c r="F969" s="21">
        <v>82540.929999999993</v>
      </c>
      <c r="G969" s="21">
        <v>347.33</v>
      </c>
    </row>
    <row r="970" spans="1:7" ht="15" customHeight="1" x14ac:dyDescent="0.3">
      <c r="A970" s="21" t="s">
        <v>104</v>
      </c>
      <c r="B970" s="21" t="s">
        <v>88</v>
      </c>
      <c r="C970" s="21" t="s">
        <v>246</v>
      </c>
      <c r="D970" s="21">
        <v>7.14</v>
      </c>
      <c r="E970" s="21">
        <v>1946.75</v>
      </c>
      <c r="F970" s="21">
        <v>67617.350000000006</v>
      </c>
      <c r="G970" s="21">
        <v>347.33</v>
      </c>
    </row>
    <row r="971" spans="1:7" ht="15" customHeight="1" x14ac:dyDescent="0.3">
      <c r="A971" s="21" t="s">
        <v>104</v>
      </c>
      <c r="B971" s="21" t="s">
        <v>88</v>
      </c>
      <c r="C971" s="21" t="s">
        <v>247</v>
      </c>
      <c r="D971" s="21">
        <v>6.35</v>
      </c>
      <c r="E971" s="21">
        <v>1729.51</v>
      </c>
      <c r="F971" s="21">
        <v>60071.78</v>
      </c>
      <c r="G971" s="21">
        <v>347.33</v>
      </c>
    </row>
    <row r="972" spans="1:7" ht="15" customHeight="1" x14ac:dyDescent="0.3">
      <c r="A972" s="21" t="s">
        <v>104</v>
      </c>
      <c r="B972" s="21" t="s">
        <v>88</v>
      </c>
      <c r="C972" s="21" t="s">
        <v>248</v>
      </c>
      <c r="D972" s="21">
        <v>5.51</v>
      </c>
      <c r="E972" s="21">
        <v>1501.87</v>
      </c>
      <c r="F972" s="21">
        <v>52165.120000000003</v>
      </c>
      <c r="G972" s="21">
        <v>347.33</v>
      </c>
    </row>
    <row r="973" spans="1:7" ht="15" customHeight="1" x14ac:dyDescent="0.3">
      <c r="A973" s="21" t="s">
        <v>104</v>
      </c>
      <c r="B973" s="21" t="s">
        <v>88</v>
      </c>
      <c r="C973" s="21" t="s">
        <v>255</v>
      </c>
      <c r="D973" s="21">
        <v>5.0999999999999996</v>
      </c>
      <c r="E973" s="21">
        <v>1390.3</v>
      </c>
      <c r="F973" s="21">
        <v>48289.69</v>
      </c>
      <c r="G973" s="21">
        <v>347.33</v>
      </c>
    </row>
    <row r="974" spans="1:7" ht="15" customHeight="1" x14ac:dyDescent="0.3">
      <c r="A974" s="21" t="s">
        <v>104</v>
      </c>
      <c r="B974" s="21" t="s">
        <v>88</v>
      </c>
      <c r="C974" s="21" t="s">
        <v>257</v>
      </c>
      <c r="D974" s="21">
        <v>4.96</v>
      </c>
      <c r="E974" s="21">
        <v>1351.43</v>
      </c>
      <c r="F974" s="21">
        <v>46939.55</v>
      </c>
      <c r="G974" s="21">
        <v>347.33</v>
      </c>
    </row>
    <row r="975" spans="1:7" ht="15" customHeight="1" x14ac:dyDescent="0.3">
      <c r="A975" s="21" t="s">
        <v>104</v>
      </c>
      <c r="B975" s="21" t="s">
        <v>88</v>
      </c>
      <c r="C975" s="21" t="s">
        <v>259</v>
      </c>
      <c r="D975" s="21">
        <v>4.32</v>
      </c>
      <c r="E975" s="21">
        <v>1177.45</v>
      </c>
      <c r="F975" s="21">
        <v>40896.629999999997</v>
      </c>
      <c r="G975" s="21">
        <v>347.33</v>
      </c>
    </row>
    <row r="976" spans="1:7" ht="15" customHeight="1" x14ac:dyDescent="0.3">
      <c r="A976" s="21" t="s">
        <v>104</v>
      </c>
      <c r="B976" s="21" t="s">
        <v>88</v>
      </c>
      <c r="C976" s="21" t="s">
        <v>260</v>
      </c>
      <c r="D976" s="21">
        <v>3.91</v>
      </c>
      <c r="E976" s="21">
        <v>1065.28</v>
      </c>
      <c r="F976" s="21">
        <v>37000.61</v>
      </c>
      <c r="G976" s="21">
        <v>347.33</v>
      </c>
    </row>
    <row r="977" spans="1:7" ht="15" customHeight="1" x14ac:dyDescent="0.3">
      <c r="A977" s="21" t="s">
        <v>104</v>
      </c>
      <c r="B977" s="21" t="s">
        <v>88</v>
      </c>
      <c r="C977" s="21" t="s">
        <v>262</v>
      </c>
      <c r="D977" s="21">
        <v>3.48</v>
      </c>
      <c r="E977" s="21">
        <v>947.51</v>
      </c>
      <c r="F977" s="21">
        <v>32910.22</v>
      </c>
      <c r="G977" s="21">
        <v>347.33</v>
      </c>
    </row>
    <row r="978" spans="1:7" ht="15" customHeight="1" x14ac:dyDescent="0.3">
      <c r="A978" s="21" t="s">
        <v>104</v>
      </c>
      <c r="B978" s="21" t="s">
        <v>88</v>
      </c>
      <c r="C978" s="21" t="s">
        <v>250</v>
      </c>
      <c r="D978" s="21">
        <v>3.43</v>
      </c>
      <c r="E978" s="21">
        <v>933.24</v>
      </c>
      <c r="F978" s="21">
        <v>32414.55</v>
      </c>
      <c r="G978" s="21">
        <v>347.33</v>
      </c>
    </row>
    <row r="979" spans="1:7" ht="15" customHeight="1" x14ac:dyDescent="0.3">
      <c r="A979" s="21" t="s">
        <v>104</v>
      </c>
      <c r="B979" s="21" t="s">
        <v>88</v>
      </c>
      <c r="C979" s="21" t="s">
        <v>263</v>
      </c>
      <c r="D979" s="21">
        <v>2.73</v>
      </c>
      <c r="E979" s="21">
        <v>744.45</v>
      </c>
      <c r="F979" s="21">
        <v>25857.22</v>
      </c>
      <c r="G979" s="21">
        <v>347.33</v>
      </c>
    </row>
    <row r="980" spans="1:7" ht="15" customHeight="1" x14ac:dyDescent="0.3">
      <c r="A980" s="21" t="s">
        <v>104</v>
      </c>
      <c r="B980" s="21" t="s">
        <v>88</v>
      </c>
      <c r="C980" s="21" t="s">
        <v>265</v>
      </c>
      <c r="D980" s="21">
        <v>2.62</v>
      </c>
      <c r="E980" s="21">
        <v>713.71</v>
      </c>
      <c r="F980" s="21">
        <v>24789.56</v>
      </c>
      <c r="G980" s="21">
        <v>347.33</v>
      </c>
    </row>
    <row r="981" spans="1:7" ht="15" customHeight="1" x14ac:dyDescent="0.3">
      <c r="A981" s="21" t="s">
        <v>104</v>
      </c>
      <c r="B981" s="21" t="s">
        <v>88</v>
      </c>
      <c r="C981" s="21" t="s">
        <v>253</v>
      </c>
      <c r="D981" s="21">
        <v>2.2000000000000002</v>
      </c>
      <c r="E981" s="21">
        <v>598.27</v>
      </c>
      <c r="F981" s="21">
        <v>20780.03</v>
      </c>
      <c r="G981" s="21">
        <v>347.34</v>
      </c>
    </row>
    <row r="982" spans="1:7" ht="15" customHeight="1" x14ac:dyDescent="0.3">
      <c r="A982" s="21" t="s">
        <v>104</v>
      </c>
      <c r="B982" s="21" t="s">
        <v>88</v>
      </c>
      <c r="C982" s="21" t="s">
        <v>268</v>
      </c>
      <c r="D982" s="21">
        <v>1.75</v>
      </c>
      <c r="E982" s="21">
        <v>475.53</v>
      </c>
      <c r="F982" s="21">
        <v>16516.68</v>
      </c>
      <c r="G982" s="21">
        <v>347.33</v>
      </c>
    </row>
    <row r="983" spans="1:7" ht="15" customHeight="1" x14ac:dyDescent="0.3">
      <c r="A983" s="21" t="s">
        <v>104</v>
      </c>
      <c r="B983" s="21" t="s">
        <v>88</v>
      </c>
      <c r="C983" s="21" t="s">
        <v>252</v>
      </c>
      <c r="D983" s="21">
        <v>1.24</v>
      </c>
      <c r="E983" s="21">
        <v>336.65</v>
      </c>
      <c r="F983" s="21">
        <v>11693.02</v>
      </c>
      <c r="G983" s="21">
        <v>347.33</v>
      </c>
    </row>
    <row r="984" spans="1:7" ht="15" customHeight="1" x14ac:dyDescent="0.3">
      <c r="A984" s="21" t="s">
        <v>104</v>
      </c>
      <c r="B984" s="21" t="s">
        <v>88</v>
      </c>
      <c r="C984" s="21" t="s">
        <v>267</v>
      </c>
      <c r="D984" s="21">
        <v>1.02</v>
      </c>
      <c r="E984" s="21">
        <v>278.05</v>
      </c>
      <c r="F984" s="21">
        <v>9657.64</v>
      </c>
      <c r="G984" s="21">
        <v>347.33</v>
      </c>
    </row>
    <row r="985" spans="1:7" ht="15" customHeight="1" x14ac:dyDescent="0.3">
      <c r="A985" s="21" t="s">
        <v>104</v>
      </c>
      <c r="B985" s="21" t="s">
        <v>88</v>
      </c>
      <c r="C985" s="21" t="s">
        <v>256</v>
      </c>
      <c r="D985" s="21">
        <v>0.92</v>
      </c>
      <c r="E985" s="21">
        <v>249.6</v>
      </c>
      <c r="F985" s="21">
        <v>8669.44</v>
      </c>
      <c r="G985" s="21">
        <v>347.33</v>
      </c>
    </row>
    <row r="986" spans="1:7" ht="15" customHeight="1" x14ac:dyDescent="0.3">
      <c r="A986" s="21" t="s">
        <v>104</v>
      </c>
      <c r="B986" s="21" t="s">
        <v>88</v>
      </c>
      <c r="C986" s="21" t="s">
        <v>271</v>
      </c>
      <c r="D986" s="21">
        <v>0.8</v>
      </c>
      <c r="E986" s="21">
        <v>218.86</v>
      </c>
      <c r="F986" s="21">
        <v>7601.81</v>
      </c>
      <c r="G986" s="21">
        <v>347.34</v>
      </c>
    </row>
    <row r="987" spans="1:7" ht="15" customHeight="1" x14ac:dyDescent="0.3">
      <c r="A987" s="21" t="s">
        <v>104</v>
      </c>
      <c r="B987" s="21" t="s">
        <v>88</v>
      </c>
      <c r="C987" s="21" t="s">
        <v>264</v>
      </c>
      <c r="D987" s="21">
        <v>0.6</v>
      </c>
      <c r="E987" s="21">
        <v>163.16999999999999</v>
      </c>
      <c r="F987" s="21">
        <v>5667.52</v>
      </c>
      <c r="G987" s="21">
        <v>347.34</v>
      </c>
    </row>
    <row r="988" spans="1:7" ht="15" customHeight="1" x14ac:dyDescent="0.3">
      <c r="A988" s="21" t="s">
        <v>104</v>
      </c>
      <c r="B988" s="21" t="s">
        <v>88</v>
      </c>
      <c r="C988" s="21" t="s">
        <v>261</v>
      </c>
      <c r="D988" s="21">
        <v>0.56000000000000005</v>
      </c>
      <c r="E988" s="21">
        <v>152.5</v>
      </c>
      <c r="F988" s="21">
        <v>5296.98</v>
      </c>
      <c r="G988" s="21">
        <v>347.34</v>
      </c>
    </row>
    <row r="989" spans="1:7" ht="15" customHeight="1" x14ac:dyDescent="0.3">
      <c r="A989" s="21" t="s">
        <v>104</v>
      </c>
      <c r="B989" s="21" t="s">
        <v>88</v>
      </c>
      <c r="C989" s="21" t="s">
        <v>273</v>
      </c>
      <c r="D989" s="21">
        <v>0.32</v>
      </c>
      <c r="E989" s="21">
        <v>86.58</v>
      </c>
      <c r="F989" s="21">
        <v>3007.25</v>
      </c>
      <c r="G989" s="21">
        <v>347.34</v>
      </c>
    </row>
    <row r="990" spans="1:7" ht="15" customHeight="1" x14ac:dyDescent="0.3">
      <c r="A990" s="21" t="s">
        <v>104</v>
      </c>
      <c r="B990" s="21" t="s">
        <v>88</v>
      </c>
      <c r="C990" s="21" t="s">
        <v>274</v>
      </c>
      <c r="D990" s="21">
        <v>0.21</v>
      </c>
      <c r="E990" s="21">
        <v>56.46</v>
      </c>
      <c r="F990" s="21">
        <v>1961.17</v>
      </c>
      <c r="G990" s="21">
        <v>347.36</v>
      </c>
    </row>
    <row r="991" spans="1:7" ht="15" customHeight="1" x14ac:dyDescent="0.3">
      <c r="A991" s="21" t="s">
        <v>104</v>
      </c>
      <c r="B991" s="21" t="s">
        <v>88</v>
      </c>
      <c r="C991" s="21" t="s">
        <v>272</v>
      </c>
      <c r="D991" s="21">
        <v>0.15</v>
      </c>
      <c r="E991" s="21">
        <v>41.1</v>
      </c>
      <c r="F991" s="21">
        <v>1427.51</v>
      </c>
      <c r="G991" s="21">
        <v>347.33</v>
      </c>
    </row>
    <row r="992" spans="1:7" ht="15" customHeight="1" x14ac:dyDescent="0.3">
      <c r="A992" s="21" t="s">
        <v>104</v>
      </c>
      <c r="B992" s="21" t="s">
        <v>88</v>
      </c>
      <c r="C992" s="21" t="s">
        <v>276</v>
      </c>
      <c r="D992" s="21">
        <v>0.13</v>
      </c>
      <c r="E992" s="21">
        <v>34.340000000000003</v>
      </c>
      <c r="F992" s="21">
        <v>1192.8499999999999</v>
      </c>
      <c r="G992" s="21">
        <v>347.36</v>
      </c>
    </row>
    <row r="993" spans="1:7" ht="15" customHeight="1" x14ac:dyDescent="0.3">
      <c r="A993" s="21" t="s">
        <v>104</v>
      </c>
      <c r="B993" s="21" t="s">
        <v>88</v>
      </c>
      <c r="C993" s="21" t="s">
        <v>251</v>
      </c>
      <c r="D993" s="21">
        <v>0.1</v>
      </c>
      <c r="E993" s="21">
        <v>27.95</v>
      </c>
      <c r="F993" s="21">
        <v>970.89</v>
      </c>
      <c r="G993" s="21">
        <v>347.37</v>
      </c>
    </row>
    <row r="994" spans="1:7" ht="15" customHeight="1" x14ac:dyDescent="0.3">
      <c r="A994" s="21" t="s">
        <v>104</v>
      </c>
      <c r="B994" s="21" t="s">
        <v>88</v>
      </c>
      <c r="C994" s="21" t="s">
        <v>275</v>
      </c>
      <c r="D994" s="21">
        <v>0.08</v>
      </c>
      <c r="E994" s="21">
        <v>21.83</v>
      </c>
      <c r="F994" s="21">
        <v>758.1</v>
      </c>
      <c r="G994" s="21">
        <v>347.27</v>
      </c>
    </row>
    <row r="995" spans="1:7" ht="15" customHeight="1" x14ac:dyDescent="0.3">
      <c r="A995" s="21" t="s">
        <v>104</v>
      </c>
      <c r="B995" s="21" t="s">
        <v>88</v>
      </c>
      <c r="C995" s="21" t="s">
        <v>278</v>
      </c>
      <c r="D995" s="21">
        <v>7.0000000000000007E-2</v>
      </c>
      <c r="E995" s="21">
        <v>18.78</v>
      </c>
      <c r="F995" s="21">
        <v>652.41</v>
      </c>
      <c r="G995" s="21">
        <v>347.4</v>
      </c>
    </row>
    <row r="996" spans="1:7" ht="15" customHeight="1" x14ac:dyDescent="0.3">
      <c r="A996" s="21" t="s">
        <v>104</v>
      </c>
      <c r="B996" s="21" t="s">
        <v>88</v>
      </c>
      <c r="C996" s="21" t="s">
        <v>254</v>
      </c>
      <c r="D996" s="21">
        <v>0.35</v>
      </c>
      <c r="E996" s="21">
        <v>94.98</v>
      </c>
      <c r="F996" s="21">
        <v>3298.93</v>
      </c>
      <c r="G996" s="21">
        <v>347.33</v>
      </c>
    </row>
    <row r="997" spans="1:7" ht="15" customHeight="1" x14ac:dyDescent="0.3">
      <c r="A997" s="21" t="s">
        <v>104</v>
      </c>
      <c r="B997" s="21" t="s">
        <v>88</v>
      </c>
      <c r="C997" s="21" t="s">
        <v>277</v>
      </c>
      <c r="D997" s="21">
        <v>0.21</v>
      </c>
      <c r="E997" s="21">
        <v>57.32</v>
      </c>
      <c r="F997" s="21">
        <v>1990.9</v>
      </c>
      <c r="G997" s="21">
        <v>347.33</v>
      </c>
    </row>
    <row r="998" spans="1:7" ht="15" customHeight="1" x14ac:dyDescent="0.3">
      <c r="A998" s="21" t="s">
        <v>104</v>
      </c>
      <c r="B998" s="21" t="s">
        <v>88</v>
      </c>
      <c r="C998" s="21" t="s">
        <v>266</v>
      </c>
      <c r="D998" s="21">
        <v>0.45</v>
      </c>
      <c r="E998" s="21">
        <v>123.9</v>
      </c>
      <c r="F998" s="21">
        <v>4303.55</v>
      </c>
      <c r="G998" s="21">
        <v>347.34</v>
      </c>
    </row>
    <row r="999" spans="1:7" ht="15" customHeight="1" x14ac:dyDescent="0.3">
      <c r="A999" s="21" t="s">
        <v>104</v>
      </c>
      <c r="B999" s="21" t="s">
        <v>88</v>
      </c>
      <c r="C999" s="21" t="s">
        <v>269</v>
      </c>
      <c r="D999" s="21">
        <v>0.03</v>
      </c>
      <c r="E999" s="21">
        <v>7.97</v>
      </c>
      <c r="F999" s="21">
        <v>276.98</v>
      </c>
      <c r="G999" s="21">
        <v>347.53</v>
      </c>
    </row>
    <row r="1000" spans="1:7" ht="15" customHeight="1" x14ac:dyDescent="0.3">
      <c r="A1000" s="21" t="s">
        <v>104</v>
      </c>
      <c r="B1000" s="21" t="s">
        <v>88</v>
      </c>
      <c r="C1000" s="21" t="s">
        <v>249</v>
      </c>
      <c r="D1000" s="21">
        <v>0.05</v>
      </c>
      <c r="E1000" s="21">
        <v>14.71</v>
      </c>
      <c r="F1000" s="21">
        <v>510.87</v>
      </c>
      <c r="G1000" s="21">
        <v>347.29</v>
      </c>
    </row>
    <row r="1001" spans="1:7" ht="15" customHeight="1" x14ac:dyDescent="0.3">
      <c r="A1001" s="21" t="s">
        <v>104</v>
      </c>
      <c r="B1001" s="21" t="s">
        <v>88</v>
      </c>
      <c r="C1001" s="21" t="s">
        <v>258</v>
      </c>
      <c r="D1001" s="21">
        <v>0.06</v>
      </c>
      <c r="E1001" s="21">
        <v>16.36</v>
      </c>
      <c r="F1001" s="21">
        <v>568.38</v>
      </c>
      <c r="G1001" s="21">
        <v>347.42</v>
      </c>
    </row>
    <row r="1002" spans="1:7" ht="15" customHeight="1" x14ac:dyDescent="0.3">
      <c r="A1002" s="21" t="s">
        <v>104</v>
      </c>
      <c r="B1002" s="21" t="s">
        <v>88</v>
      </c>
      <c r="C1002" s="21" t="s">
        <v>270</v>
      </c>
      <c r="D1002" s="21">
        <v>0.01</v>
      </c>
      <c r="E1002" s="21">
        <v>2.72</v>
      </c>
      <c r="F1002" s="21">
        <v>94.64</v>
      </c>
      <c r="G1002" s="21">
        <v>347.94</v>
      </c>
    </row>
    <row r="1003" spans="1:7" ht="15" customHeight="1" x14ac:dyDescent="0.3">
      <c r="A1003" s="21" t="s">
        <v>104</v>
      </c>
      <c r="B1003" s="21" t="s">
        <v>87</v>
      </c>
      <c r="C1003" s="21" t="s">
        <v>243</v>
      </c>
      <c r="D1003" s="21">
        <v>16.46</v>
      </c>
      <c r="E1003" s="21">
        <v>5121.01</v>
      </c>
      <c r="F1003" s="21">
        <v>175370.68</v>
      </c>
      <c r="G1003" s="21">
        <v>342.45</v>
      </c>
    </row>
    <row r="1004" spans="1:7" ht="15" customHeight="1" x14ac:dyDescent="0.3">
      <c r="A1004" s="21" t="s">
        <v>104</v>
      </c>
      <c r="B1004" s="21" t="s">
        <v>87</v>
      </c>
      <c r="C1004" s="21" t="s">
        <v>244</v>
      </c>
      <c r="D1004" s="21">
        <v>12.13</v>
      </c>
      <c r="E1004" s="21">
        <v>3774.28</v>
      </c>
      <c r="F1004" s="21">
        <v>129251.5</v>
      </c>
      <c r="G1004" s="21">
        <v>342.45</v>
      </c>
    </row>
    <row r="1005" spans="1:7" ht="15" customHeight="1" x14ac:dyDescent="0.3">
      <c r="A1005" s="21" t="s">
        <v>104</v>
      </c>
      <c r="B1005" s="21" t="s">
        <v>87</v>
      </c>
      <c r="C1005" s="21" t="s">
        <v>245</v>
      </c>
      <c r="D1005" s="21">
        <v>8.39</v>
      </c>
      <c r="E1005" s="21">
        <v>2611.7399999999998</v>
      </c>
      <c r="F1005" s="21">
        <v>89439.94</v>
      </c>
      <c r="G1005" s="21">
        <v>342.45</v>
      </c>
    </row>
    <row r="1006" spans="1:7" ht="15" customHeight="1" x14ac:dyDescent="0.3">
      <c r="A1006" s="21" t="s">
        <v>104</v>
      </c>
      <c r="B1006" s="21" t="s">
        <v>87</v>
      </c>
      <c r="C1006" s="21" t="s">
        <v>246</v>
      </c>
      <c r="D1006" s="21">
        <v>7.2</v>
      </c>
      <c r="E1006" s="21">
        <v>2241.23</v>
      </c>
      <c r="F1006" s="21">
        <v>76751.740000000005</v>
      </c>
      <c r="G1006" s="21">
        <v>342.45</v>
      </c>
    </row>
    <row r="1007" spans="1:7" ht="15" customHeight="1" x14ac:dyDescent="0.3">
      <c r="A1007" s="21" t="s">
        <v>104</v>
      </c>
      <c r="B1007" s="21" t="s">
        <v>87</v>
      </c>
      <c r="C1007" s="21" t="s">
        <v>247</v>
      </c>
      <c r="D1007" s="21">
        <v>6.81</v>
      </c>
      <c r="E1007" s="21">
        <v>2119.27</v>
      </c>
      <c r="F1007" s="21">
        <v>72575.06</v>
      </c>
      <c r="G1007" s="21">
        <v>342.45</v>
      </c>
    </row>
    <row r="1008" spans="1:7" ht="15" customHeight="1" x14ac:dyDescent="0.3">
      <c r="A1008" s="21" t="s">
        <v>104</v>
      </c>
      <c r="B1008" s="21" t="s">
        <v>87</v>
      </c>
      <c r="C1008" s="21" t="s">
        <v>248</v>
      </c>
      <c r="D1008" s="21">
        <v>5.57</v>
      </c>
      <c r="E1008" s="21">
        <v>1733.25</v>
      </c>
      <c r="F1008" s="21">
        <v>59355.77</v>
      </c>
      <c r="G1008" s="21">
        <v>342.45</v>
      </c>
    </row>
    <row r="1009" spans="1:7" ht="15" customHeight="1" x14ac:dyDescent="0.3">
      <c r="A1009" s="21" t="s">
        <v>104</v>
      </c>
      <c r="B1009" s="21" t="s">
        <v>87</v>
      </c>
      <c r="C1009" s="21" t="s">
        <v>255</v>
      </c>
      <c r="D1009" s="21">
        <v>5.51</v>
      </c>
      <c r="E1009" s="21">
        <v>1714.18</v>
      </c>
      <c r="F1009" s="21">
        <v>58702.7</v>
      </c>
      <c r="G1009" s="21">
        <v>342.45</v>
      </c>
    </row>
    <row r="1010" spans="1:7" ht="15" customHeight="1" x14ac:dyDescent="0.3">
      <c r="A1010" s="21" t="s">
        <v>104</v>
      </c>
      <c r="B1010" s="21" t="s">
        <v>87</v>
      </c>
      <c r="C1010" s="21" t="s">
        <v>257</v>
      </c>
      <c r="D1010" s="21">
        <v>4.47</v>
      </c>
      <c r="E1010" s="21">
        <v>1391.54</v>
      </c>
      <c r="F1010" s="21">
        <v>47653.81</v>
      </c>
      <c r="G1010" s="21">
        <v>342.45</v>
      </c>
    </row>
    <row r="1011" spans="1:7" ht="15" customHeight="1" x14ac:dyDescent="0.3">
      <c r="A1011" s="21" t="s">
        <v>104</v>
      </c>
      <c r="B1011" s="21" t="s">
        <v>87</v>
      </c>
      <c r="C1011" s="21" t="s">
        <v>259</v>
      </c>
      <c r="D1011" s="21">
        <v>4.3499999999999996</v>
      </c>
      <c r="E1011" s="21">
        <v>1352.62</v>
      </c>
      <c r="F1011" s="21">
        <v>46321.06</v>
      </c>
      <c r="G1011" s="21">
        <v>342.45</v>
      </c>
    </row>
    <row r="1012" spans="1:7" ht="15" customHeight="1" x14ac:dyDescent="0.3">
      <c r="A1012" s="21" t="s">
        <v>104</v>
      </c>
      <c r="B1012" s="21" t="s">
        <v>87</v>
      </c>
      <c r="C1012" s="21" t="s">
        <v>260</v>
      </c>
      <c r="D1012" s="21">
        <v>3.9</v>
      </c>
      <c r="E1012" s="21">
        <v>1213.01</v>
      </c>
      <c r="F1012" s="21">
        <v>41539.82</v>
      </c>
      <c r="G1012" s="21">
        <v>342.45</v>
      </c>
    </row>
    <row r="1013" spans="1:7" ht="15" customHeight="1" x14ac:dyDescent="0.3">
      <c r="A1013" s="21" t="s">
        <v>104</v>
      </c>
      <c r="B1013" s="21" t="s">
        <v>87</v>
      </c>
      <c r="C1013" s="21" t="s">
        <v>262</v>
      </c>
      <c r="D1013" s="21">
        <v>3.59</v>
      </c>
      <c r="E1013" s="21">
        <v>1115.99</v>
      </c>
      <c r="F1013" s="21">
        <v>38217.35</v>
      </c>
      <c r="G1013" s="21">
        <v>342.45</v>
      </c>
    </row>
    <row r="1014" spans="1:7" ht="15" customHeight="1" x14ac:dyDescent="0.3">
      <c r="A1014" s="21" t="s">
        <v>104</v>
      </c>
      <c r="B1014" s="21" t="s">
        <v>87</v>
      </c>
      <c r="C1014" s="21" t="s">
        <v>250</v>
      </c>
      <c r="D1014" s="21">
        <v>3.2</v>
      </c>
      <c r="E1014" s="21">
        <v>995.73</v>
      </c>
      <c r="F1014" s="21">
        <v>34099.08</v>
      </c>
      <c r="G1014" s="21">
        <v>342.45</v>
      </c>
    </row>
    <row r="1015" spans="1:7" ht="15" customHeight="1" x14ac:dyDescent="0.3">
      <c r="A1015" s="21" t="s">
        <v>104</v>
      </c>
      <c r="B1015" s="21" t="s">
        <v>87</v>
      </c>
      <c r="C1015" s="21" t="s">
        <v>263</v>
      </c>
      <c r="D1015" s="21">
        <v>2.86</v>
      </c>
      <c r="E1015" s="21">
        <v>889.26</v>
      </c>
      <c r="F1015" s="21">
        <v>30453</v>
      </c>
      <c r="G1015" s="21">
        <v>342.45</v>
      </c>
    </row>
    <row r="1016" spans="1:7" ht="15" customHeight="1" x14ac:dyDescent="0.3">
      <c r="A1016" s="21" t="s">
        <v>104</v>
      </c>
      <c r="B1016" s="21" t="s">
        <v>87</v>
      </c>
      <c r="C1016" s="21" t="s">
        <v>265</v>
      </c>
      <c r="D1016" s="21">
        <v>2.7</v>
      </c>
      <c r="E1016" s="21">
        <v>840.25</v>
      </c>
      <c r="F1016" s="21">
        <v>28774.55</v>
      </c>
      <c r="G1016" s="21">
        <v>342.45</v>
      </c>
    </row>
    <row r="1017" spans="1:7" ht="15" customHeight="1" x14ac:dyDescent="0.3">
      <c r="A1017" s="21" t="s">
        <v>104</v>
      </c>
      <c r="B1017" s="21" t="s">
        <v>87</v>
      </c>
      <c r="C1017" s="21" t="s">
        <v>253</v>
      </c>
      <c r="D1017" s="21">
        <v>2.17</v>
      </c>
      <c r="E1017" s="21">
        <v>674.75</v>
      </c>
      <c r="F1017" s="21">
        <v>23107.07</v>
      </c>
      <c r="G1017" s="21">
        <v>342.45</v>
      </c>
    </row>
    <row r="1018" spans="1:7" ht="15" customHeight="1" x14ac:dyDescent="0.3">
      <c r="A1018" s="21" t="s">
        <v>104</v>
      </c>
      <c r="B1018" s="21" t="s">
        <v>87</v>
      </c>
      <c r="C1018" s="21" t="s">
        <v>268</v>
      </c>
      <c r="D1018" s="21">
        <v>1.81</v>
      </c>
      <c r="E1018" s="21">
        <v>563.92999999999995</v>
      </c>
      <c r="F1018" s="21">
        <v>19312.14</v>
      </c>
      <c r="G1018" s="21">
        <v>342.46</v>
      </c>
    </row>
    <row r="1019" spans="1:7" ht="15" customHeight="1" x14ac:dyDescent="0.3">
      <c r="A1019" s="21" t="s">
        <v>104</v>
      </c>
      <c r="B1019" s="21" t="s">
        <v>87</v>
      </c>
      <c r="C1019" s="21" t="s">
        <v>252</v>
      </c>
      <c r="D1019" s="21">
        <v>1.1299999999999999</v>
      </c>
      <c r="E1019" s="21">
        <v>353.09</v>
      </c>
      <c r="F1019" s="21">
        <v>12091.75</v>
      </c>
      <c r="G1019" s="21">
        <v>342.46</v>
      </c>
    </row>
    <row r="1020" spans="1:7" ht="15" customHeight="1" x14ac:dyDescent="0.3">
      <c r="A1020" s="21" t="s">
        <v>104</v>
      </c>
      <c r="B1020" s="21" t="s">
        <v>87</v>
      </c>
      <c r="C1020" s="21" t="s">
        <v>267</v>
      </c>
      <c r="D1020" s="21">
        <v>0.96</v>
      </c>
      <c r="E1020" s="21">
        <v>297.63</v>
      </c>
      <c r="F1020" s="21">
        <v>10192.530000000001</v>
      </c>
      <c r="G1020" s="21">
        <v>342.46</v>
      </c>
    </row>
    <row r="1021" spans="1:7" ht="15" customHeight="1" x14ac:dyDescent="0.3">
      <c r="A1021" s="21" t="s">
        <v>104</v>
      </c>
      <c r="B1021" s="21" t="s">
        <v>87</v>
      </c>
      <c r="C1021" s="21" t="s">
        <v>256</v>
      </c>
      <c r="D1021" s="21">
        <v>0.9</v>
      </c>
      <c r="E1021" s="21">
        <v>281.39999999999998</v>
      </c>
      <c r="F1021" s="21">
        <v>9636.49</v>
      </c>
      <c r="G1021" s="21">
        <v>342.45</v>
      </c>
    </row>
    <row r="1022" spans="1:7" ht="15" customHeight="1" x14ac:dyDescent="0.3">
      <c r="A1022" s="21" t="s">
        <v>104</v>
      </c>
      <c r="B1022" s="21" t="s">
        <v>87</v>
      </c>
      <c r="C1022" s="21" t="s">
        <v>271</v>
      </c>
      <c r="D1022" s="21">
        <v>0.84</v>
      </c>
      <c r="E1022" s="21">
        <v>262.64999999999998</v>
      </c>
      <c r="F1022" s="21">
        <v>8994.58</v>
      </c>
      <c r="G1022" s="21">
        <v>342.45</v>
      </c>
    </row>
    <row r="1023" spans="1:7" ht="15" customHeight="1" x14ac:dyDescent="0.3">
      <c r="A1023" s="21" t="s">
        <v>104</v>
      </c>
      <c r="B1023" s="21" t="s">
        <v>87</v>
      </c>
      <c r="C1023" s="21" t="s">
        <v>264</v>
      </c>
      <c r="D1023" s="21">
        <v>0.59</v>
      </c>
      <c r="E1023" s="21">
        <v>184.29</v>
      </c>
      <c r="F1023" s="21">
        <v>6311.14</v>
      </c>
      <c r="G1023" s="21">
        <v>342.46</v>
      </c>
    </row>
    <row r="1024" spans="1:7" ht="15" customHeight="1" x14ac:dyDescent="0.3">
      <c r="A1024" s="21" t="s">
        <v>104</v>
      </c>
      <c r="B1024" s="21" t="s">
        <v>87</v>
      </c>
      <c r="C1024" s="21" t="s">
        <v>261</v>
      </c>
      <c r="D1024" s="21">
        <v>0.49</v>
      </c>
      <c r="E1024" s="21">
        <v>153.72999999999999</v>
      </c>
      <c r="F1024" s="21">
        <v>5264.71</v>
      </c>
      <c r="G1024" s="21">
        <v>342.46</v>
      </c>
    </row>
    <row r="1025" spans="1:7" ht="15" customHeight="1" x14ac:dyDescent="0.3">
      <c r="A1025" s="21" t="s">
        <v>104</v>
      </c>
      <c r="B1025" s="21" t="s">
        <v>87</v>
      </c>
      <c r="C1025" s="21" t="s">
        <v>273</v>
      </c>
      <c r="D1025" s="21">
        <v>0.28999999999999998</v>
      </c>
      <c r="E1025" s="21">
        <v>91.44</v>
      </c>
      <c r="F1025" s="21">
        <v>3131.5</v>
      </c>
      <c r="G1025" s="21">
        <v>342.47</v>
      </c>
    </row>
    <row r="1026" spans="1:7" ht="15" customHeight="1" x14ac:dyDescent="0.3">
      <c r="A1026" s="21" t="s">
        <v>104</v>
      </c>
      <c r="B1026" s="21" t="s">
        <v>87</v>
      </c>
      <c r="C1026" s="21" t="s">
        <v>274</v>
      </c>
      <c r="D1026" s="21">
        <v>0.19</v>
      </c>
      <c r="E1026" s="21">
        <v>60.56</v>
      </c>
      <c r="F1026" s="21">
        <v>2074.04</v>
      </c>
      <c r="G1026" s="21">
        <v>342.48</v>
      </c>
    </row>
    <row r="1027" spans="1:7" ht="15" customHeight="1" x14ac:dyDescent="0.3">
      <c r="A1027" s="21" t="s">
        <v>104</v>
      </c>
      <c r="B1027" s="21" t="s">
        <v>87</v>
      </c>
      <c r="C1027" s="21" t="s">
        <v>272</v>
      </c>
      <c r="D1027" s="21">
        <v>0.15</v>
      </c>
      <c r="E1027" s="21">
        <v>47.36</v>
      </c>
      <c r="F1027" s="21">
        <v>1621.84</v>
      </c>
      <c r="G1027" s="21">
        <v>342.45</v>
      </c>
    </row>
    <row r="1028" spans="1:7" ht="15" customHeight="1" x14ac:dyDescent="0.3">
      <c r="A1028" s="21" t="s">
        <v>104</v>
      </c>
      <c r="B1028" s="21" t="s">
        <v>87</v>
      </c>
      <c r="C1028" s="21" t="s">
        <v>276</v>
      </c>
      <c r="D1028" s="21">
        <v>0.11</v>
      </c>
      <c r="E1028" s="21">
        <v>34.54</v>
      </c>
      <c r="F1028" s="21">
        <v>1182.8900000000001</v>
      </c>
      <c r="G1028" s="21">
        <v>342.47</v>
      </c>
    </row>
    <row r="1029" spans="1:7" ht="15" customHeight="1" x14ac:dyDescent="0.3">
      <c r="A1029" s="21" t="s">
        <v>104</v>
      </c>
      <c r="B1029" s="21" t="s">
        <v>87</v>
      </c>
      <c r="C1029" s="21" t="s">
        <v>251</v>
      </c>
      <c r="D1029" s="21">
        <v>0.11</v>
      </c>
      <c r="E1029" s="21">
        <v>33.11</v>
      </c>
      <c r="F1029" s="21">
        <v>1133.75</v>
      </c>
      <c r="G1029" s="21">
        <v>342.42</v>
      </c>
    </row>
    <row r="1030" spans="1:7" ht="15" customHeight="1" x14ac:dyDescent="0.3">
      <c r="A1030" s="21" t="s">
        <v>104</v>
      </c>
      <c r="B1030" s="21" t="s">
        <v>87</v>
      </c>
      <c r="C1030" s="21" t="s">
        <v>275</v>
      </c>
      <c r="D1030" s="21">
        <v>0.08</v>
      </c>
      <c r="E1030" s="21">
        <v>24.06</v>
      </c>
      <c r="F1030" s="21">
        <v>824.05</v>
      </c>
      <c r="G1030" s="21">
        <v>342.5</v>
      </c>
    </row>
    <row r="1031" spans="1:7" ht="15" customHeight="1" x14ac:dyDescent="0.3">
      <c r="A1031" s="21" t="s">
        <v>104</v>
      </c>
      <c r="B1031" s="21" t="s">
        <v>87</v>
      </c>
      <c r="C1031" s="21" t="s">
        <v>278</v>
      </c>
      <c r="D1031" s="21">
        <v>7.0000000000000007E-2</v>
      </c>
      <c r="E1031" s="21">
        <v>22.57</v>
      </c>
      <c r="F1031" s="21">
        <v>772.78</v>
      </c>
      <c r="G1031" s="21">
        <v>342.39</v>
      </c>
    </row>
    <row r="1032" spans="1:7" ht="15" customHeight="1" x14ac:dyDescent="0.3">
      <c r="A1032" s="21" t="s">
        <v>104</v>
      </c>
      <c r="B1032" s="21" t="s">
        <v>87</v>
      </c>
      <c r="C1032" s="21" t="s">
        <v>254</v>
      </c>
      <c r="D1032" s="21">
        <v>0.33</v>
      </c>
      <c r="E1032" s="21">
        <v>101.98</v>
      </c>
      <c r="F1032" s="21">
        <v>3492.48</v>
      </c>
      <c r="G1032" s="21">
        <v>342.47</v>
      </c>
    </row>
    <row r="1033" spans="1:7" ht="15" customHeight="1" x14ac:dyDescent="0.3">
      <c r="A1033" s="21" t="s">
        <v>104</v>
      </c>
      <c r="B1033" s="21" t="s">
        <v>87</v>
      </c>
      <c r="C1033" s="21" t="s">
        <v>277</v>
      </c>
      <c r="D1033" s="21">
        <v>0.26</v>
      </c>
      <c r="E1033" s="21">
        <v>80.39</v>
      </c>
      <c r="F1033" s="21">
        <v>2752.86</v>
      </c>
      <c r="G1033" s="21">
        <v>342.44</v>
      </c>
    </row>
    <row r="1034" spans="1:7" ht="15" customHeight="1" x14ac:dyDescent="0.3">
      <c r="A1034" s="21" t="s">
        <v>104</v>
      </c>
      <c r="B1034" s="21" t="s">
        <v>87</v>
      </c>
      <c r="C1034" s="21" t="s">
        <v>266</v>
      </c>
      <c r="D1034" s="21">
        <v>0.47</v>
      </c>
      <c r="E1034" s="21">
        <v>144.72</v>
      </c>
      <c r="F1034" s="21">
        <v>4955.8900000000003</v>
      </c>
      <c r="G1034" s="21">
        <v>342.45</v>
      </c>
    </row>
    <row r="1035" spans="1:7" ht="15" customHeight="1" x14ac:dyDescent="0.3">
      <c r="A1035" s="21" t="s">
        <v>104</v>
      </c>
      <c r="B1035" s="21" t="s">
        <v>87</v>
      </c>
      <c r="C1035" s="21" t="s">
        <v>269</v>
      </c>
      <c r="D1035" s="21">
        <v>0.03</v>
      </c>
      <c r="E1035" s="21">
        <v>9.51</v>
      </c>
      <c r="F1035" s="21">
        <v>325.79000000000002</v>
      </c>
      <c r="G1035" s="21">
        <v>342.58</v>
      </c>
    </row>
    <row r="1036" spans="1:7" ht="15" customHeight="1" x14ac:dyDescent="0.3">
      <c r="A1036" s="21" t="s">
        <v>104</v>
      </c>
      <c r="B1036" s="21" t="s">
        <v>87</v>
      </c>
      <c r="C1036" s="21" t="s">
        <v>249</v>
      </c>
      <c r="D1036" s="21">
        <v>0.05</v>
      </c>
      <c r="E1036" s="21">
        <v>14.78</v>
      </c>
      <c r="F1036" s="21">
        <v>506.27</v>
      </c>
      <c r="G1036" s="21">
        <v>342.54</v>
      </c>
    </row>
    <row r="1037" spans="1:7" ht="15" customHeight="1" x14ac:dyDescent="0.3">
      <c r="A1037" s="21" t="s">
        <v>104</v>
      </c>
      <c r="B1037" s="21" t="s">
        <v>87</v>
      </c>
      <c r="C1037" s="21" t="s">
        <v>258</v>
      </c>
      <c r="D1037" s="21">
        <v>0.06</v>
      </c>
      <c r="E1037" s="21">
        <v>18.899999999999999</v>
      </c>
      <c r="F1037" s="21">
        <v>647.28</v>
      </c>
      <c r="G1037" s="21">
        <v>342.48</v>
      </c>
    </row>
    <row r="1038" spans="1:7" ht="15" customHeight="1" x14ac:dyDescent="0.3">
      <c r="A1038" s="21" t="s">
        <v>104</v>
      </c>
      <c r="B1038" s="21" t="s">
        <v>87</v>
      </c>
      <c r="C1038" s="21" t="s">
        <v>270</v>
      </c>
      <c r="D1038" s="21">
        <v>0.01</v>
      </c>
      <c r="E1038" s="21">
        <v>3.11</v>
      </c>
      <c r="F1038" s="21">
        <v>106.55</v>
      </c>
      <c r="G1038" s="21">
        <v>342.6</v>
      </c>
    </row>
    <row r="1039" spans="1:7" ht="15" customHeight="1" x14ac:dyDescent="0.3">
      <c r="A1039" s="21" t="s">
        <v>104</v>
      </c>
      <c r="B1039" s="21" t="s">
        <v>92</v>
      </c>
      <c r="C1039" s="21" t="s">
        <v>243</v>
      </c>
      <c r="D1039" s="21">
        <v>16.29</v>
      </c>
      <c r="E1039" s="21">
        <v>5634.41</v>
      </c>
      <c r="F1039" s="21">
        <v>192565.18</v>
      </c>
      <c r="G1039" s="21">
        <v>341.77</v>
      </c>
    </row>
    <row r="1040" spans="1:7" ht="15" customHeight="1" x14ac:dyDescent="0.3">
      <c r="A1040" s="21" t="s">
        <v>104</v>
      </c>
      <c r="B1040" s="21" t="s">
        <v>92</v>
      </c>
      <c r="C1040" s="21" t="s">
        <v>244</v>
      </c>
      <c r="D1040" s="21">
        <v>13.46</v>
      </c>
      <c r="E1040" s="21">
        <v>4654.7299999999996</v>
      </c>
      <c r="F1040" s="21">
        <v>159083.29999999999</v>
      </c>
      <c r="G1040" s="21">
        <v>341.77</v>
      </c>
    </row>
    <row r="1041" spans="1:7" ht="15" customHeight="1" x14ac:dyDescent="0.3">
      <c r="A1041" s="21" t="s">
        <v>104</v>
      </c>
      <c r="B1041" s="21" t="s">
        <v>92</v>
      </c>
      <c r="C1041" s="21" t="s">
        <v>245</v>
      </c>
      <c r="D1041" s="21">
        <v>8.5299999999999994</v>
      </c>
      <c r="E1041" s="21">
        <v>2948.94</v>
      </c>
      <c r="F1041" s="21">
        <v>100784.98</v>
      </c>
      <c r="G1041" s="21">
        <v>341.77</v>
      </c>
    </row>
    <row r="1042" spans="1:7" ht="15" customHeight="1" x14ac:dyDescent="0.3">
      <c r="A1042" s="21" t="s">
        <v>104</v>
      </c>
      <c r="B1042" s="21" t="s">
        <v>92</v>
      </c>
      <c r="C1042" s="21" t="s">
        <v>246</v>
      </c>
      <c r="D1042" s="21">
        <v>7.11</v>
      </c>
      <c r="E1042" s="21">
        <v>2457.4</v>
      </c>
      <c r="F1042" s="21">
        <v>83985.71</v>
      </c>
      <c r="G1042" s="21">
        <v>341.77</v>
      </c>
    </row>
    <row r="1043" spans="1:7" ht="15" customHeight="1" x14ac:dyDescent="0.3">
      <c r="A1043" s="21" t="s">
        <v>104</v>
      </c>
      <c r="B1043" s="21" t="s">
        <v>92</v>
      </c>
      <c r="C1043" s="21" t="s">
        <v>247</v>
      </c>
      <c r="D1043" s="21">
        <v>6.18</v>
      </c>
      <c r="E1043" s="21">
        <v>2138.46</v>
      </c>
      <c r="F1043" s="21">
        <v>73085.279999999999</v>
      </c>
      <c r="G1043" s="21">
        <v>341.77</v>
      </c>
    </row>
    <row r="1044" spans="1:7" ht="15" customHeight="1" x14ac:dyDescent="0.3">
      <c r="A1044" s="21" t="s">
        <v>104</v>
      </c>
      <c r="B1044" s="21" t="s">
        <v>92</v>
      </c>
      <c r="C1044" s="21" t="s">
        <v>248</v>
      </c>
      <c r="D1044" s="21">
        <v>5.99</v>
      </c>
      <c r="E1044" s="21">
        <v>2070.6799999999998</v>
      </c>
      <c r="F1044" s="21">
        <v>70768.95</v>
      </c>
      <c r="G1044" s="21">
        <v>341.77</v>
      </c>
    </row>
    <row r="1045" spans="1:7" ht="15" customHeight="1" x14ac:dyDescent="0.3">
      <c r="A1045" s="21" t="s">
        <v>104</v>
      </c>
      <c r="B1045" s="21" t="s">
        <v>92</v>
      </c>
      <c r="C1045" s="21" t="s">
        <v>255</v>
      </c>
      <c r="D1045" s="21">
        <v>5.51</v>
      </c>
      <c r="E1045" s="21">
        <v>1904.02</v>
      </c>
      <c r="F1045" s="21">
        <v>65073</v>
      </c>
      <c r="G1045" s="21">
        <v>341.77</v>
      </c>
    </row>
    <row r="1046" spans="1:7" ht="15" customHeight="1" x14ac:dyDescent="0.3">
      <c r="A1046" s="21" t="s">
        <v>104</v>
      </c>
      <c r="B1046" s="21" t="s">
        <v>92</v>
      </c>
      <c r="C1046" s="21" t="s">
        <v>257</v>
      </c>
      <c r="D1046" s="21">
        <v>4.24</v>
      </c>
      <c r="E1046" s="21">
        <v>1467.48</v>
      </c>
      <c r="F1046" s="21">
        <v>50153.73</v>
      </c>
      <c r="G1046" s="21">
        <v>341.77</v>
      </c>
    </row>
    <row r="1047" spans="1:7" ht="15" customHeight="1" x14ac:dyDescent="0.3">
      <c r="A1047" s="21" t="s">
        <v>104</v>
      </c>
      <c r="B1047" s="21" t="s">
        <v>92</v>
      </c>
      <c r="C1047" s="21" t="s">
        <v>259</v>
      </c>
      <c r="D1047" s="21">
        <v>4.3600000000000003</v>
      </c>
      <c r="E1047" s="21">
        <v>1509.41</v>
      </c>
      <c r="F1047" s="21">
        <v>51586.64</v>
      </c>
      <c r="G1047" s="21">
        <v>341.77</v>
      </c>
    </row>
    <row r="1048" spans="1:7" ht="15" customHeight="1" x14ac:dyDescent="0.3">
      <c r="A1048" s="21" t="s">
        <v>104</v>
      </c>
      <c r="B1048" s="21" t="s">
        <v>92</v>
      </c>
      <c r="C1048" s="21" t="s">
        <v>260</v>
      </c>
      <c r="D1048" s="21">
        <v>3.8</v>
      </c>
      <c r="E1048" s="21">
        <v>1312.64</v>
      </c>
      <c r="F1048" s="21">
        <v>44861.58</v>
      </c>
      <c r="G1048" s="21">
        <v>341.77</v>
      </c>
    </row>
    <row r="1049" spans="1:7" ht="15" customHeight="1" x14ac:dyDescent="0.3">
      <c r="A1049" s="21" t="s">
        <v>104</v>
      </c>
      <c r="B1049" s="21" t="s">
        <v>92</v>
      </c>
      <c r="C1049" s="21" t="s">
        <v>262</v>
      </c>
      <c r="D1049" s="21">
        <v>3.71</v>
      </c>
      <c r="E1049" s="21">
        <v>1283.25</v>
      </c>
      <c r="F1049" s="21">
        <v>43857.27</v>
      </c>
      <c r="G1049" s="21">
        <v>341.77</v>
      </c>
    </row>
    <row r="1050" spans="1:7" ht="15" customHeight="1" x14ac:dyDescent="0.3">
      <c r="A1050" s="21" t="s">
        <v>104</v>
      </c>
      <c r="B1050" s="21" t="s">
        <v>92</v>
      </c>
      <c r="C1050" s="21" t="s">
        <v>250</v>
      </c>
      <c r="D1050" s="21">
        <v>3.02</v>
      </c>
      <c r="E1050" s="21">
        <v>1046.1099999999999</v>
      </c>
      <c r="F1050" s="21">
        <v>35752.620000000003</v>
      </c>
      <c r="G1050" s="21">
        <v>341.77</v>
      </c>
    </row>
    <row r="1051" spans="1:7" ht="15" customHeight="1" x14ac:dyDescent="0.3">
      <c r="A1051" s="21" t="s">
        <v>104</v>
      </c>
      <c r="B1051" s="21" t="s">
        <v>92</v>
      </c>
      <c r="C1051" s="21" t="s">
        <v>263</v>
      </c>
      <c r="D1051" s="21">
        <v>2.36</v>
      </c>
      <c r="E1051" s="21">
        <v>814.57</v>
      </c>
      <c r="F1051" s="21">
        <v>27839.19</v>
      </c>
      <c r="G1051" s="21">
        <v>341.77</v>
      </c>
    </row>
    <row r="1052" spans="1:7" ht="15" customHeight="1" x14ac:dyDescent="0.3">
      <c r="A1052" s="21" t="s">
        <v>104</v>
      </c>
      <c r="B1052" s="21" t="s">
        <v>92</v>
      </c>
      <c r="C1052" s="21" t="s">
        <v>265</v>
      </c>
      <c r="D1052" s="21">
        <v>2.5299999999999998</v>
      </c>
      <c r="E1052" s="21">
        <v>876.69</v>
      </c>
      <c r="F1052" s="21">
        <v>29962.35</v>
      </c>
      <c r="G1052" s="21">
        <v>341.77</v>
      </c>
    </row>
    <row r="1053" spans="1:7" ht="15" customHeight="1" x14ac:dyDescent="0.3">
      <c r="A1053" s="21" t="s">
        <v>104</v>
      </c>
      <c r="B1053" s="21" t="s">
        <v>92</v>
      </c>
      <c r="C1053" s="21" t="s">
        <v>253</v>
      </c>
      <c r="D1053" s="21">
        <v>2.23</v>
      </c>
      <c r="E1053" s="21">
        <v>771.96</v>
      </c>
      <c r="F1053" s="21">
        <v>26383.09</v>
      </c>
      <c r="G1053" s="21">
        <v>341.77</v>
      </c>
    </row>
    <row r="1054" spans="1:7" ht="15" customHeight="1" x14ac:dyDescent="0.3">
      <c r="A1054" s="21" t="s">
        <v>104</v>
      </c>
      <c r="B1054" s="21" t="s">
        <v>92</v>
      </c>
      <c r="C1054" s="21" t="s">
        <v>268</v>
      </c>
      <c r="D1054" s="21">
        <v>1.65</v>
      </c>
      <c r="E1054" s="21">
        <v>569.91</v>
      </c>
      <c r="F1054" s="21">
        <v>19477.46</v>
      </c>
      <c r="G1054" s="21">
        <v>341.76</v>
      </c>
    </row>
    <row r="1055" spans="1:7" ht="15" customHeight="1" x14ac:dyDescent="0.3">
      <c r="A1055" s="21" t="s">
        <v>104</v>
      </c>
      <c r="B1055" s="21" t="s">
        <v>92</v>
      </c>
      <c r="C1055" s="21" t="s">
        <v>252</v>
      </c>
      <c r="D1055" s="21">
        <v>1.1399999999999999</v>
      </c>
      <c r="E1055" s="21">
        <v>394.72</v>
      </c>
      <c r="F1055" s="21">
        <v>13490.05</v>
      </c>
      <c r="G1055" s="21">
        <v>341.76</v>
      </c>
    </row>
    <row r="1056" spans="1:7" ht="15" customHeight="1" x14ac:dyDescent="0.3">
      <c r="A1056" s="21" t="s">
        <v>104</v>
      </c>
      <c r="B1056" s="21" t="s">
        <v>92</v>
      </c>
      <c r="C1056" s="21" t="s">
        <v>267</v>
      </c>
      <c r="D1056" s="21">
        <v>1.1399999999999999</v>
      </c>
      <c r="E1056" s="21">
        <v>393.49</v>
      </c>
      <c r="F1056" s="21">
        <v>13448.33</v>
      </c>
      <c r="G1056" s="21">
        <v>341.77</v>
      </c>
    </row>
    <row r="1057" spans="1:7" ht="15" customHeight="1" x14ac:dyDescent="0.3">
      <c r="A1057" s="21" t="s">
        <v>104</v>
      </c>
      <c r="B1057" s="21" t="s">
        <v>92</v>
      </c>
      <c r="C1057" s="21" t="s">
        <v>256</v>
      </c>
      <c r="D1057" s="21">
        <v>0.89</v>
      </c>
      <c r="E1057" s="21">
        <v>306.51</v>
      </c>
      <c r="F1057" s="21">
        <v>10475.450000000001</v>
      </c>
      <c r="G1057" s="21">
        <v>341.77</v>
      </c>
    </row>
    <row r="1058" spans="1:7" ht="15" customHeight="1" x14ac:dyDescent="0.3">
      <c r="A1058" s="21" t="s">
        <v>104</v>
      </c>
      <c r="B1058" s="21" t="s">
        <v>92</v>
      </c>
      <c r="C1058" s="21" t="s">
        <v>271</v>
      </c>
      <c r="D1058" s="21">
        <v>0.83</v>
      </c>
      <c r="E1058" s="21">
        <v>286.79000000000002</v>
      </c>
      <c r="F1058" s="21">
        <v>9801.6</v>
      </c>
      <c r="G1058" s="21">
        <v>341.77</v>
      </c>
    </row>
    <row r="1059" spans="1:7" ht="15" customHeight="1" x14ac:dyDescent="0.3">
      <c r="A1059" s="21" t="s">
        <v>104</v>
      </c>
      <c r="B1059" s="21" t="s">
        <v>92</v>
      </c>
      <c r="C1059" s="21" t="s">
        <v>264</v>
      </c>
      <c r="D1059" s="21">
        <v>0.57999999999999996</v>
      </c>
      <c r="E1059" s="21">
        <v>200.76</v>
      </c>
      <c r="F1059" s="21">
        <v>6861.28</v>
      </c>
      <c r="G1059" s="21">
        <v>341.77</v>
      </c>
    </row>
    <row r="1060" spans="1:7" ht="15" customHeight="1" x14ac:dyDescent="0.3">
      <c r="A1060" s="21" t="s">
        <v>104</v>
      </c>
      <c r="B1060" s="21" t="s">
        <v>92</v>
      </c>
      <c r="C1060" s="21" t="s">
        <v>261</v>
      </c>
      <c r="D1060" s="21">
        <v>0.45</v>
      </c>
      <c r="E1060" s="21">
        <v>154.85</v>
      </c>
      <c r="F1060" s="21">
        <v>5292.32</v>
      </c>
      <c r="G1060" s="21">
        <v>341.77</v>
      </c>
    </row>
    <row r="1061" spans="1:7" ht="15" customHeight="1" x14ac:dyDescent="0.3">
      <c r="A1061" s="21" t="s">
        <v>104</v>
      </c>
      <c r="B1061" s="21" t="s">
        <v>92</v>
      </c>
      <c r="C1061" s="21" t="s">
        <v>273</v>
      </c>
      <c r="D1061" s="21">
        <v>0.3</v>
      </c>
      <c r="E1061" s="21">
        <v>102.87</v>
      </c>
      <c r="F1061" s="21">
        <v>3515.81</v>
      </c>
      <c r="G1061" s="21">
        <v>341.77</v>
      </c>
    </row>
    <row r="1062" spans="1:7" ht="15" customHeight="1" x14ac:dyDescent="0.3">
      <c r="A1062" s="21" t="s">
        <v>104</v>
      </c>
      <c r="B1062" s="21" t="s">
        <v>92</v>
      </c>
      <c r="C1062" s="21" t="s">
        <v>274</v>
      </c>
      <c r="D1062" s="21">
        <v>0.2</v>
      </c>
      <c r="E1062" s="21">
        <v>68.25</v>
      </c>
      <c r="F1062" s="21">
        <v>2332.61</v>
      </c>
      <c r="G1062" s="21">
        <v>341.77</v>
      </c>
    </row>
    <row r="1063" spans="1:7" ht="15" customHeight="1" x14ac:dyDescent="0.3">
      <c r="A1063" s="21" t="s">
        <v>104</v>
      </c>
      <c r="B1063" s="21" t="s">
        <v>92</v>
      </c>
      <c r="C1063" s="21" t="s">
        <v>272</v>
      </c>
      <c r="D1063" s="21">
        <v>0.15</v>
      </c>
      <c r="E1063" s="21">
        <v>50.84</v>
      </c>
      <c r="F1063" s="21">
        <v>1737.55</v>
      </c>
      <c r="G1063" s="21">
        <v>341.77</v>
      </c>
    </row>
    <row r="1064" spans="1:7" ht="15" customHeight="1" x14ac:dyDescent="0.3">
      <c r="A1064" s="21" t="s">
        <v>104</v>
      </c>
      <c r="B1064" s="21" t="s">
        <v>92</v>
      </c>
      <c r="C1064" s="21" t="s">
        <v>276</v>
      </c>
      <c r="D1064" s="21">
        <v>0.12</v>
      </c>
      <c r="E1064" s="21">
        <v>41.26</v>
      </c>
      <c r="F1064" s="21">
        <v>1410.27</v>
      </c>
      <c r="G1064" s="21">
        <v>341.8</v>
      </c>
    </row>
    <row r="1065" spans="1:7" ht="15" customHeight="1" x14ac:dyDescent="0.3">
      <c r="A1065" s="21" t="s">
        <v>104</v>
      </c>
      <c r="B1065" s="21" t="s">
        <v>92</v>
      </c>
      <c r="C1065" s="21" t="s">
        <v>251</v>
      </c>
      <c r="D1065" s="21">
        <v>0.1</v>
      </c>
      <c r="E1065" s="21">
        <v>35.04</v>
      </c>
      <c r="F1065" s="21">
        <v>1197.6199999999999</v>
      </c>
      <c r="G1065" s="21">
        <v>341.79</v>
      </c>
    </row>
    <row r="1066" spans="1:7" ht="15" customHeight="1" x14ac:dyDescent="0.3">
      <c r="A1066" s="21" t="s">
        <v>104</v>
      </c>
      <c r="B1066" s="21" t="s">
        <v>92</v>
      </c>
      <c r="C1066" s="21" t="s">
        <v>275</v>
      </c>
      <c r="D1066" s="21">
        <v>0.08</v>
      </c>
      <c r="E1066" s="21">
        <v>27.46</v>
      </c>
      <c r="F1066" s="21">
        <v>938.5</v>
      </c>
      <c r="G1066" s="21">
        <v>341.77</v>
      </c>
    </row>
    <row r="1067" spans="1:7" ht="15" customHeight="1" x14ac:dyDescent="0.3">
      <c r="A1067" s="21" t="s">
        <v>104</v>
      </c>
      <c r="B1067" s="21" t="s">
        <v>92</v>
      </c>
      <c r="C1067" s="21" t="s">
        <v>278</v>
      </c>
      <c r="D1067" s="21">
        <v>7.0000000000000007E-2</v>
      </c>
      <c r="E1067" s="21">
        <v>22.68</v>
      </c>
      <c r="F1067" s="21">
        <v>775.11</v>
      </c>
      <c r="G1067" s="21">
        <v>341.76</v>
      </c>
    </row>
    <row r="1068" spans="1:7" ht="15" customHeight="1" x14ac:dyDescent="0.3">
      <c r="A1068" s="21" t="s">
        <v>104</v>
      </c>
      <c r="B1068" s="21" t="s">
        <v>92</v>
      </c>
      <c r="C1068" s="21" t="s">
        <v>254</v>
      </c>
      <c r="D1068" s="21">
        <v>0.36</v>
      </c>
      <c r="E1068" s="21">
        <v>123.99</v>
      </c>
      <c r="F1068" s="21">
        <v>4237.57</v>
      </c>
      <c r="G1068" s="21">
        <v>341.77</v>
      </c>
    </row>
    <row r="1069" spans="1:7" ht="15" customHeight="1" x14ac:dyDescent="0.3">
      <c r="A1069" s="21" t="s">
        <v>104</v>
      </c>
      <c r="B1069" s="21" t="s">
        <v>92</v>
      </c>
      <c r="C1069" s="21" t="s">
        <v>277</v>
      </c>
      <c r="D1069" s="21">
        <v>0.23</v>
      </c>
      <c r="E1069" s="21">
        <v>78.040000000000006</v>
      </c>
      <c r="F1069" s="21">
        <v>2666.98</v>
      </c>
      <c r="G1069" s="21">
        <v>341.75</v>
      </c>
    </row>
    <row r="1070" spans="1:7" ht="15" customHeight="1" x14ac:dyDescent="0.3">
      <c r="A1070" s="21" t="s">
        <v>104</v>
      </c>
      <c r="B1070" s="21" t="s">
        <v>92</v>
      </c>
      <c r="C1070" s="21" t="s">
        <v>266</v>
      </c>
      <c r="D1070" s="21">
        <v>0.4</v>
      </c>
      <c r="E1070" s="21">
        <v>139.68</v>
      </c>
      <c r="F1070" s="21">
        <v>4773.71</v>
      </c>
      <c r="G1070" s="21">
        <v>341.76</v>
      </c>
    </row>
    <row r="1071" spans="1:7" ht="15" customHeight="1" x14ac:dyDescent="0.3">
      <c r="A1071" s="21" t="s">
        <v>104</v>
      </c>
      <c r="B1071" s="21" t="s">
        <v>92</v>
      </c>
      <c r="C1071" s="21" t="s">
        <v>269</v>
      </c>
      <c r="D1071" s="21">
        <v>0.03</v>
      </c>
      <c r="E1071" s="21">
        <v>10.76</v>
      </c>
      <c r="F1071" s="21">
        <v>367.71</v>
      </c>
      <c r="G1071" s="21">
        <v>341.74</v>
      </c>
    </row>
    <row r="1072" spans="1:7" ht="15" customHeight="1" x14ac:dyDescent="0.3">
      <c r="A1072" s="21" t="s">
        <v>104</v>
      </c>
      <c r="B1072" s="21" t="s">
        <v>92</v>
      </c>
      <c r="C1072" s="21" t="s">
        <v>249</v>
      </c>
      <c r="D1072" s="21">
        <v>0.05</v>
      </c>
      <c r="E1072" s="21">
        <v>17.73</v>
      </c>
      <c r="F1072" s="21">
        <v>605.98</v>
      </c>
      <c r="G1072" s="21">
        <v>341.78</v>
      </c>
    </row>
    <row r="1073" spans="1:7" ht="15" customHeight="1" x14ac:dyDescent="0.3">
      <c r="A1073" s="21" t="s">
        <v>104</v>
      </c>
      <c r="B1073" s="21" t="s">
        <v>92</v>
      </c>
      <c r="C1073" s="21" t="s">
        <v>258</v>
      </c>
      <c r="D1073" s="21">
        <v>0.06</v>
      </c>
      <c r="E1073" s="21">
        <v>20.69</v>
      </c>
      <c r="F1073" s="21">
        <v>707.16</v>
      </c>
      <c r="G1073" s="21">
        <v>341.79</v>
      </c>
    </row>
    <row r="1074" spans="1:7" ht="15" customHeight="1" x14ac:dyDescent="0.3">
      <c r="A1074" s="21" t="s">
        <v>104</v>
      </c>
      <c r="B1074" s="21" t="s">
        <v>92</v>
      </c>
      <c r="C1074" s="21" t="s">
        <v>270</v>
      </c>
      <c r="D1074" s="21">
        <v>0.01</v>
      </c>
      <c r="E1074" s="21">
        <v>3.46</v>
      </c>
      <c r="F1074" s="21">
        <v>118.2</v>
      </c>
      <c r="G1074" s="21">
        <v>341.62</v>
      </c>
    </row>
    <row r="1075" spans="1:7" ht="15" customHeight="1" x14ac:dyDescent="0.3">
      <c r="A1075" s="21" t="s">
        <v>104</v>
      </c>
      <c r="B1075" s="21" t="s">
        <v>95</v>
      </c>
      <c r="C1075" s="21" t="s">
        <v>243</v>
      </c>
      <c r="D1075" s="21">
        <v>15.92</v>
      </c>
      <c r="E1075" s="21">
        <v>5902.76</v>
      </c>
      <c r="F1075" s="21">
        <v>202339.77</v>
      </c>
      <c r="G1075" s="21">
        <v>342.79</v>
      </c>
    </row>
    <row r="1076" spans="1:7" ht="15" customHeight="1" x14ac:dyDescent="0.3">
      <c r="A1076" s="21" t="s">
        <v>104</v>
      </c>
      <c r="B1076" s="21" t="s">
        <v>95</v>
      </c>
      <c r="C1076" s="21" t="s">
        <v>244</v>
      </c>
      <c r="D1076" s="21">
        <v>12.63</v>
      </c>
      <c r="E1076" s="21">
        <v>4684.7700000000004</v>
      </c>
      <c r="F1076" s="21">
        <v>160588.60999999999</v>
      </c>
      <c r="G1076" s="21">
        <v>342.79</v>
      </c>
    </row>
    <row r="1077" spans="1:7" ht="15" customHeight="1" x14ac:dyDescent="0.3">
      <c r="A1077" s="21" t="s">
        <v>104</v>
      </c>
      <c r="B1077" s="21" t="s">
        <v>95</v>
      </c>
      <c r="C1077" s="21" t="s">
        <v>245</v>
      </c>
      <c r="D1077" s="21">
        <v>7.55</v>
      </c>
      <c r="E1077" s="21">
        <v>2798.47</v>
      </c>
      <c r="F1077" s="21">
        <v>95928.27</v>
      </c>
      <c r="G1077" s="21">
        <v>342.79</v>
      </c>
    </row>
    <row r="1078" spans="1:7" ht="15" customHeight="1" x14ac:dyDescent="0.3">
      <c r="A1078" s="21" t="s">
        <v>104</v>
      </c>
      <c r="B1078" s="21" t="s">
        <v>95</v>
      </c>
      <c r="C1078" s="21" t="s">
        <v>246</v>
      </c>
      <c r="D1078" s="21">
        <v>6.84</v>
      </c>
      <c r="E1078" s="21">
        <v>2535.88</v>
      </c>
      <c r="F1078" s="21">
        <v>86926.98</v>
      </c>
      <c r="G1078" s="21">
        <v>342.79</v>
      </c>
    </row>
    <row r="1079" spans="1:7" ht="15" customHeight="1" x14ac:dyDescent="0.3">
      <c r="A1079" s="21" t="s">
        <v>104</v>
      </c>
      <c r="B1079" s="21" t="s">
        <v>95</v>
      </c>
      <c r="C1079" s="21" t="s">
        <v>247</v>
      </c>
      <c r="D1079" s="21">
        <v>6.71</v>
      </c>
      <c r="E1079" s="21">
        <v>2489.2800000000002</v>
      </c>
      <c r="F1079" s="21">
        <v>85329.75</v>
      </c>
      <c r="G1079" s="21">
        <v>342.79</v>
      </c>
    </row>
    <row r="1080" spans="1:7" ht="15" customHeight="1" x14ac:dyDescent="0.3">
      <c r="A1080" s="21" t="s">
        <v>104</v>
      </c>
      <c r="B1080" s="21" t="s">
        <v>95</v>
      </c>
      <c r="C1080" s="21" t="s">
        <v>248</v>
      </c>
      <c r="D1080" s="21">
        <v>6.21</v>
      </c>
      <c r="E1080" s="21">
        <v>2304.56</v>
      </c>
      <c r="F1080" s="21">
        <v>78997.55</v>
      </c>
      <c r="G1080" s="21">
        <v>342.79</v>
      </c>
    </row>
    <row r="1081" spans="1:7" ht="15" customHeight="1" x14ac:dyDescent="0.3">
      <c r="A1081" s="21" t="s">
        <v>104</v>
      </c>
      <c r="B1081" s="21" t="s">
        <v>95</v>
      </c>
      <c r="C1081" s="21" t="s">
        <v>255</v>
      </c>
      <c r="D1081" s="21">
        <v>5.38</v>
      </c>
      <c r="E1081" s="21">
        <v>1997.01</v>
      </c>
      <c r="F1081" s="21">
        <v>68455.12</v>
      </c>
      <c r="G1081" s="21">
        <v>342.79</v>
      </c>
    </row>
    <row r="1082" spans="1:7" ht="15" customHeight="1" x14ac:dyDescent="0.3">
      <c r="A1082" s="21" t="s">
        <v>104</v>
      </c>
      <c r="B1082" s="21" t="s">
        <v>95</v>
      </c>
      <c r="C1082" s="21" t="s">
        <v>257</v>
      </c>
      <c r="D1082" s="21">
        <v>4.9800000000000004</v>
      </c>
      <c r="E1082" s="21">
        <v>1847.51</v>
      </c>
      <c r="F1082" s="21">
        <v>63330.54</v>
      </c>
      <c r="G1082" s="21">
        <v>342.79</v>
      </c>
    </row>
    <row r="1083" spans="1:7" ht="15" customHeight="1" x14ac:dyDescent="0.3">
      <c r="A1083" s="21" t="s">
        <v>104</v>
      </c>
      <c r="B1083" s="21" t="s">
        <v>95</v>
      </c>
      <c r="C1083" s="21" t="s">
        <v>259</v>
      </c>
      <c r="D1083" s="21">
        <v>3.8</v>
      </c>
      <c r="E1083" s="21">
        <v>1408.58</v>
      </c>
      <c r="F1083" s="21">
        <v>48284.58</v>
      </c>
      <c r="G1083" s="21">
        <v>342.79</v>
      </c>
    </row>
    <row r="1084" spans="1:7" ht="15" customHeight="1" x14ac:dyDescent="0.3">
      <c r="A1084" s="21" t="s">
        <v>104</v>
      </c>
      <c r="B1084" s="21" t="s">
        <v>95</v>
      </c>
      <c r="C1084" s="21" t="s">
        <v>260</v>
      </c>
      <c r="D1084" s="21">
        <v>3.93</v>
      </c>
      <c r="E1084" s="21">
        <v>1455.77</v>
      </c>
      <c r="F1084" s="21">
        <v>49902.28</v>
      </c>
      <c r="G1084" s="21">
        <v>342.79</v>
      </c>
    </row>
    <row r="1085" spans="1:7" ht="15" customHeight="1" x14ac:dyDescent="0.3">
      <c r="A1085" s="21" t="s">
        <v>104</v>
      </c>
      <c r="B1085" s="21" t="s">
        <v>95</v>
      </c>
      <c r="C1085" s="21" t="s">
        <v>262</v>
      </c>
      <c r="D1085" s="21">
        <v>3.36</v>
      </c>
      <c r="E1085" s="21">
        <v>1245.8699999999999</v>
      </c>
      <c r="F1085" s="21">
        <v>42706.9</v>
      </c>
      <c r="G1085" s="21">
        <v>342.79</v>
      </c>
    </row>
    <row r="1086" spans="1:7" ht="15" customHeight="1" x14ac:dyDescent="0.3">
      <c r="A1086" s="21" t="s">
        <v>104</v>
      </c>
      <c r="B1086" s="21" t="s">
        <v>95</v>
      </c>
      <c r="C1086" s="21" t="s">
        <v>250</v>
      </c>
      <c r="D1086" s="21">
        <v>3.25</v>
      </c>
      <c r="E1086" s="21">
        <v>1205.02</v>
      </c>
      <c r="F1086" s="21">
        <v>41306.769999999997</v>
      </c>
      <c r="G1086" s="21">
        <v>342.79</v>
      </c>
    </row>
    <row r="1087" spans="1:7" ht="15" customHeight="1" x14ac:dyDescent="0.3">
      <c r="A1087" s="21" t="s">
        <v>104</v>
      </c>
      <c r="B1087" s="21" t="s">
        <v>95</v>
      </c>
      <c r="C1087" s="21" t="s">
        <v>263</v>
      </c>
      <c r="D1087" s="21">
        <v>2.77</v>
      </c>
      <c r="E1087" s="21">
        <v>1025.57</v>
      </c>
      <c r="F1087" s="21">
        <v>35155.449999999997</v>
      </c>
      <c r="G1087" s="21">
        <v>342.79</v>
      </c>
    </row>
    <row r="1088" spans="1:7" ht="15" customHeight="1" x14ac:dyDescent="0.3">
      <c r="A1088" s="21" t="s">
        <v>104</v>
      </c>
      <c r="B1088" s="21" t="s">
        <v>95</v>
      </c>
      <c r="C1088" s="21" t="s">
        <v>265</v>
      </c>
      <c r="D1088" s="21">
        <v>2.67</v>
      </c>
      <c r="E1088" s="21">
        <v>988.39</v>
      </c>
      <c r="F1088" s="21">
        <v>33880.800000000003</v>
      </c>
      <c r="G1088" s="21">
        <v>342.79</v>
      </c>
    </row>
    <row r="1089" spans="1:7" ht="15" customHeight="1" x14ac:dyDescent="0.3">
      <c r="A1089" s="21" t="s">
        <v>104</v>
      </c>
      <c r="B1089" s="21" t="s">
        <v>95</v>
      </c>
      <c r="C1089" s="21" t="s">
        <v>253</v>
      </c>
      <c r="D1089" s="21">
        <v>2.1</v>
      </c>
      <c r="E1089" s="21">
        <v>780.24</v>
      </c>
      <c r="F1089" s="21">
        <v>26745.759999999998</v>
      </c>
      <c r="G1089" s="21">
        <v>342.79</v>
      </c>
    </row>
    <row r="1090" spans="1:7" ht="15" customHeight="1" x14ac:dyDescent="0.3">
      <c r="A1090" s="21" t="s">
        <v>104</v>
      </c>
      <c r="B1090" s="21" t="s">
        <v>95</v>
      </c>
      <c r="C1090" s="21" t="s">
        <v>268</v>
      </c>
      <c r="D1090" s="21">
        <v>1.86</v>
      </c>
      <c r="E1090" s="21">
        <v>688.51</v>
      </c>
      <c r="F1090" s="21">
        <v>23601.49</v>
      </c>
      <c r="G1090" s="21">
        <v>342.79</v>
      </c>
    </row>
    <row r="1091" spans="1:7" ht="15" customHeight="1" x14ac:dyDescent="0.3">
      <c r="A1091" s="21" t="s">
        <v>104</v>
      </c>
      <c r="B1091" s="21" t="s">
        <v>95</v>
      </c>
      <c r="C1091" s="21" t="s">
        <v>252</v>
      </c>
      <c r="D1091" s="21">
        <v>1.18</v>
      </c>
      <c r="E1091" s="21">
        <v>438.82</v>
      </c>
      <c r="F1091" s="21">
        <v>15042.4</v>
      </c>
      <c r="G1091" s="21">
        <v>342.79</v>
      </c>
    </row>
    <row r="1092" spans="1:7" ht="15" customHeight="1" x14ac:dyDescent="0.3">
      <c r="A1092" s="21" t="s">
        <v>104</v>
      </c>
      <c r="B1092" s="21" t="s">
        <v>95</v>
      </c>
      <c r="C1092" s="21" t="s">
        <v>267</v>
      </c>
      <c r="D1092" s="21">
        <v>0.99</v>
      </c>
      <c r="E1092" s="21">
        <v>367.93</v>
      </c>
      <c r="F1092" s="21">
        <v>12612.37</v>
      </c>
      <c r="G1092" s="21">
        <v>342.79</v>
      </c>
    </row>
    <row r="1093" spans="1:7" ht="15" customHeight="1" x14ac:dyDescent="0.3">
      <c r="A1093" s="21" t="s">
        <v>104</v>
      </c>
      <c r="B1093" s="21" t="s">
        <v>95</v>
      </c>
      <c r="C1093" s="21" t="s">
        <v>256</v>
      </c>
      <c r="D1093" s="21">
        <v>0.89</v>
      </c>
      <c r="E1093" s="21">
        <v>330.71</v>
      </c>
      <c r="F1093" s="21">
        <v>11336.52</v>
      </c>
      <c r="G1093" s="21">
        <v>342.79</v>
      </c>
    </row>
    <row r="1094" spans="1:7" ht="15" customHeight="1" x14ac:dyDescent="0.3">
      <c r="A1094" s="21" t="s">
        <v>104</v>
      </c>
      <c r="B1094" s="21" t="s">
        <v>95</v>
      </c>
      <c r="C1094" s="21" t="s">
        <v>271</v>
      </c>
      <c r="D1094" s="21">
        <v>0.77</v>
      </c>
      <c r="E1094" s="21">
        <v>284.14999999999998</v>
      </c>
      <c r="F1094" s="21">
        <v>9740.36</v>
      </c>
      <c r="G1094" s="21">
        <v>342.79</v>
      </c>
    </row>
    <row r="1095" spans="1:7" ht="15" customHeight="1" x14ac:dyDescent="0.3">
      <c r="A1095" s="21" t="s">
        <v>104</v>
      </c>
      <c r="B1095" s="21" t="s">
        <v>95</v>
      </c>
      <c r="C1095" s="21" t="s">
        <v>264</v>
      </c>
      <c r="D1095" s="21">
        <v>0.6</v>
      </c>
      <c r="E1095" s="21">
        <v>222.37</v>
      </c>
      <c r="F1095" s="21">
        <v>7622.42</v>
      </c>
      <c r="G1095" s="21">
        <v>342.78</v>
      </c>
    </row>
    <row r="1096" spans="1:7" ht="15" customHeight="1" x14ac:dyDescent="0.3">
      <c r="A1096" s="21" t="s">
        <v>104</v>
      </c>
      <c r="B1096" s="21" t="s">
        <v>95</v>
      </c>
      <c r="C1096" s="21" t="s">
        <v>261</v>
      </c>
      <c r="D1096" s="21">
        <v>0.5</v>
      </c>
      <c r="E1096" s="21">
        <v>184.85</v>
      </c>
      <c r="F1096" s="21">
        <v>6336.59</v>
      </c>
      <c r="G1096" s="21">
        <v>342.8</v>
      </c>
    </row>
    <row r="1097" spans="1:7" ht="15" customHeight="1" x14ac:dyDescent="0.3">
      <c r="A1097" s="21" t="s">
        <v>104</v>
      </c>
      <c r="B1097" s="21" t="s">
        <v>95</v>
      </c>
      <c r="C1097" s="21" t="s">
        <v>273</v>
      </c>
      <c r="D1097" s="21">
        <v>0.3</v>
      </c>
      <c r="E1097" s="21">
        <v>112.6</v>
      </c>
      <c r="F1097" s="21">
        <v>3859.9</v>
      </c>
      <c r="G1097" s="21">
        <v>342.8</v>
      </c>
    </row>
    <row r="1098" spans="1:7" ht="15" customHeight="1" x14ac:dyDescent="0.3">
      <c r="A1098" s="21" t="s">
        <v>104</v>
      </c>
      <c r="B1098" s="21" t="s">
        <v>95</v>
      </c>
      <c r="C1098" s="21" t="s">
        <v>274</v>
      </c>
      <c r="D1098" s="21">
        <v>0.2</v>
      </c>
      <c r="E1098" s="21">
        <v>74.489999999999995</v>
      </c>
      <c r="F1098" s="21">
        <v>2553.34</v>
      </c>
      <c r="G1098" s="21">
        <v>342.78</v>
      </c>
    </row>
    <row r="1099" spans="1:7" ht="15" customHeight="1" x14ac:dyDescent="0.3">
      <c r="A1099" s="21" t="s">
        <v>104</v>
      </c>
      <c r="B1099" s="21" t="s">
        <v>95</v>
      </c>
      <c r="C1099" s="21" t="s">
        <v>272</v>
      </c>
      <c r="D1099" s="21">
        <v>0.16</v>
      </c>
      <c r="E1099" s="21">
        <v>57.85</v>
      </c>
      <c r="F1099" s="21">
        <v>1983.04</v>
      </c>
      <c r="G1099" s="21">
        <v>342.79</v>
      </c>
    </row>
    <row r="1100" spans="1:7" ht="15" customHeight="1" x14ac:dyDescent="0.3">
      <c r="A1100" s="21" t="s">
        <v>104</v>
      </c>
      <c r="B1100" s="21" t="s">
        <v>95</v>
      </c>
      <c r="C1100" s="21" t="s">
        <v>276</v>
      </c>
      <c r="D1100" s="21">
        <v>0.13</v>
      </c>
      <c r="E1100" s="21">
        <v>46.56</v>
      </c>
      <c r="F1100" s="21">
        <v>1596</v>
      </c>
      <c r="G1100" s="21">
        <v>342.78</v>
      </c>
    </row>
    <row r="1101" spans="1:7" ht="15" customHeight="1" x14ac:dyDescent="0.3">
      <c r="A1101" s="21" t="s">
        <v>104</v>
      </c>
      <c r="B1101" s="21" t="s">
        <v>95</v>
      </c>
      <c r="C1101" s="21" t="s">
        <v>251</v>
      </c>
      <c r="D1101" s="21">
        <v>0.09</v>
      </c>
      <c r="E1101" s="21">
        <v>35.14</v>
      </c>
      <c r="F1101" s="21">
        <v>1204.52</v>
      </c>
      <c r="G1101" s="21">
        <v>342.78</v>
      </c>
    </row>
    <row r="1102" spans="1:7" ht="15" customHeight="1" x14ac:dyDescent="0.3">
      <c r="A1102" s="21" t="s">
        <v>104</v>
      </c>
      <c r="B1102" s="21" t="s">
        <v>95</v>
      </c>
      <c r="C1102" s="21" t="s">
        <v>275</v>
      </c>
      <c r="D1102" s="21">
        <v>0.08</v>
      </c>
      <c r="E1102" s="21">
        <v>30.96</v>
      </c>
      <c r="F1102" s="21">
        <v>1061.22</v>
      </c>
      <c r="G1102" s="21">
        <v>342.77</v>
      </c>
    </row>
    <row r="1103" spans="1:7" ht="15" customHeight="1" x14ac:dyDescent="0.3">
      <c r="A1103" s="21" t="s">
        <v>104</v>
      </c>
      <c r="B1103" s="21" t="s">
        <v>95</v>
      </c>
      <c r="C1103" s="21" t="s">
        <v>278</v>
      </c>
      <c r="D1103" s="21">
        <v>7.0000000000000007E-2</v>
      </c>
      <c r="E1103" s="21">
        <v>24.42</v>
      </c>
      <c r="F1103" s="21">
        <v>837.12</v>
      </c>
      <c r="G1103" s="21">
        <v>342.8</v>
      </c>
    </row>
    <row r="1104" spans="1:7" ht="15" customHeight="1" x14ac:dyDescent="0.3">
      <c r="A1104" s="21" t="s">
        <v>104</v>
      </c>
      <c r="B1104" s="21" t="s">
        <v>95</v>
      </c>
      <c r="C1104" s="21" t="s">
        <v>254</v>
      </c>
      <c r="D1104" s="21">
        <v>0.36</v>
      </c>
      <c r="E1104" s="21">
        <v>133.62</v>
      </c>
      <c r="F1104" s="21">
        <v>4580.33</v>
      </c>
      <c r="G1104" s="21">
        <v>342.79</v>
      </c>
    </row>
    <row r="1105" spans="1:7" ht="15" customHeight="1" x14ac:dyDescent="0.3">
      <c r="A1105" s="21" t="s">
        <v>104</v>
      </c>
      <c r="B1105" s="21" t="s">
        <v>95</v>
      </c>
      <c r="C1105" s="21" t="s">
        <v>277</v>
      </c>
      <c r="D1105" s="21">
        <v>0.26</v>
      </c>
      <c r="E1105" s="21">
        <v>95.59</v>
      </c>
      <c r="F1105" s="21">
        <v>3276.73</v>
      </c>
      <c r="G1105" s="21">
        <v>342.79</v>
      </c>
    </row>
    <row r="1106" spans="1:7" ht="15" customHeight="1" x14ac:dyDescent="0.3">
      <c r="A1106" s="21" t="s">
        <v>104</v>
      </c>
      <c r="B1106" s="21" t="s">
        <v>95</v>
      </c>
      <c r="C1106" s="21" t="s">
        <v>266</v>
      </c>
      <c r="D1106" s="21">
        <v>0.41</v>
      </c>
      <c r="E1106" s="21">
        <v>150.94</v>
      </c>
      <c r="F1106" s="21">
        <v>5174.13</v>
      </c>
      <c r="G1106" s="21">
        <v>342.79</v>
      </c>
    </row>
    <row r="1107" spans="1:7" ht="15" customHeight="1" x14ac:dyDescent="0.3">
      <c r="A1107" s="21" t="s">
        <v>104</v>
      </c>
      <c r="B1107" s="21" t="s">
        <v>95</v>
      </c>
      <c r="C1107" s="21" t="s">
        <v>269</v>
      </c>
      <c r="D1107" s="21">
        <v>0.03</v>
      </c>
      <c r="E1107" s="21">
        <v>11.18</v>
      </c>
      <c r="F1107" s="21">
        <v>383.16</v>
      </c>
      <c r="G1107" s="21">
        <v>342.72</v>
      </c>
    </row>
    <row r="1108" spans="1:7" ht="15" customHeight="1" x14ac:dyDescent="0.3">
      <c r="A1108" s="21" t="s">
        <v>104</v>
      </c>
      <c r="B1108" s="21" t="s">
        <v>95</v>
      </c>
      <c r="C1108" s="21" t="s">
        <v>249</v>
      </c>
      <c r="D1108" s="21">
        <v>0.05</v>
      </c>
      <c r="E1108" s="21">
        <v>18.11</v>
      </c>
      <c r="F1108" s="21">
        <v>620.76</v>
      </c>
      <c r="G1108" s="21">
        <v>342.77</v>
      </c>
    </row>
    <row r="1109" spans="1:7" ht="15" customHeight="1" x14ac:dyDescent="0.3">
      <c r="A1109" s="21" t="s">
        <v>104</v>
      </c>
      <c r="B1109" s="21" t="s">
        <v>95</v>
      </c>
      <c r="C1109" s="21" t="s">
        <v>258</v>
      </c>
      <c r="D1109" s="21">
        <v>0.06</v>
      </c>
      <c r="E1109" s="21">
        <v>21.41</v>
      </c>
      <c r="F1109" s="21">
        <v>733.84</v>
      </c>
      <c r="G1109" s="21">
        <v>342.76</v>
      </c>
    </row>
    <row r="1110" spans="1:7" ht="15" customHeight="1" x14ac:dyDescent="0.3">
      <c r="A1110" s="21" t="s">
        <v>104</v>
      </c>
      <c r="B1110" s="21" t="s">
        <v>95</v>
      </c>
      <c r="C1110" s="21" t="s">
        <v>270</v>
      </c>
      <c r="D1110" s="21">
        <v>0.01</v>
      </c>
      <c r="E1110" s="21">
        <v>3.96</v>
      </c>
      <c r="F1110" s="21">
        <v>135.72</v>
      </c>
      <c r="G1110" s="21">
        <v>342.73</v>
      </c>
    </row>
    <row r="1111" spans="1:7" ht="15" customHeight="1" x14ac:dyDescent="0.3">
      <c r="A1111" s="21" t="s">
        <v>106</v>
      </c>
      <c r="B1111" s="21" t="s">
        <v>88</v>
      </c>
      <c r="C1111" s="21" t="s">
        <v>243</v>
      </c>
      <c r="D1111" s="21">
        <v>15.96</v>
      </c>
      <c r="E1111" s="21">
        <v>6582.68</v>
      </c>
      <c r="F1111" s="21">
        <v>225368.48</v>
      </c>
      <c r="G1111" s="21">
        <v>342.37</v>
      </c>
    </row>
    <row r="1112" spans="1:7" ht="15" customHeight="1" x14ac:dyDescent="0.3">
      <c r="A1112" s="21" t="s">
        <v>106</v>
      </c>
      <c r="B1112" s="21" t="s">
        <v>88</v>
      </c>
      <c r="C1112" s="21" t="s">
        <v>244</v>
      </c>
      <c r="D1112" s="21">
        <v>12.28</v>
      </c>
      <c r="E1112" s="21">
        <v>5066.26</v>
      </c>
      <c r="F1112" s="21">
        <v>173451.39</v>
      </c>
      <c r="G1112" s="21">
        <v>342.37</v>
      </c>
    </row>
    <row r="1113" spans="1:7" ht="15" customHeight="1" x14ac:dyDescent="0.3">
      <c r="A1113" s="21" t="s">
        <v>106</v>
      </c>
      <c r="B1113" s="21" t="s">
        <v>88</v>
      </c>
      <c r="C1113" s="21" t="s">
        <v>245</v>
      </c>
      <c r="D1113" s="21">
        <v>8.23</v>
      </c>
      <c r="E1113" s="21">
        <v>3394.73</v>
      </c>
      <c r="F1113" s="21">
        <v>116223.86</v>
      </c>
      <c r="G1113" s="21">
        <v>342.37</v>
      </c>
    </row>
    <row r="1114" spans="1:7" ht="15" customHeight="1" x14ac:dyDescent="0.3">
      <c r="A1114" s="21" t="s">
        <v>106</v>
      </c>
      <c r="B1114" s="21" t="s">
        <v>88</v>
      </c>
      <c r="C1114" s="21" t="s">
        <v>246</v>
      </c>
      <c r="D1114" s="21">
        <v>7.34</v>
      </c>
      <c r="E1114" s="21">
        <v>3028.63</v>
      </c>
      <c r="F1114" s="21">
        <v>103690.06</v>
      </c>
      <c r="G1114" s="21">
        <v>342.37</v>
      </c>
    </row>
    <row r="1115" spans="1:7" ht="15" customHeight="1" x14ac:dyDescent="0.3">
      <c r="A1115" s="21" t="s">
        <v>106</v>
      </c>
      <c r="B1115" s="21" t="s">
        <v>88</v>
      </c>
      <c r="C1115" s="21" t="s">
        <v>247</v>
      </c>
      <c r="D1115" s="21">
        <v>6.45</v>
      </c>
      <c r="E1115" s="21">
        <v>2661.81</v>
      </c>
      <c r="F1115" s="21">
        <v>91131.27</v>
      </c>
      <c r="G1115" s="21">
        <v>342.37</v>
      </c>
    </row>
    <row r="1116" spans="1:7" ht="15" customHeight="1" x14ac:dyDescent="0.3">
      <c r="A1116" s="21" t="s">
        <v>106</v>
      </c>
      <c r="B1116" s="21" t="s">
        <v>88</v>
      </c>
      <c r="C1116" s="21" t="s">
        <v>248</v>
      </c>
      <c r="D1116" s="21">
        <v>6.14</v>
      </c>
      <c r="E1116" s="21">
        <v>2531.6</v>
      </c>
      <c r="F1116" s="21">
        <v>86673.279999999999</v>
      </c>
      <c r="G1116" s="21">
        <v>342.37</v>
      </c>
    </row>
    <row r="1117" spans="1:7" ht="15" customHeight="1" x14ac:dyDescent="0.3">
      <c r="A1117" s="21" t="s">
        <v>106</v>
      </c>
      <c r="B1117" s="21" t="s">
        <v>88</v>
      </c>
      <c r="C1117" s="21" t="s">
        <v>255</v>
      </c>
      <c r="D1117" s="21">
        <v>5.65</v>
      </c>
      <c r="E1117" s="21">
        <v>2328.59</v>
      </c>
      <c r="F1117" s="21">
        <v>79722.91</v>
      </c>
      <c r="G1117" s="21">
        <v>342.37</v>
      </c>
    </row>
    <row r="1118" spans="1:7" ht="15" customHeight="1" x14ac:dyDescent="0.3">
      <c r="A1118" s="21" t="s">
        <v>106</v>
      </c>
      <c r="B1118" s="21" t="s">
        <v>88</v>
      </c>
      <c r="C1118" s="21" t="s">
        <v>257</v>
      </c>
      <c r="D1118" s="21">
        <v>4.28</v>
      </c>
      <c r="E1118" s="21">
        <v>1764.06</v>
      </c>
      <c r="F1118" s="21">
        <v>60395.33</v>
      </c>
      <c r="G1118" s="21">
        <v>342.37</v>
      </c>
    </row>
    <row r="1119" spans="1:7" ht="15" customHeight="1" x14ac:dyDescent="0.3">
      <c r="A1119" s="21" t="s">
        <v>106</v>
      </c>
      <c r="B1119" s="21" t="s">
        <v>88</v>
      </c>
      <c r="C1119" s="21" t="s">
        <v>259</v>
      </c>
      <c r="D1119" s="21">
        <v>4.09</v>
      </c>
      <c r="E1119" s="21">
        <v>1686.35</v>
      </c>
      <c r="F1119" s="21">
        <v>57734.84</v>
      </c>
      <c r="G1119" s="21">
        <v>342.37</v>
      </c>
    </row>
    <row r="1120" spans="1:7" ht="15" customHeight="1" x14ac:dyDescent="0.3">
      <c r="A1120" s="21" t="s">
        <v>106</v>
      </c>
      <c r="B1120" s="21" t="s">
        <v>88</v>
      </c>
      <c r="C1120" s="21" t="s">
        <v>260</v>
      </c>
      <c r="D1120" s="21">
        <v>3.69</v>
      </c>
      <c r="E1120" s="21">
        <v>1523.21</v>
      </c>
      <c r="F1120" s="21">
        <v>52149.43</v>
      </c>
      <c r="G1120" s="21">
        <v>342.37</v>
      </c>
    </row>
    <row r="1121" spans="1:7" ht="15" customHeight="1" x14ac:dyDescent="0.3">
      <c r="A1121" s="21" t="s">
        <v>106</v>
      </c>
      <c r="B1121" s="21" t="s">
        <v>88</v>
      </c>
      <c r="C1121" s="21" t="s">
        <v>262</v>
      </c>
      <c r="D1121" s="21">
        <v>3.58</v>
      </c>
      <c r="E1121" s="21">
        <v>1478.1</v>
      </c>
      <c r="F1121" s="21">
        <v>50605.22</v>
      </c>
      <c r="G1121" s="21">
        <v>342.37</v>
      </c>
    </row>
    <row r="1122" spans="1:7" ht="15" customHeight="1" x14ac:dyDescent="0.3">
      <c r="A1122" s="21" t="s">
        <v>106</v>
      </c>
      <c r="B1122" s="21" t="s">
        <v>88</v>
      </c>
      <c r="C1122" s="21" t="s">
        <v>250</v>
      </c>
      <c r="D1122" s="21">
        <v>2.78</v>
      </c>
      <c r="E1122" s="21">
        <v>1146.57</v>
      </c>
      <c r="F1122" s="21">
        <v>39254.57</v>
      </c>
      <c r="G1122" s="21">
        <v>342.37</v>
      </c>
    </row>
    <row r="1123" spans="1:7" ht="15" customHeight="1" x14ac:dyDescent="0.3">
      <c r="A1123" s="21" t="s">
        <v>106</v>
      </c>
      <c r="B1123" s="21" t="s">
        <v>88</v>
      </c>
      <c r="C1123" s="21" t="s">
        <v>263</v>
      </c>
      <c r="D1123" s="21">
        <v>3.16</v>
      </c>
      <c r="E1123" s="21">
        <v>1301.98</v>
      </c>
      <c r="F1123" s="21">
        <v>44575.51</v>
      </c>
      <c r="G1123" s="21">
        <v>342.37</v>
      </c>
    </row>
    <row r="1124" spans="1:7" ht="15" customHeight="1" x14ac:dyDescent="0.3">
      <c r="A1124" s="21" t="s">
        <v>106</v>
      </c>
      <c r="B1124" s="21" t="s">
        <v>88</v>
      </c>
      <c r="C1124" s="21" t="s">
        <v>265</v>
      </c>
      <c r="D1124" s="21">
        <v>2.57</v>
      </c>
      <c r="E1124" s="21">
        <v>1058.45</v>
      </c>
      <c r="F1124" s="21">
        <v>36237.769999999997</v>
      </c>
      <c r="G1124" s="21">
        <v>342.37</v>
      </c>
    </row>
    <row r="1125" spans="1:7" ht="15" customHeight="1" x14ac:dyDescent="0.3">
      <c r="A1125" s="21" t="s">
        <v>106</v>
      </c>
      <c r="B1125" s="21" t="s">
        <v>88</v>
      </c>
      <c r="C1125" s="21" t="s">
        <v>253</v>
      </c>
      <c r="D1125" s="21">
        <v>2.2200000000000002</v>
      </c>
      <c r="E1125" s="21">
        <v>914.1</v>
      </c>
      <c r="F1125" s="21">
        <v>31295.68</v>
      </c>
      <c r="G1125" s="21">
        <v>342.37</v>
      </c>
    </row>
    <row r="1126" spans="1:7" ht="15" customHeight="1" x14ac:dyDescent="0.3">
      <c r="A1126" s="21" t="s">
        <v>106</v>
      </c>
      <c r="B1126" s="21" t="s">
        <v>88</v>
      </c>
      <c r="C1126" s="21" t="s">
        <v>268</v>
      </c>
      <c r="D1126" s="21">
        <v>1.91</v>
      </c>
      <c r="E1126" s="21">
        <v>786.23</v>
      </c>
      <c r="F1126" s="21">
        <v>26917.919999999998</v>
      </c>
      <c r="G1126" s="21">
        <v>342.37</v>
      </c>
    </row>
    <row r="1127" spans="1:7" ht="15" customHeight="1" x14ac:dyDescent="0.3">
      <c r="A1127" s="21" t="s">
        <v>106</v>
      </c>
      <c r="B1127" s="21" t="s">
        <v>88</v>
      </c>
      <c r="C1127" s="21" t="s">
        <v>252</v>
      </c>
      <c r="D1127" s="21">
        <v>1.34</v>
      </c>
      <c r="E1127" s="21">
        <v>552.91</v>
      </c>
      <c r="F1127" s="21">
        <v>18929.810000000001</v>
      </c>
      <c r="G1127" s="21">
        <v>342.37</v>
      </c>
    </row>
    <row r="1128" spans="1:7" ht="15" customHeight="1" x14ac:dyDescent="0.3">
      <c r="A1128" s="21" t="s">
        <v>106</v>
      </c>
      <c r="B1128" s="21" t="s">
        <v>88</v>
      </c>
      <c r="C1128" s="21" t="s">
        <v>267</v>
      </c>
      <c r="D1128" s="21">
        <v>1.04</v>
      </c>
      <c r="E1128" s="21">
        <v>430.39</v>
      </c>
      <c r="F1128" s="21">
        <v>14734.96</v>
      </c>
      <c r="G1128" s="21">
        <v>342.36</v>
      </c>
    </row>
    <row r="1129" spans="1:7" ht="15" customHeight="1" x14ac:dyDescent="0.3">
      <c r="A1129" s="21" t="s">
        <v>106</v>
      </c>
      <c r="B1129" s="21" t="s">
        <v>88</v>
      </c>
      <c r="C1129" s="21" t="s">
        <v>256</v>
      </c>
      <c r="D1129" s="21">
        <v>0.94</v>
      </c>
      <c r="E1129" s="21">
        <v>388.8</v>
      </c>
      <c r="F1129" s="21">
        <v>13311.06</v>
      </c>
      <c r="G1129" s="21">
        <v>342.36</v>
      </c>
    </row>
    <row r="1130" spans="1:7" ht="15" customHeight="1" x14ac:dyDescent="0.3">
      <c r="A1130" s="21" t="s">
        <v>106</v>
      </c>
      <c r="B1130" s="21" t="s">
        <v>88</v>
      </c>
      <c r="C1130" s="21" t="s">
        <v>271</v>
      </c>
      <c r="D1130" s="21">
        <v>0.81</v>
      </c>
      <c r="E1130" s="21">
        <v>332.1</v>
      </c>
      <c r="F1130" s="21">
        <v>11369.97</v>
      </c>
      <c r="G1130" s="21">
        <v>342.37</v>
      </c>
    </row>
    <row r="1131" spans="1:7" ht="15" customHeight="1" x14ac:dyDescent="0.3">
      <c r="A1131" s="21" t="s">
        <v>106</v>
      </c>
      <c r="B1131" s="21" t="s">
        <v>88</v>
      </c>
      <c r="C1131" s="21" t="s">
        <v>264</v>
      </c>
      <c r="D1131" s="21">
        <v>0.6</v>
      </c>
      <c r="E1131" s="21">
        <v>245.71</v>
      </c>
      <c r="F1131" s="21">
        <v>8412.17</v>
      </c>
      <c r="G1131" s="21">
        <v>342.36</v>
      </c>
    </row>
    <row r="1132" spans="1:7" ht="15" customHeight="1" x14ac:dyDescent="0.3">
      <c r="A1132" s="21" t="s">
        <v>106</v>
      </c>
      <c r="B1132" s="21" t="s">
        <v>88</v>
      </c>
      <c r="C1132" s="21" t="s">
        <v>261</v>
      </c>
      <c r="D1132" s="21">
        <v>0.49</v>
      </c>
      <c r="E1132" s="21">
        <v>201.31</v>
      </c>
      <c r="F1132" s="21">
        <v>6892.14</v>
      </c>
      <c r="G1132" s="21">
        <v>342.36</v>
      </c>
    </row>
    <row r="1133" spans="1:7" ht="15" customHeight="1" x14ac:dyDescent="0.3">
      <c r="A1133" s="21" t="s">
        <v>106</v>
      </c>
      <c r="B1133" s="21" t="s">
        <v>88</v>
      </c>
      <c r="C1133" s="21" t="s">
        <v>273</v>
      </c>
      <c r="D1133" s="21">
        <v>0.28999999999999998</v>
      </c>
      <c r="E1133" s="21">
        <v>118.62</v>
      </c>
      <c r="F1133" s="21">
        <v>4061.09</v>
      </c>
      <c r="G1133" s="21">
        <v>342.36</v>
      </c>
    </row>
    <row r="1134" spans="1:7" ht="15" customHeight="1" x14ac:dyDescent="0.3">
      <c r="A1134" s="21" t="s">
        <v>106</v>
      </c>
      <c r="B1134" s="21" t="s">
        <v>88</v>
      </c>
      <c r="C1134" s="21" t="s">
        <v>274</v>
      </c>
      <c r="D1134" s="21">
        <v>0.19</v>
      </c>
      <c r="E1134" s="21">
        <v>79.650000000000006</v>
      </c>
      <c r="F1134" s="21">
        <v>2727.03</v>
      </c>
      <c r="G1134" s="21">
        <v>342.38</v>
      </c>
    </row>
    <row r="1135" spans="1:7" ht="15" customHeight="1" x14ac:dyDescent="0.3">
      <c r="A1135" s="21" t="s">
        <v>106</v>
      </c>
      <c r="B1135" s="21" t="s">
        <v>88</v>
      </c>
      <c r="C1135" s="21" t="s">
        <v>272</v>
      </c>
      <c r="D1135" s="21">
        <v>0.14000000000000001</v>
      </c>
      <c r="E1135" s="21">
        <v>57.69</v>
      </c>
      <c r="F1135" s="21">
        <v>1975</v>
      </c>
      <c r="G1135" s="21">
        <v>342.35</v>
      </c>
    </row>
    <row r="1136" spans="1:7" ht="15" customHeight="1" x14ac:dyDescent="0.3">
      <c r="A1136" s="21" t="s">
        <v>106</v>
      </c>
      <c r="B1136" s="21" t="s">
        <v>88</v>
      </c>
      <c r="C1136" s="21" t="s">
        <v>276</v>
      </c>
      <c r="D1136" s="21">
        <v>0.12</v>
      </c>
      <c r="E1136" s="21">
        <v>49.3</v>
      </c>
      <c r="F1136" s="21">
        <v>1688</v>
      </c>
      <c r="G1136" s="21">
        <v>342.39</v>
      </c>
    </row>
    <row r="1137" spans="1:7" ht="15" customHeight="1" x14ac:dyDescent="0.3">
      <c r="A1137" s="21" t="s">
        <v>106</v>
      </c>
      <c r="B1137" s="21" t="s">
        <v>88</v>
      </c>
      <c r="C1137" s="21" t="s">
        <v>251</v>
      </c>
      <c r="D1137" s="21">
        <v>0.09</v>
      </c>
      <c r="E1137" s="21">
        <v>37.770000000000003</v>
      </c>
      <c r="F1137" s="21">
        <v>1293.08</v>
      </c>
      <c r="G1137" s="21">
        <v>342.36</v>
      </c>
    </row>
    <row r="1138" spans="1:7" ht="15" customHeight="1" x14ac:dyDescent="0.3">
      <c r="A1138" s="21" t="s">
        <v>106</v>
      </c>
      <c r="B1138" s="21" t="s">
        <v>88</v>
      </c>
      <c r="C1138" s="21" t="s">
        <v>275</v>
      </c>
      <c r="D1138" s="21">
        <v>0.08</v>
      </c>
      <c r="E1138" s="21">
        <v>33.31</v>
      </c>
      <c r="F1138" s="21">
        <v>1140.4000000000001</v>
      </c>
      <c r="G1138" s="21">
        <v>342.36</v>
      </c>
    </row>
    <row r="1139" spans="1:7" ht="15" customHeight="1" x14ac:dyDescent="0.3">
      <c r="A1139" s="21" t="s">
        <v>106</v>
      </c>
      <c r="B1139" s="21" t="s">
        <v>88</v>
      </c>
      <c r="C1139" s="21" t="s">
        <v>278</v>
      </c>
      <c r="D1139" s="21">
        <v>7.0000000000000007E-2</v>
      </c>
      <c r="E1139" s="21">
        <v>28.82</v>
      </c>
      <c r="F1139" s="21">
        <v>986.62</v>
      </c>
      <c r="G1139" s="21">
        <v>342.34</v>
      </c>
    </row>
    <row r="1140" spans="1:7" ht="15" customHeight="1" x14ac:dyDescent="0.3">
      <c r="A1140" s="21" t="s">
        <v>106</v>
      </c>
      <c r="B1140" s="21" t="s">
        <v>88</v>
      </c>
      <c r="C1140" s="21" t="s">
        <v>254</v>
      </c>
      <c r="D1140" s="21">
        <v>0.35</v>
      </c>
      <c r="E1140" s="21">
        <v>145.41</v>
      </c>
      <c r="F1140" s="21">
        <v>4978.38</v>
      </c>
      <c r="G1140" s="21">
        <v>342.37</v>
      </c>
    </row>
    <row r="1141" spans="1:7" ht="15" customHeight="1" x14ac:dyDescent="0.3">
      <c r="A1141" s="21" t="s">
        <v>106</v>
      </c>
      <c r="B1141" s="21" t="s">
        <v>88</v>
      </c>
      <c r="C1141" s="21" t="s">
        <v>277</v>
      </c>
      <c r="D1141" s="21">
        <v>0.24</v>
      </c>
      <c r="E1141" s="21">
        <v>100.42</v>
      </c>
      <c r="F1141" s="21">
        <v>3437.89</v>
      </c>
      <c r="G1141" s="21">
        <v>342.35</v>
      </c>
    </row>
    <row r="1142" spans="1:7" ht="15" customHeight="1" x14ac:dyDescent="0.3">
      <c r="A1142" s="21" t="s">
        <v>106</v>
      </c>
      <c r="B1142" s="21" t="s">
        <v>88</v>
      </c>
      <c r="C1142" s="21" t="s">
        <v>266</v>
      </c>
      <c r="D1142" s="21">
        <v>0.52</v>
      </c>
      <c r="E1142" s="21">
        <v>214.15</v>
      </c>
      <c r="F1142" s="21">
        <v>7331.62</v>
      </c>
      <c r="G1142" s="21">
        <v>342.36</v>
      </c>
    </row>
    <row r="1143" spans="1:7" ht="15" customHeight="1" x14ac:dyDescent="0.3">
      <c r="A1143" s="21" t="s">
        <v>106</v>
      </c>
      <c r="B1143" s="21" t="s">
        <v>88</v>
      </c>
      <c r="C1143" s="21" t="s">
        <v>269</v>
      </c>
      <c r="D1143" s="21">
        <v>0.03</v>
      </c>
      <c r="E1143" s="21">
        <v>13.21</v>
      </c>
      <c r="F1143" s="21">
        <v>452.41</v>
      </c>
      <c r="G1143" s="21">
        <v>342.48</v>
      </c>
    </row>
    <row r="1144" spans="1:7" ht="15" customHeight="1" x14ac:dyDescent="0.3">
      <c r="A1144" s="21" t="s">
        <v>106</v>
      </c>
      <c r="B1144" s="21" t="s">
        <v>88</v>
      </c>
      <c r="C1144" s="21" t="s">
        <v>249</v>
      </c>
      <c r="D1144" s="21">
        <v>0.05</v>
      </c>
      <c r="E1144" s="21">
        <v>19.34</v>
      </c>
      <c r="F1144" s="21">
        <v>662.08</v>
      </c>
      <c r="G1144" s="21">
        <v>342.34</v>
      </c>
    </row>
    <row r="1145" spans="1:7" ht="15" customHeight="1" x14ac:dyDescent="0.3">
      <c r="A1145" s="21" t="s">
        <v>106</v>
      </c>
      <c r="B1145" s="21" t="s">
        <v>88</v>
      </c>
      <c r="C1145" s="21" t="s">
        <v>258</v>
      </c>
      <c r="D1145" s="21">
        <v>0.06</v>
      </c>
      <c r="E1145" s="21">
        <v>25.03</v>
      </c>
      <c r="F1145" s="21">
        <v>857.08</v>
      </c>
      <c r="G1145" s="21">
        <v>342.42</v>
      </c>
    </row>
    <row r="1146" spans="1:7" ht="15" customHeight="1" x14ac:dyDescent="0.3">
      <c r="A1146" s="21" t="s">
        <v>106</v>
      </c>
      <c r="B1146" s="21" t="s">
        <v>88</v>
      </c>
      <c r="C1146" s="21" t="s">
        <v>270</v>
      </c>
      <c r="D1146" s="21">
        <v>0.01</v>
      </c>
      <c r="E1146" s="21">
        <v>4.12</v>
      </c>
      <c r="F1146" s="21">
        <v>141.19999999999999</v>
      </c>
      <c r="G1146" s="21">
        <v>342.72</v>
      </c>
    </row>
    <row r="1147" spans="1:7" ht="15" customHeight="1" x14ac:dyDescent="0.3">
      <c r="A1147" s="21" t="s">
        <v>106</v>
      </c>
      <c r="B1147" s="21" t="s">
        <v>87</v>
      </c>
      <c r="C1147" s="21" t="s">
        <v>243</v>
      </c>
      <c r="D1147" s="21">
        <v>15.66</v>
      </c>
      <c r="E1147" s="21">
        <v>6973.35</v>
      </c>
      <c r="F1147" s="21">
        <v>238487.23</v>
      </c>
      <c r="G1147" s="21">
        <v>342</v>
      </c>
    </row>
    <row r="1148" spans="1:7" ht="15" customHeight="1" x14ac:dyDescent="0.3">
      <c r="A1148" s="21" t="s">
        <v>106</v>
      </c>
      <c r="B1148" s="21" t="s">
        <v>87</v>
      </c>
      <c r="C1148" s="21" t="s">
        <v>244</v>
      </c>
      <c r="D1148" s="21">
        <v>11.94</v>
      </c>
      <c r="E1148" s="21">
        <v>5316.86</v>
      </c>
      <c r="F1148" s="21">
        <v>181835.47</v>
      </c>
      <c r="G1148" s="21">
        <v>342</v>
      </c>
    </row>
    <row r="1149" spans="1:7" ht="15" customHeight="1" x14ac:dyDescent="0.3">
      <c r="A1149" s="21" t="s">
        <v>106</v>
      </c>
      <c r="B1149" s="21" t="s">
        <v>87</v>
      </c>
      <c r="C1149" s="21" t="s">
        <v>245</v>
      </c>
      <c r="D1149" s="21">
        <v>8.3800000000000008</v>
      </c>
      <c r="E1149" s="21">
        <v>3729.62</v>
      </c>
      <c r="F1149" s="21">
        <v>127552.22</v>
      </c>
      <c r="G1149" s="21">
        <v>342</v>
      </c>
    </row>
    <row r="1150" spans="1:7" ht="15" customHeight="1" x14ac:dyDescent="0.3">
      <c r="A1150" s="21" t="s">
        <v>106</v>
      </c>
      <c r="B1150" s="21" t="s">
        <v>87</v>
      </c>
      <c r="C1150" s="21" t="s">
        <v>246</v>
      </c>
      <c r="D1150" s="21">
        <v>6.86</v>
      </c>
      <c r="E1150" s="21">
        <v>3053.3</v>
      </c>
      <c r="F1150" s="21">
        <v>104422.27</v>
      </c>
      <c r="G1150" s="21">
        <v>342</v>
      </c>
    </row>
    <row r="1151" spans="1:7" ht="15" customHeight="1" x14ac:dyDescent="0.3">
      <c r="A1151" s="21" t="s">
        <v>106</v>
      </c>
      <c r="B1151" s="21" t="s">
        <v>87</v>
      </c>
      <c r="C1151" s="21" t="s">
        <v>247</v>
      </c>
      <c r="D1151" s="21">
        <v>6.81</v>
      </c>
      <c r="E1151" s="21">
        <v>3033.9</v>
      </c>
      <c r="F1151" s="21">
        <v>103758.92</v>
      </c>
      <c r="G1151" s="21">
        <v>342</v>
      </c>
    </row>
    <row r="1152" spans="1:7" ht="15" customHeight="1" x14ac:dyDescent="0.3">
      <c r="A1152" s="21" t="s">
        <v>106</v>
      </c>
      <c r="B1152" s="21" t="s">
        <v>87</v>
      </c>
      <c r="C1152" s="21" t="s">
        <v>248</v>
      </c>
      <c r="D1152" s="21">
        <v>6.09</v>
      </c>
      <c r="E1152" s="21">
        <v>2710.53</v>
      </c>
      <c r="F1152" s="21">
        <v>92699.49</v>
      </c>
      <c r="G1152" s="21">
        <v>342</v>
      </c>
    </row>
    <row r="1153" spans="1:7" ht="15" customHeight="1" x14ac:dyDescent="0.3">
      <c r="A1153" s="21" t="s">
        <v>106</v>
      </c>
      <c r="B1153" s="21" t="s">
        <v>87</v>
      </c>
      <c r="C1153" s="21" t="s">
        <v>255</v>
      </c>
      <c r="D1153" s="21">
        <v>5.88</v>
      </c>
      <c r="E1153" s="21">
        <v>2616.87</v>
      </c>
      <c r="F1153" s="21">
        <v>89496.37</v>
      </c>
      <c r="G1153" s="21">
        <v>342</v>
      </c>
    </row>
    <row r="1154" spans="1:7" ht="15" customHeight="1" x14ac:dyDescent="0.3">
      <c r="A1154" s="21" t="s">
        <v>106</v>
      </c>
      <c r="B1154" s="21" t="s">
        <v>87</v>
      </c>
      <c r="C1154" s="21" t="s">
        <v>257</v>
      </c>
      <c r="D1154" s="21">
        <v>4.5999999999999996</v>
      </c>
      <c r="E1154" s="21">
        <v>2045.93</v>
      </c>
      <c r="F1154" s="21">
        <v>69970.429999999993</v>
      </c>
      <c r="G1154" s="21">
        <v>342</v>
      </c>
    </row>
    <row r="1155" spans="1:7" ht="15" customHeight="1" x14ac:dyDescent="0.3">
      <c r="A1155" s="21" t="s">
        <v>106</v>
      </c>
      <c r="B1155" s="21" t="s">
        <v>87</v>
      </c>
      <c r="C1155" s="21" t="s">
        <v>259</v>
      </c>
      <c r="D1155" s="21">
        <v>4.3</v>
      </c>
      <c r="E1155" s="21">
        <v>1914.33</v>
      </c>
      <c r="F1155" s="21">
        <v>65469.59</v>
      </c>
      <c r="G1155" s="21">
        <v>342</v>
      </c>
    </row>
    <row r="1156" spans="1:7" ht="15" customHeight="1" x14ac:dyDescent="0.3">
      <c r="A1156" s="21" t="s">
        <v>106</v>
      </c>
      <c r="B1156" s="21" t="s">
        <v>87</v>
      </c>
      <c r="C1156" s="21" t="s">
        <v>260</v>
      </c>
      <c r="D1156" s="21">
        <v>3.92</v>
      </c>
      <c r="E1156" s="21">
        <v>1745.3</v>
      </c>
      <c r="F1156" s="21">
        <v>59688.84</v>
      </c>
      <c r="G1156" s="21">
        <v>342</v>
      </c>
    </row>
    <row r="1157" spans="1:7" ht="15" customHeight="1" x14ac:dyDescent="0.3">
      <c r="A1157" s="21" t="s">
        <v>106</v>
      </c>
      <c r="B1157" s="21" t="s">
        <v>87</v>
      </c>
      <c r="C1157" s="21" t="s">
        <v>262</v>
      </c>
      <c r="D1157" s="21">
        <v>3.42</v>
      </c>
      <c r="E1157" s="21">
        <v>1521.29</v>
      </c>
      <c r="F1157" s="21">
        <v>52027.87</v>
      </c>
      <c r="G1157" s="21">
        <v>342</v>
      </c>
    </row>
    <row r="1158" spans="1:7" ht="15" customHeight="1" x14ac:dyDescent="0.3">
      <c r="A1158" s="21" t="s">
        <v>106</v>
      </c>
      <c r="B1158" s="21" t="s">
        <v>87</v>
      </c>
      <c r="C1158" s="21" t="s">
        <v>250</v>
      </c>
      <c r="D1158" s="21">
        <v>3.08</v>
      </c>
      <c r="E1158" s="21">
        <v>1369.7</v>
      </c>
      <c r="F1158" s="21">
        <v>46843.35</v>
      </c>
      <c r="G1158" s="21">
        <v>342</v>
      </c>
    </row>
    <row r="1159" spans="1:7" ht="15" customHeight="1" x14ac:dyDescent="0.3">
      <c r="A1159" s="21" t="s">
        <v>106</v>
      </c>
      <c r="B1159" s="21" t="s">
        <v>87</v>
      </c>
      <c r="C1159" s="21" t="s">
        <v>263</v>
      </c>
      <c r="D1159" s="21">
        <v>3.03</v>
      </c>
      <c r="E1159" s="21">
        <v>1346.91</v>
      </c>
      <c r="F1159" s="21">
        <v>46064.02</v>
      </c>
      <c r="G1159" s="21">
        <v>342</v>
      </c>
    </row>
    <row r="1160" spans="1:7" ht="15" customHeight="1" x14ac:dyDescent="0.3">
      <c r="A1160" s="21" t="s">
        <v>106</v>
      </c>
      <c r="B1160" s="21" t="s">
        <v>87</v>
      </c>
      <c r="C1160" s="21" t="s">
        <v>265</v>
      </c>
      <c r="D1160" s="21">
        <v>2.5299999999999998</v>
      </c>
      <c r="E1160" s="21">
        <v>1125.69</v>
      </c>
      <c r="F1160" s="21">
        <v>38498.230000000003</v>
      </c>
      <c r="G1160" s="21">
        <v>342</v>
      </c>
    </row>
    <row r="1161" spans="1:7" ht="15" customHeight="1" x14ac:dyDescent="0.3">
      <c r="A1161" s="21" t="s">
        <v>106</v>
      </c>
      <c r="B1161" s="21" t="s">
        <v>87</v>
      </c>
      <c r="C1161" s="21" t="s">
        <v>253</v>
      </c>
      <c r="D1161" s="21">
        <v>2.27</v>
      </c>
      <c r="E1161" s="21">
        <v>1010.61</v>
      </c>
      <c r="F1161" s="21">
        <v>34562.58</v>
      </c>
      <c r="G1161" s="21">
        <v>342</v>
      </c>
    </row>
    <row r="1162" spans="1:7" ht="15" customHeight="1" x14ac:dyDescent="0.3">
      <c r="A1162" s="21" t="s">
        <v>106</v>
      </c>
      <c r="B1162" s="21" t="s">
        <v>87</v>
      </c>
      <c r="C1162" s="21" t="s">
        <v>268</v>
      </c>
      <c r="D1162" s="21">
        <v>1.73</v>
      </c>
      <c r="E1162" s="21">
        <v>768.44</v>
      </c>
      <c r="F1162" s="21">
        <v>26280.45</v>
      </c>
      <c r="G1162" s="21">
        <v>342</v>
      </c>
    </row>
    <row r="1163" spans="1:7" ht="15" customHeight="1" x14ac:dyDescent="0.3">
      <c r="A1163" s="21" t="s">
        <v>106</v>
      </c>
      <c r="B1163" s="21" t="s">
        <v>87</v>
      </c>
      <c r="C1163" s="21" t="s">
        <v>252</v>
      </c>
      <c r="D1163" s="21">
        <v>1.1299999999999999</v>
      </c>
      <c r="E1163" s="21">
        <v>501.68</v>
      </c>
      <c r="F1163" s="21">
        <v>17157.419999999998</v>
      </c>
      <c r="G1163" s="21">
        <v>342</v>
      </c>
    </row>
    <row r="1164" spans="1:7" ht="15" customHeight="1" x14ac:dyDescent="0.3">
      <c r="A1164" s="21" t="s">
        <v>106</v>
      </c>
      <c r="B1164" s="21" t="s">
        <v>87</v>
      </c>
      <c r="C1164" s="21" t="s">
        <v>267</v>
      </c>
      <c r="D1164" s="21">
        <v>0.97</v>
      </c>
      <c r="E1164" s="21">
        <v>432.53</v>
      </c>
      <c r="F1164" s="21">
        <v>14792.58</v>
      </c>
      <c r="G1164" s="21">
        <v>342</v>
      </c>
    </row>
    <row r="1165" spans="1:7" ht="15" customHeight="1" x14ac:dyDescent="0.3">
      <c r="A1165" s="21" t="s">
        <v>106</v>
      </c>
      <c r="B1165" s="21" t="s">
        <v>87</v>
      </c>
      <c r="C1165" s="21" t="s">
        <v>256</v>
      </c>
      <c r="D1165" s="21">
        <v>0.89</v>
      </c>
      <c r="E1165" s="21">
        <v>398.2</v>
      </c>
      <c r="F1165" s="21">
        <v>13618.51</v>
      </c>
      <c r="G1165" s="21">
        <v>342</v>
      </c>
    </row>
    <row r="1166" spans="1:7" ht="15" customHeight="1" x14ac:dyDescent="0.3">
      <c r="A1166" s="21" t="s">
        <v>106</v>
      </c>
      <c r="B1166" s="21" t="s">
        <v>87</v>
      </c>
      <c r="C1166" s="21" t="s">
        <v>271</v>
      </c>
      <c r="D1166" s="21">
        <v>0.76</v>
      </c>
      <c r="E1166" s="21">
        <v>337.22</v>
      </c>
      <c r="F1166" s="21">
        <v>11532.72</v>
      </c>
      <c r="G1166" s="21">
        <v>341.99</v>
      </c>
    </row>
    <row r="1167" spans="1:7" ht="15" customHeight="1" x14ac:dyDescent="0.3">
      <c r="A1167" s="21" t="s">
        <v>106</v>
      </c>
      <c r="B1167" s="21" t="s">
        <v>87</v>
      </c>
      <c r="C1167" s="21" t="s">
        <v>264</v>
      </c>
      <c r="D1167" s="21">
        <v>0.6</v>
      </c>
      <c r="E1167" s="21">
        <v>266.99</v>
      </c>
      <c r="F1167" s="21">
        <v>9131.16</v>
      </c>
      <c r="G1167" s="21">
        <v>342</v>
      </c>
    </row>
    <row r="1168" spans="1:7" ht="15" customHeight="1" x14ac:dyDescent="0.3">
      <c r="A1168" s="21" t="s">
        <v>106</v>
      </c>
      <c r="B1168" s="21" t="s">
        <v>87</v>
      </c>
      <c r="C1168" s="21" t="s">
        <v>261</v>
      </c>
      <c r="D1168" s="21">
        <v>0.46</v>
      </c>
      <c r="E1168" s="21">
        <v>203.81</v>
      </c>
      <c r="F1168" s="21">
        <v>6970.32</v>
      </c>
      <c r="G1168" s="21">
        <v>342</v>
      </c>
    </row>
    <row r="1169" spans="1:7" ht="15" customHeight="1" x14ac:dyDescent="0.3">
      <c r="A1169" s="21" t="s">
        <v>106</v>
      </c>
      <c r="B1169" s="21" t="s">
        <v>87</v>
      </c>
      <c r="C1169" s="21" t="s">
        <v>273</v>
      </c>
      <c r="D1169" s="21">
        <v>0.28000000000000003</v>
      </c>
      <c r="E1169" s="21">
        <v>126.08</v>
      </c>
      <c r="F1169" s="21">
        <v>4312.0200000000004</v>
      </c>
      <c r="G1169" s="21">
        <v>342.01</v>
      </c>
    </row>
    <row r="1170" spans="1:7" ht="15" customHeight="1" x14ac:dyDescent="0.3">
      <c r="A1170" s="21" t="s">
        <v>106</v>
      </c>
      <c r="B1170" s="21" t="s">
        <v>87</v>
      </c>
      <c r="C1170" s="21" t="s">
        <v>274</v>
      </c>
      <c r="D1170" s="21">
        <v>0.21</v>
      </c>
      <c r="E1170" s="21">
        <v>92.03</v>
      </c>
      <c r="F1170" s="21">
        <v>3147.37</v>
      </c>
      <c r="G1170" s="21">
        <v>341.99</v>
      </c>
    </row>
    <row r="1171" spans="1:7" ht="15" customHeight="1" x14ac:dyDescent="0.3">
      <c r="A1171" s="21" t="s">
        <v>106</v>
      </c>
      <c r="B1171" s="21" t="s">
        <v>87</v>
      </c>
      <c r="C1171" s="21" t="s">
        <v>272</v>
      </c>
      <c r="D1171" s="21">
        <v>0.15</v>
      </c>
      <c r="E1171" s="21">
        <v>68.8</v>
      </c>
      <c r="F1171" s="21">
        <v>2352.87</v>
      </c>
      <c r="G1171" s="21">
        <v>341.99</v>
      </c>
    </row>
    <row r="1172" spans="1:7" ht="15" customHeight="1" x14ac:dyDescent="0.3">
      <c r="A1172" s="21" t="s">
        <v>106</v>
      </c>
      <c r="B1172" s="21" t="s">
        <v>87</v>
      </c>
      <c r="C1172" s="21" t="s">
        <v>276</v>
      </c>
      <c r="D1172" s="21">
        <v>0.12</v>
      </c>
      <c r="E1172" s="21">
        <v>52.38</v>
      </c>
      <c r="F1172" s="21">
        <v>1791.33</v>
      </c>
      <c r="G1172" s="21">
        <v>341.99</v>
      </c>
    </row>
    <row r="1173" spans="1:7" ht="15" customHeight="1" x14ac:dyDescent="0.3">
      <c r="A1173" s="21" t="s">
        <v>106</v>
      </c>
      <c r="B1173" s="21" t="s">
        <v>87</v>
      </c>
      <c r="C1173" s="21" t="s">
        <v>251</v>
      </c>
      <c r="D1173" s="21">
        <v>0.09</v>
      </c>
      <c r="E1173" s="21">
        <v>42.26</v>
      </c>
      <c r="F1173" s="21">
        <v>1445.13</v>
      </c>
      <c r="G1173" s="21">
        <v>341.96</v>
      </c>
    </row>
    <row r="1174" spans="1:7" ht="15" customHeight="1" x14ac:dyDescent="0.3">
      <c r="A1174" s="21" t="s">
        <v>106</v>
      </c>
      <c r="B1174" s="21" t="s">
        <v>87</v>
      </c>
      <c r="C1174" s="21" t="s">
        <v>275</v>
      </c>
      <c r="D1174" s="21">
        <v>0.08</v>
      </c>
      <c r="E1174" s="21">
        <v>33.79</v>
      </c>
      <c r="F1174" s="21">
        <v>1155.51</v>
      </c>
      <c r="G1174" s="21">
        <v>341.97</v>
      </c>
    </row>
    <row r="1175" spans="1:7" ht="15" customHeight="1" x14ac:dyDescent="0.3">
      <c r="A1175" s="21" t="s">
        <v>106</v>
      </c>
      <c r="B1175" s="21" t="s">
        <v>87</v>
      </c>
      <c r="C1175" s="21" t="s">
        <v>278</v>
      </c>
      <c r="D1175" s="21">
        <v>7.0000000000000007E-2</v>
      </c>
      <c r="E1175" s="21">
        <v>30.58</v>
      </c>
      <c r="F1175" s="21">
        <v>1045.94</v>
      </c>
      <c r="G1175" s="21">
        <v>342.03</v>
      </c>
    </row>
    <row r="1176" spans="1:7" ht="15" customHeight="1" x14ac:dyDescent="0.3">
      <c r="A1176" s="21" t="s">
        <v>106</v>
      </c>
      <c r="B1176" s="21" t="s">
        <v>87</v>
      </c>
      <c r="C1176" s="21" t="s">
        <v>254</v>
      </c>
      <c r="D1176" s="21">
        <v>0.36</v>
      </c>
      <c r="E1176" s="21">
        <v>160.85</v>
      </c>
      <c r="F1176" s="21">
        <v>5500.87</v>
      </c>
      <c r="G1176" s="21">
        <v>341.99</v>
      </c>
    </row>
    <row r="1177" spans="1:7" ht="15" customHeight="1" x14ac:dyDescent="0.3">
      <c r="A1177" s="21" t="s">
        <v>106</v>
      </c>
      <c r="B1177" s="21" t="s">
        <v>87</v>
      </c>
      <c r="C1177" s="21" t="s">
        <v>277</v>
      </c>
      <c r="D1177" s="21">
        <v>0.26</v>
      </c>
      <c r="E1177" s="21">
        <v>116.47</v>
      </c>
      <c r="F1177" s="21">
        <v>3983.19</v>
      </c>
      <c r="G1177" s="21">
        <v>341.99</v>
      </c>
    </row>
    <row r="1178" spans="1:7" ht="15" customHeight="1" x14ac:dyDescent="0.3">
      <c r="A1178" s="21" t="s">
        <v>106</v>
      </c>
      <c r="B1178" s="21" t="s">
        <v>87</v>
      </c>
      <c r="C1178" s="21" t="s">
        <v>266</v>
      </c>
      <c r="D1178" s="21">
        <v>0.44</v>
      </c>
      <c r="E1178" s="21">
        <v>195.37</v>
      </c>
      <c r="F1178" s="21">
        <v>6681.64</v>
      </c>
      <c r="G1178" s="21">
        <v>342</v>
      </c>
    </row>
    <row r="1179" spans="1:7" ht="15" customHeight="1" x14ac:dyDescent="0.3">
      <c r="A1179" s="21" t="s">
        <v>106</v>
      </c>
      <c r="B1179" s="21" t="s">
        <v>87</v>
      </c>
      <c r="C1179" s="21" t="s">
        <v>269</v>
      </c>
      <c r="D1179" s="21">
        <v>0.03</v>
      </c>
      <c r="E1179" s="21">
        <v>12.59</v>
      </c>
      <c r="F1179" s="21">
        <v>430.44</v>
      </c>
      <c r="G1179" s="21">
        <v>341.89</v>
      </c>
    </row>
    <row r="1180" spans="1:7" ht="15" customHeight="1" x14ac:dyDescent="0.3">
      <c r="A1180" s="21" t="s">
        <v>106</v>
      </c>
      <c r="B1180" s="21" t="s">
        <v>87</v>
      </c>
      <c r="C1180" s="21" t="s">
        <v>249</v>
      </c>
      <c r="D1180" s="21">
        <v>0.05</v>
      </c>
      <c r="E1180" s="21">
        <v>22.56</v>
      </c>
      <c r="F1180" s="21">
        <v>771.5</v>
      </c>
      <c r="G1180" s="21">
        <v>341.98</v>
      </c>
    </row>
    <row r="1181" spans="1:7" ht="15" customHeight="1" x14ac:dyDescent="0.3">
      <c r="A1181" s="21" t="s">
        <v>106</v>
      </c>
      <c r="B1181" s="21" t="s">
        <v>87</v>
      </c>
      <c r="C1181" s="21" t="s">
        <v>258</v>
      </c>
      <c r="D1181" s="21">
        <v>0.06</v>
      </c>
      <c r="E1181" s="21">
        <v>25.61</v>
      </c>
      <c r="F1181" s="21">
        <v>875.95</v>
      </c>
      <c r="G1181" s="21">
        <v>342.03</v>
      </c>
    </row>
    <row r="1182" spans="1:7" ht="15" customHeight="1" x14ac:dyDescent="0.3">
      <c r="A1182" s="21" t="s">
        <v>106</v>
      </c>
      <c r="B1182" s="21" t="s">
        <v>87</v>
      </c>
      <c r="C1182" s="21" t="s">
        <v>270</v>
      </c>
      <c r="D1182" s="21">
        <v>0.01</v>
      </c>
      <c r="E1182" s="21">
        <v>4.45</v>
      </c>
      <c r="F1182" s="21">
        <v>152.26</v>
      </c>
      <c r="G1182" s="21">
        <v>342.16</v>
      </c>
    </row>
    <row r="1183" spans="1:7" ht="15" customHeight="1" x14ac:dyDescent="0.3">
      <c r="A1183" s="21" t="s">
        <v>106</v>
      </c>
      <c r="B1183" s="21" t="s">
        <v>92</v>
      </c>
      <c r="C1183" s="21" t="s">
        <v>243</v>
      </c>
      <c r="D1183" s="21">
        <v>17.59</v>
      </c>
      <c r="E1183" s="21">
        <v>8585.2000000000007</v>
      </c>
      <c r="F1183" s="21">
        <v>293911.03000000003</v>
      </c>
      <c r="G1183" s="21">
        <v>342.35</v>
      </c>
    </row>
    <row r="1184" spans="1:7" ht="15" customHeight="1" x14ac:dyDescent="0.3">
      <c r="A1184" s="21" t="s">
        <v>106</v>
      </c>
      <c r="B1184" s="21" t="s">
        <v>92</v>
      </c>
      <c r="C1184" s="21" t="s">
        <v>244</v>
      </c>
      <c r="D1184" s="21">
        <v>13.33</v>
      </c>
      <c r="E1184" s="21">
        <v>6504.46</v>
      </c>
      <c r="F1184" s="21">
        <v>222677.52</v>
      </c>
      <c r="G1184" s="21">
        <v>342.35</v>
      </c>
    </row>
    <row r="1185" spans="1:7" ht="15" customHeight="1" x14ac:dyDescent="0.3">
      <c r="A1185" s="21" t="s">
        <v>106</v>
      </c>
      <c r="B1185" s="21" t="s">
        <v>92</v>
      </c>
      <c r="C1185" s="21" t="s">
        <v>245</v>
      </c>
      <c r="D1185" s="21">
        <v>8.26</v>
      </c>
      <c r="E1185" s="21">
        <v>4033.04</v>
      </c>
      <c r="F1185" s="21">
        <v>138069.59</v>
      </c>
      <c r="G1185" s="21">
        <v>342.35</v>
      </c>
    </row>
    <row r="1186" spans="1:7" ht="15" customHeight="1" x14ac:dyDescent="0.3">
      <c r="A1186" s="21" t="s">
        <v>106</v>
      </c>
      <c r="B1186" s="21" t="s">
        <v>92</v>
      </c>
      <c r="C1186" s="21" t="s">
        <v>246</v>
      </c>
      <c r="D1186" s="21">
        <v>6.65</v>
      </c>
      <c r="E1186" s="21">
        <v>3244.32</v>
      </c>
      <c r="F1186" s="21">
        <v>111067.99</v>
      </c>
      <c r="G1186" s="21">
        <v>342.35</v>
      </c>
    </row>
    <row r="1187" spans="1:7" ht="15" customHeight="1" x14ac:dyDescent="0.3">
      <c r="A1187" s="21" t="s">
        <v>106</v>
      </c>
      <c r="B1187" s="21" t="s">
        <v>92</v>
      </c>
      <c r="C1187" s="21" t="s">
        <v>247</v>
      </c>
      <c r="D1187" s="21">
        <v>6.57</v>
      </c>
      <c r="E1187" s="21">
        <v>3205.4</v>
      </c>
      <c r="F1187" s="21">
        <v>109735.45</v>
      </c>
      <c r="G1187" s="21">
        <v>342.35</v>
      </c>
    </row>
    <row r="1188" spans="1:7" ht="15" customHeight="1" x14ac:dyDescent="0.3">
      <c r="A1188" s="21" t="s">
        <v>106</v>
      </c>
      <c r="B1188" s="21" t="s">
        <v>92</v>
      </c>
      <c r="C1188" s="21" t="s">
        <v>248</v>
      </c>
      <c r="D1188" s="21">
        <v>6.11</v>
      </c>
      <c r="E1188" s="21">
        <v>2980.67</v>
      </c>
      <c r="F1188" s="21">
        <v>102041.88</v>
      </c>
      <c r="G1188" s="21">
        <v>342.35</v>
      </c>
    </row>
    <row r="1189" spans="1:7" ht="15" customHeight="1" x14ac:dyDescent="0.3">
      <c r="A1189" s="21" t="s">
        <v>106</v>
      </c>
      <c r="B1189" s="21" t="s">
        <v>92</v>
      </c>
      <c r="C1189" s="21" t="s">
        <v>255</v>
      </c>
      <c r="D1189" s="21">
        <v>5.4</v>
      </c>
      <c r="E1189" s="21">
        <v>2633.48</v>
      </c>
      <c r="F1189" s="21">
        <v>90156.2</v>
      </c>
      <c r="G1189" s="21">
        <v>342.35</v>
      </c>
    </row>
    <row r="1190" spans="1:7" ht="15" customHeight="1" x14ac:dyDescent="0.3">
      <c r="A1190" s="21" t="s">
        <v>106</v>
      </c>
      <c r="B1190" s="21" t="s">
        <v>92</v>
      </c>
      <c r="C1190" s="21" t="s">
        <v>257</v>
      </c>
      <c r="D1190" s="21">
        <v>5.12</v>
      </c>
      <c r="E1190" s="21">
        <v>2500.54</v>
      </c>
      <c r="F1190" s="21">
        <v>85604.99</v>
      </c>
      <c r="G1190" s="21">
        <v>342.35</v>
      </c>
    </row>
    <row r="1191" spans="1:7" ht="15" customHeight="1" x14ac:dyDescent="0.3">
      <c r="A1191" s="21" t="s">
        <v>106</v>
      </c>
      <c r="B1191" s="21" t="s">
        <v>92</v>
      </c>
      <c r="C1191" s="21" t="s">
        <v>259</v>
      </c>
      <c r="D1191" s="21">
        <v>4.47</v>
      </c>
      <c r="E1191" s="21">
        <v>2181.9899999999998</v>
      </c>
      <c r="F1191" s="21">
        <v>74699.59</v>
      </c>
      <c r="G1191" s="21">
        <v>342.35</v>
      </c>
    </row>
    <row r="1192" spans="1:7" ht="15" customHeight="1" x14ac:dyDescent="0.3">
      <c r="A1192" s="21" t="s">
        <v>106</v>
      </c>
      <c r="B1192" s="21" t="s">
        <v>92</v>
      </c>
      <c r="C1192" s="21" t="s">
        <v>260</v>
      </c>
      <c r="D1192" s="21">
        <v>4.12</v>
      </c>
      <c r="E1192" s="21">
        <v>2008.58</v>
      </c>
      <c r="F1192" s="21">
        <v>68762.899999999994</v>
      </c>
      <c r="G1192" s="21">
        <v>342.35</v>
      </c>
    </row>
    <row r="1193" spans="1:7" ht="15" customHeight="1" x14ac:dyDescent="0.3">
      <c r="A1193" s="21" t="s">
        <v>106</v>
      </c>
      <c r="B1193" s="21" t="s">
        <v>92</v>
      </c>
      <c r="C1193" s="21" t="s">
        <v>262</v>
      </c>
      <c r="D1193" s="21">
        <v>3.55</v>
      </c>
      <c r="E1193" s="21">
        <v>1734</v>
      </c>
      <c r="F1193" s="21">
        <v>59362.68</v>
      </c>
      <c r="G1193" s="21">
        <v>342.35</v>
      </c>
    </row>
    <row r="1194" spans="1:7" ht="15" customHeight="1" x14ac:dyDescent="0.3">
      <c r="A1194" s="21" t="s">
        <v>106</v>
      </c>
      <c r="B1194" s="21" t="s">
        <v>92</v>
      </c>
      <c r="C1194" s="21" t="s">
        <v>250</v>
      </c>
      <c r="D1194" s="21">
        <v>3.29</v>
      </c>
      <c r="E1194" s="21">
        <v>1607.4</v>
      </c>
      <c r="F1194" s="21">
        <v>55028.62</v>
      </c>
      <c r="G1194" s="21">
        <v>342.35</v>
      </c>
    </row>
    <row r="1195" spans="1:7" ht="15" customHeight="1" x14ac:dyDescent="0.3">
      <c r="A1195" s="21" t="s">
        <v>106</v>
      </c>
      <c r="B1195" s="21" t="s">
        <v>92</v>
      </c>
      <c r="C1195" s="21" t="s">
        <v>263</v>
      </c>
      <c r="D1195" s="21">
        <v>3</v>
      </c>
      <c r="E1195" s="21">
        <v>1462.96</v>
      </c>
      <c r="F1195" s="21">
        <v>50083.76</v>
      </c>
      <c r="G1195" s="21">
        <v>342.35</v>
      </c>
    </row>
    <row r="1196" spans="1:7" ht="15" customHeight="1" x14ac:dyDescent="0.3">
      <c r="A1196" s="21" t="s">
        <v>106</v>
      </c>
      <c r="B1196" s="21" t="s">
        <v>92</v>
      </c>
      <c r="C1196" s="21" t="s">
        <v>265</v>
      </c>
      <c r="D1196" s="21">
        <v>2.56</v>
      </c>
      <c r="E1196" s="21">
        <v>1247.24</v>
      </c>
      <c r="F1196" s="21">
        <v>42698.76</v>
      </c>
      <c r="G1196" s="21">
        <v>342.35</v>
      </c>
    </row>
    <row r="1197" spans="1:7" ht="15" customHeight="1" x14ac:dyDescent="0.3">
      <c r="A1197" s="21" t="s">
        <v>106</v>
      </c>
      <c r="B1197" s="21" t="s">
        <v>92</v>
      </c>
      <c r="C1197" s="21" t="s">
        <v>253</v>
      </c>
      <c r="D1197" s="21">
        <v>2.14</v>
      </c>
      <c r="E1197" s="21">
        <v>1046.6500000000001</v>
      </c>
      <c r="F1197" s="21">
        <v>35831.67</v>
      </c>
      <c r="G1197" s="21">
        <v>342.35</v>
      </c>
    </row>
    <row r="1198" spans="1:7" ht="15" customHeight="1" x14ac:dyDescent="0.3">
      <c r="A1198" s="21" t="s">
        <v>106</v>
      </c>
      <c r="B1198" s="21" t="s">
        <v>92</v>
      </c>
      <c r="C1198" s="21" t="s">
        <v>268</v>
      </c>
      <c r="D1198" s="21">
        <v>1.76</v>
      </c>
      <c r="E1198" s="21">
        <v>858.66</v>
      </c>
      <c r="F1198" s="21">
        <v>29396.05</v>
      </c>
      <c r="G1198" s="21">
        <v>342.35</v>
      </c>
    </row>
    <row r="1199" spans="1:7" ht="15" customHeight="1" x14ac:dyDescent="0.3">
      <c r="A1199" s="21" t="s">
        <v>106</v>
      </c>
      <c r="B1199" s="21" t="s">
        <v>92</v>
      </c>
      <c r="C1199" s="21" t="s">
        <v>252</v>
      </c>
      <c r="D1199" s="21">
        <v>1.21</v>
      </c>
      <c r="E1199" s="21">
        <v>592.55999999999995</v>
      </c>
      <c r="F1199" s="21">
        <v>20286.080000000002</v>
      </c>
      <c r="G1199" s="21">
        <v>342.35</v>
      </c>
    </row>
    <row r="1200" spans="1:7" ht="15" customHeight="1" x14ac:dyDescent="0.3">
      <c r="A1200" s="21" t="s">
        <v>106</v>
      </c>
      <c r="B1200" s="21" t="s">
        <v>92</v>
      </c>
      <c r="C1200" s="21" t="s">
        <v>267</v>
      </c>
      <c r="D1200" s="21">
        <v>0.94</v>
      </c>
      <c r="E1200" s="21">
        <v>456.49</v>
      </c>
      <c r="F1200" s="21">
        <v>15627.81</v>
      </c>
      <c r="G1200" s="21">
        <v>342.35</v>
      </c>
    </row>
    <row r="1201" spans="1:7" ht="15" customHeight="1" x14ac:dyDescent="0.3">
      <c r="A1201" s="21" t="s">
        <v>106</v>
      </c>
      <c r="B1201" s="21" t="s">
        <v>92</v>
      </c>
      <c r="C1201" s="21" t="s">
        <v>256</v>
      </c>
      <c r="D1201" s="21">
        <v>0.89</v>
      </c>
      <c r="E1201" s="21">
        <v>436.04</v>
      </c>
      <c r="F1201" s="21">
        <v>14927.52</v>
      </c>
      <c r="G1201" s="21">
        <v>342.34</v>
      </c>
    </row>
    <row r="1202" spans="1:7" ht="15" customHeight="1" x14ac:dyDescent="0.3">
      <c r="A1202" s="21" t="s">
        <v>106</v>
      </c>
      <c r="B1202" s="21" t="s">
        <v>92</v>
      </c>
      <c r="C1202" s="21" t="s">
        <v>271</v>
      </c>
      <c r="D1202" s="21">
        <v>0.84</v>
      </c>
      <c r="E1202" s="21">
        <v>411.79</v>
      </c>
      <c r="F1202" s="21">
        <v>14097.39</v>
      </c>
      <c r="G1202" s="21">
        <v>342.34</v>
      </c>
    </row>
    <row r="1203" spans="1:7" ht="15" customHeight="1" x14ac:dyDescent="0.3">
      <c r="A1203" s="21" t="s">
        <v>106</v>
      </c>
      <c r="B1203" s="21" t="s">
        <v>92</v>
      </c>
      <c r="C1203" s="21" t="s">
        <v>264</v>
      </c>
      <c r="D1203" s="21">
        <v>0.53</v>
      </c>
      <c r="E1203" s="21">
        <v>260.70999999999998</v>
      </c>
      <c r="F1203" s="21">
        <v>8925.2800000000007</v>
      </c>
      <c r="G1203" s="21">
        <v>342.35</v>
      </c>
    </row>
    <row r="1204" spans="1:7" ht="15" customHeight="1" x14ac:dyDescent="0.3">
      <c r="A1204" s="21" t="s">
        <v>106</v>
      </c>
      <c r="B1204" s="21" t="s">
        <v>92</v>
      </c>
      <c r="C1204" s="21" t="s">
        <v>261</v>
      </c>
      <c r="D1204" s="21">
        <v>0.54</v>
      </c>
      <c r="E1204" s="21">
        <v>262.70999999999998</v>
      </c>
      <c r="F1204" s="21">
        <v>8993.77</v>
      </c>
      <c r="G1204" s="21">
        <v>342.35</v>
      </c>
    </row>
    <row r="1205" spans="1:7" ht="15" customHeight="1" x14ac:dyDescent="0.3">
      <c r="A1205" s="21" t="s">
        <v>106</v>
      </c>
      <c r="B1205" s="21" t="s">
        <v>92</v>
      </c>
      <c r="C1205" s="21" t="s">
        <v>273</v>
      </c>
      <c r="D1205" s="21">
        <v>0.32</v>
      </c>
      <c r="E1205" s="21">
        <v>154.61000000000001</v>
      </c>
      <c r="F1205" s="21">
        <v>5292.99</v>
      </c>
      <c r="G1205" s="21">
        <v>342.34</v>
      </c>
    </row>
    <row r="1206" spans="1:7" ht="15" customHeight="1" x14ac:dyDescent="0.3">
      <c r="A1206" s="21" t="s">
        <v>106</v>
      </c>
      <c r="B1206" s="21" t="s">
        <v>92</v>
      </c>
      <c r="C1206" s="21" t="s">
        <v>274</v>
      </c>
      <c r="D1206" s="21">
        <v>0.2</v>
      </c>
      <c r="E1206" s="21">
        <v>95.35</v>
      </c>
      <c r="F1206" s="21">
        <v>3264.35</v>
      </c>
      <c r="G1206" s="21">
        <v>342.35</v>
      </c>
    </row>
    <row r="1207" spans="1:7" ht="15" customHeight="1" x14ac:dyDescent="0.3">
      <c r="A1207" s="21" t="s">
        <v>106</v>
      </c>
      <c r="B1207" s="21" t="s">
        <v>92</v>
      </c>
      <c r="C1207" s="21" t="s">
        <v>272</v>
      </c>
      <c r="D1207" s="21">
        <v>0.15</v>
      </c>
      <c r="E1207" s="21">
        <v>75.19</v>
      </c>
      <c r="F1207" s="21">
        <v>2573.9499999999998</v>
      </c>
      <c r="G1207" s="21">
        <v>342.33</v>
      </c>
    </row>
    <row r="1208" spans="1:7" ht="15" customHeight="1" x14ac:dyDescent="0.3">
      <c r="A1208" s="21" t="s">
        <v>106</v>
      </c>
      <c r="B1208" s="21" t="s">
        <v>92</v>
      </c>
      <c r="C1208" s="21" t="s">
        <v>276</v>
      </c>
      <c r="D1208" s="21">
        <v>0.12</v>
      </c>
      <c r="E1208" s="21">
        <v>58.57</v>
      </c>
      <c r="F1208" s="21">
        <v>2005.01</v>
      </c>
      <c r="G1208" s="21">
        <v>342.33</v>
      </c>
    </row>
    <row r="1209" spans="1:7" ht="15" customHeight="1" x14ac:dyDescent="0.3">
      <c r="A1209" s="21" t="s">
        <v>106</v>
      </c>
      <c r="B1209" s="21" t="s">
        <v>92</v>
      </c>
      <c r="C1209" s="21" t="s">
        <v>251</v>
      </c>
      <c r="D1209" s="21">
        <v>0.11</v>
      </c>
      <c r="E1209" s="21">
        <v>51.8</v>
      </c>
      <c r="F1209" s="21">
        <v>1773.32</v>
      </c>
      <c r="G1209" s="21">
        <v>342.34</v>
      </c>
    </row>
    <row r="1210" spans="1:7" ht="15" customHeight="1" x14ac:dyDescent="0.3">
      <c r="A1210" s="21" t="s">
        <v>106</v>
      </c>
      <c r="B1210" s="21" t="s">
        <v>92</v>
      </c>
      <c r="C1210" s="21" t="s">
        <v>275</v>
      </c>
      <c r="D1210" s="21">
        <v>0.08</v>
      </c>
      <c r="E1210" s="21">
        <v>40.96</v>
      </c>
      <c r="F1210" s="21">
        <v>1402.13</v>
      </c>
      <c r="G1210" s="21">
        <v>342.32</v>
      </c>
    </row>
    <row r="1211" spans="1:7" ht="15" customHeight="1" x14ac:dyDescent="0.3">
      <c r="A1211" s="21" t="s">
        <v>106</v>
      </c>
      <c r="B1211" s="21" t="s">
        <v>92</v>
      </c>
      <c r="C1211" s="21" t="s">
        <v>278</v>
      </c>
      <c r="D1211" s="21">
        <v>7.0000000000000007E-2</v>
      </c>
      <c r="E1211" s="21">
        <v>31.77</v>
      </c>
      <c r="F1211" s="21">
        <v>1087.54</v>
      </c>
      <c r="G1211" s="21">
        <v>342.32</v>
      </c>
    </row>
    <row r="1212" spans="1:7" ht="15" customHeight="1" x14ac:dyDescent="0.3">
      <c r="A1212" s="21" t="s">
        <v>106</v>
      </c>
      <c r="B1212" s="21" t="s">
        <v>92</v>
      </c>
      <c r="C1212" s="21" t="s">
        <v>254</v>
      </c>
      <c r="D1212" s="21">
        <v>0.36</v>
      </c>
      <c r="E1212" s="21">
        <v>175.81</v>
      </c>
      <c r="F1212" s="21">
        <v>6018.72</v>
      </c>
      <c r="G1212" s="21">
        <v>342.34</v>
      </c>
    </row>
    <row r="1213" spans="1:7" ht="15" customHeight="1" x14ac:dyDescent="0.3">
      <c r="A1213" s="21" t="s">
        <v>106</v>
      </c>
      <c r="B1213" s="21" t="s">
        <v>92</v>
      </c>
      <c r="C1213" s="21" t="s">
        <v>277</v>
      </c>
      <c r="D1213" s="21">
        <v>0.25</v>
      </c>
      <c r="E1213" s="21">
        <v>120.74</v>
      </c>
      <c r="F1213" s="21">
        <v>4133.51</v>
      </c>
      <c r="G1213" s="21">
        <v>342.35</v>
      </c>
    </row>
    <row r="1214" spans="1:7" ht="15" customHeight="1" x14ac:dyDescent="0.3">
      <c r="A1214" s="21" t="s">
        <v>106</v>
      </c>
      <c r="B1214" s="21" t="s">
        <v>92</v>
      </c>
      <c r="C1214" s="21" t="s">
        <v>266</v>
      </c>
      <c r="D1214" s="21">
        <v>0.45</v>
      </c>
      <c r="E1214" s="21">
        <v>220.5</v>
      </c>
      <c r="F1214" s="21">
        <v>7548.75</v>
      </c>
      <c r="G1214" s="21">
        <v>342.35</v>
      </c>
    </row>
    <row r="1215" spans="1:7" ht="15" customHeight="1" x14ac:dyDescent="0.3">
      <c r="A1215" s="21" t="s">
        <v>106</v>
      </c>
      <c r="B1215" s="21" t="s">
        <v>92</v>
      </c>
      <c r="C1215" s="21" t="s">
        <v>269</v>
      </c>
      <c r="D1215" s="21">
        <v>0.03</v>
      </c>
      <c r="E1215" s="21">
        <v>14.11</v>
      </c>
      <c r="F1215" s="21">
        <v>482.93</v>
      </c>
      <c r="G1215" s="21">
        <v>342.26</v>
      </c>
    </row>
    <row r="1216" spans="1:7" ht="15" customHeight="1" x14ac:dyDescent="0.3">
      <c r="A1216" s="21" t="s">
        <v>106</v>
      </c>
      <c r="B1216" s="21" t="s">
        <v>92</v>
      </c>
      <c r="C1216" s="21" t="s">
        <v>249</v>
      </c>
      <c r="D1216" s="21">
        <v>0.05</v>
      </c>
      <c r="E1216" s="21">
        <v>26.53</v>
      </c>
      <c r="F1216" s="21">
        <v>908.3</v>
      </c>
      <c r="G1216" s="21">
        <v>342.37</v>
      </c>
    </row>
    <row r="1217" spans="1:7" ht="15" customHeight="1" x14ac:dyDescent="0.3">
      <c r="A1217" s="21" t="s">
        <v>106</v>
      </c>
      <c r="B1217" s="21" t="s">
        <v>92</v>
      </c>
      <c r="C1217" s="21" t="s">
        <v>258</v>
      </c>
      <c r="D1217" s="21">
        <v>0.06</v>
      </c>
      <c r="E1217" s="21">
        <v>30.8</v>
      </c>
      <c r="F1217" s="21">
        <v>1054.47</v>
      </c>
      <c r="G1217" s="21">
        <v>342.36</v>
      </c>
    </row>
    <row r="1218" spans="1:7" ht="15" customHeight="1" x14ac:dyDescent="0.3">
      <c r="A1218" s="21" t="s">
        <v>106</v>
      </c>
      <c r="B1218" s="21" t="s">
        <v>92</v>
      </c>
      <c r="C1218" s="21" t="s">
        <v>270</v>
      </c>
      <c r="D1218" s="21">
        <v>0.01</v>
      </c>
      <c r="E1218" s="21">
        <v>4.88</v>
      </c>
      <c r="F1218" s="21">
        <v>167.06</v>
      </c>
      <c r="G1218" s="21">
        <v>342.34</v>
      </c>
    </row>
    <row r="1219" spans="1:7" ht="15" customHeight="1" x14ac:dyDescent="0.3">
      <c r="A1219" s="21" t="s">
        <v>106</v>
      </c>
      <c r="B1219" s="21" t="s">
        <v>95</v>
      </c>
      <c r="C1219" s="21" t="s">
        <v>243</v>
      </c>
      <c r="D1219" s="21">
        <v>15.4</v>
      </c>
      <c r="E1219" s="21">
        <v>5026.83</v>
      </c>
      <c r="F1219" s="21">
        <v>172235.67</v>
      </c>
      <c r="G1219" s="21">
        <v>342.63</v>
      </c>
    </row>
    <row r="1220" spans="1:7" ht="15" customHeight="1" x14ac:dyDescent="0.3">
      <c r="A1220" s="21" t="s">
        <v>106</v>
      </c>
      <c r="B1220" s="21" t="s">
        <v>95</v>
      </c>
      <c r="C1220" s="21" t="s">
        <v>244</v>
      </c>
      <c r="D1220" s="21">
        <v>12.55</v>
      </c>
      <c r="E1220" s="21">
        <v>4097.8599999999997</v>
      </c>
      <c r="F1220" s="21">
        <v>140405.95000000001</v>
      </c>
      <c r="G1220" s="21">
        <v>342.63</v>
      </c>
    </row>
    <row r="1221" spans="1:7" ht="15" customHeight="1" x14ac:dyDescent="0.3">
      <c r="A1221" s="21" t="s">
        <v>106</v>
      </c>
      <c r="B1221" s="21" t="s">
        <v>95</v>
      </c>
      <c r="C1221" s="21" t="s">
        <v>245</v>
      </c>
      <c r="D1221" s="21">
        <v>8.3800000000000008</v>
      </c>
      <c r="E1221" s="21">
        <v>2734.96</v>
      </c>
      <c r="F1221" s="21">
        <v>93708.73</v>
      </c>
      <c r="G1221" s="21">
        <v>342.63</v>
      </c>
    </row>
    <row r="1222" spans="1:7" ht="15" customHeight="1" x14ac:dyDescent="0.3">
      <c r="A1222" s="21" t="s">
        <v>106</v>
      </c>
      <c r="B1222" s="21" t="s">
        <v>95</v>
      </c>
      <c r="C1222" s="21" t="s">
        <v>246</v>
      </c>
      <c r="D1222" s="21">
        <v>7.19</v>
      </c>
      <c r="E1222" s="21">
        <v>2345.56</v>
      </c>
      <c r="F1222" s="21">
        <v>80366.559999999998</v>
      </c>
      <c r="G1222" s="21">
        <v>342.63</v>
      </c>
    </row>
    <row r="1223" spans="1:7" ht="15" customHeight="1" x14ac:dyDescent="0.3">
      <c r="A1223" s="21" t="s">
        <v>106</v>
      </c>
      <c r="B1223" s="21" t="s">
        <v>95</v>
      </c>
      <c r="C1223" s="21" t="s">
        <v>247</v>
      </c>
      <c r="D1223" s="21">
        <v>6.91</v>
      </c>
      <c r="E1223" s="21">
        <v>2254.81</v>
      </c>
      <c r="F1223" s="21">
        <v>77257.100000000006</v>
      </c>
      <c r="G1223" s="21">
        <v>342.63</v>
      </c>
    </row>
    <row r="1224" spans="1:7" ht="15" customHeight="1" x14ac:dyDescent="0.3">
      <c r="A1224" s="21" t="s">
        <v>106</v>
      </c>
      <c r="B1224" s="21" t="s">
        <v>95</v>
      </c>
      <c r="C1224" s="21" t="s">
        <v>248</v>
      </c>
      <c r="D1224" s="21">
        <v>6.03</v>
      </c>
      <c r="E1224" s="21">
        <v>1968.13</v>
      </c>
      <c r="F1224" s="21">
        <v>67434.62</v>
      </c>
      <c r="G1224" s="21">
        <v>342.63</v>
      </c>
    </row>
    <row r="1225" spans="1:7" ht="15" customHeight="1" x14ac:dyDescent="0.3">
      <c r="A1225" s="21" t="s">
        <v>106</v>
      </c>
      <c r="B1225" s="21" t="s">
        <v>95</v>
      </c>
      <c r="C1225" s="21" t="s">
        <v>255</v>
      </c>
      <c r="D1225" s="21">
        <v>5.77</v>
      </c>
      <c r="E1225" s="21">
        <v>1882.46</v>
      </c>
      <c r="F1225" s="21">
        <v>64499.199999999997</v>
      </c>
      <c r="G1225" s="21">
        <v>342.63</v>
      </c>
    </row>
    <row r="1226" spans="1:7" ht="15" customHeight="1" x14ac:dyDescent="0.3">
      <c r="A1226" s="21" t="s">
        <v>106</v>
      </c>
      <c r="B1226" s="21" t="s">
        <v>95</v>
      </c>
      <c r="C1226" s="21" t="s">
        <v>257</v>
      </c>
      <c r="D1226" s="21">
        <v>4.88</v>
      </c>
      <c r="E1226" s="21">
        <v>1592.52</v>
      </c>
      <c r="F1226" s="21">
        <v>54564.92</v>
      </c>
      <c r="G1226" s="21">
        <v>342.63</v>
      </c>
    </row>
    <row r="1227" spans="1:7" ht="15" customHeight="1" x14ac:dyDescent="0.3">
      <c r="A1227" s="21" t="s">
        <v>106</v>
      </c>
      <c r="B1227" s="21" t="s">
        <v>95</v>
      </c>
      <c r="C1227" s="21" t="s">
        <v>259</v>
      </c>
      <c r="D1227" s="21">
        <v>3.91</v>
      </c>
      <c r="E1227" s="21">
        <v>1275.81</v>
      </c>
      <c r="F1227" s="21">
        <v>43713.35</v>
      </c>
      <c r="G1227" s="21">
        <v>342.63</v>
      </c>
    </row>
    <row r="1228" spans="1:7" ht="15" customHeight="1" x14ac:dyDescent="0.3">
      <c r="A1228" s="21" t="s">
        <v>106</v>
      </c>
      <c r="B1228" s="21" t="s">
        <v>95</v>
      </c>
      <c r="C1228" s="21" t="s">
        <v>260</v>
      </c>
      <c r="D1228" s="21">
        <v>3.76</v>
      </c>
      <c r="E1228" s="21">
        <v>1228.33</v>
      </c>
      <c r="F1228" s="21">
        <v>42086.73</v>
      </c>
      <c r="G1228" s="21">
        <v>342.63</v>
      </c>
    </row>
    <row r="1229" spans="1:7" ht="15" customHeight="1" x14ac:dyDescent="0.3">
      <c r="A1229" s="21" t="s">
        <v>106</v>
      </c>
      <c r="B1229" s="21" t="s">
        <v>95</v>
      </c>
      <c r="C1229" s="21" t="s">
        <v>262</v>
      </c>
      <c r="D1229" s="21">
        <v>3.69</v>
      </c>
      <c r="E1229" s="21">
        <v>1203.0999999999999</v>
      </c>
      <c r="F1229" s="21">
        <v>41222.120000000003</v>
      </c>
      <c r="G1229" s="21">
        <v>342.63</v>
      </c>
    </row>
    <row r="1230" spans="1:7" ht="15" customHeight="1" x14ac:dyDescent="0.3">
      <c r="A1230" s="21" t="s">
        <v>106</v>
      </c>
      <c r="B1230" s="21" t="s">
        <v>95</v>
      </c>
      <c r="C1230" s="21" t="s">
        <v>250</v>
      </c>
      <c r="D1230" s="21">
        <v>3.19</v>
      </c>
      <c r="E1230" s="21">
        <v>1041.92</v>
      </c>
      <c r="F1230" s="21">
        <v>35699.480000000003</v>
      </c>
      <c r="G1230" s="21">
        <v>342.63</v>
      </c>
    </row>
    <row r="1231" spans="1:7" ht="15" customHeight="1" x14ac:dyDescent="0.3">
      <c r="A1231" s="21" t="s">
        <v>106</v>
      </c>
      <c r="B1231" s="21" t="s">
        <v>95</v>
      </c>
      <c r="C1231" s="21" t="s">
        <v>263</v>
      </c>
      <c r="D1231" s="21">
        <v>2.87</v>
      </c>
      <c r="E1231" s="21">
        <v>937.02</v>
      </c>
      <c r="F1231" s="21">
        <v>32105.5</v>
      </c>
      <c r="G1231" s="21">
        <v>342.63</v>
      </c>
    </row>
    <row r="1232" spans="1:7" ht="15" customHeight="1" x14ac:dyDescent="0.3">
      <c r="A1232" s="21" t="s">
        <v>106</v>
      </c>
      <c r="B1232" s="21" t="s">
        <v>95</v>
      </c>
      <c r="C1232" s="21" t="s">
        <v>265</v>
      </c>
      <c r="D1232" s="21">
        <v>2.46</v>
      </c>
      <c r="E1232" s="21">
        <v>803.09</v>
      </c>
      <c r="F1232" s="21">
        <v>27516.6</v>
      </c>
      <c r="G1232" s="21">
        <v>342.63</v>
      </c>
    </row>
    <row r="1233" spans="1:7" ht="15" customHeight="1" x14ac:dyDescent="0.3">
      <c r="A1233" s="21" t="s">
        <v>106</v>
      </c>
      <c r="B1233" s="21" t="s">
        <v>95</v>
      </c>
      <c r="C1233" s="21" t="s">
        <v>253</v>
      </c>
      <c r="D1233" s="21">
        <v>2.09</v>
      </c>
      <c r="E1233" s="21">
        <v>681.19</v>
      </c>
      <c r="F1233" s="21">
        <v>23339.759999999998</v>
      </c>
      <c r="G1233" s="21">
        <v>342.63</v>
      </c>
    </row>
    <row r="1234" spans="1:7" ht="15" customHeight="1" x14ac:dyDescent="0.3">
      <c r="A1234" s="21" t="s">
        <v>106</v>
      </c>
      <c r="B1234" s="21" t="s">
        <v>95</v>
      </c>
      <c r="C1234" s="21" t="s">
        <v>268</v>
      </c>
      <c r="D1234" s="21">
        <v>1.79</v>
      </c>
      <c r="E1234" s="21">
        <v>583.97</v>
      </c>
      <c r="F1234" s="21">
        <v>20008.66</v>
      </c>
      <c r="G1234" s="21">
        <v>342.63</v>
      </c>
    </row>
    <row r="1235" spans="1:7" ht="15" customHeight="1" x14ac:dyDescent="0.3">
      <c r="A1235" s="21" t="s">
        <v>106</v>
      </c>
      <c r="B1235" s="21" t="s">
        <v>95</v>
      </c>
      <c r="C1235" s="21" t="s">
        <v>252</v>
      </c>
      <c r="D1235" s="21">
        <v>1.22</v>
      </c>
      <c r="E1235" s="21">
        <v>397.78</v>
      </c>
      <c r="F1235" s="21">
        <v>13629.28</v>
      </c>
      <c r="G1235" s="21">
        <v>342.63</v>
      </c>
    </row>
    <row r="1236" spans="1:7" ht="15" customHeight="1" x14ac:dyDescent="0.3">
      <c r="A1236" s="21" t="s">
        <v>106</v>
      </c>
      <c r="B1236" s="21" t="s">
        <v>95</v>
      </c>
      <c r="C1236" s="21" t="s">
        <v>267</v>
      </c>
      <c r="D1236" s="21">
        <v>0.97</v>
      </c>
      <c r="E1236" s="21">
        <v>315.74</v>
      </c>
      <c r="F1236" s="21">
        <v>10818.21</v>
      </c>
      <c r="G1236" s="21">
        <v>342.63</v>
      </c>
    </row>
    <row r="1237" spans="1:7" ht="15" customHeight="1" x14ac:dyDescent="0.3">
      <c r="A1237" s="21" t="s">
        <v>106</v>
      </c>
      <c r="B1237" s="21" t="s">
        <v>95</v>
      </c>
      <c r="C1237" s="21" t="s">
        <v>256</v>
      </c>
      <c r="D1237" s="21">
        <v>0.89</v>
      </c>
      <c r="E1237" s="21">
        <v>290.33</v>
      </c>
      <c r="F1237" s="21">
        <v>9947.77</v>
      </c>
      <c r="G1237" s="21">
        <v>342.64</v>
      </c>
    </row>
    <row r="1238" spans="1:7" ht="15" customHeight="1" x14ac:dyDescent="0.3">
      <c r="A1238" s="21" t="s">
        <v>106</v>
      </c>
      <c r="B1238" s="21" t="s">
        <v>95</v>
      </c>
      <c r="C1238" s="21" t="s">
        <v>271</v>
      </c>
      <c r="D1238" s="21">
        <v>0.76</v>
      </c>
      <c r="E1238" s="21">
        <v>248.88</v>
      </c>
      <c r="F1238" s="21">
        <v>8527.61</v>
      </c>
      <c r="G1238" s="21">
        <v>342.64</v>
      </c>
    </row>
    <row r="1239" spans="1:7" ht="15" customHeight="1" x14ac:dyDescent="0.3">
      <c r="A1239" s="21" t="s">
        <v>106</v>
      </c>
      <c r="B1239" s="21" t="s">
        <v>95</v>
      </c>
      <c r="C1239" s="21" t="s">
        <v>264</v>
      </c>
      <c r="D1239" s="21">
        <v>0.63</v>
      </c>
      <c r="E1239" s="21">
        <v>206.82</v>
      </c>
      <c r="F1239" s="21">
        <v>7086.5</v>
      </c>
      <c r="G1239" s="21">
        <v>342.64</v>
      </c>
    </row>
    <row r="1240" spans="1:7" ht="15" customHeight="1" x14ac:dyDescent="0.3">
      <c r="A1240" s="21" t="s">
        <v>106</v>
      </c>
      <c r="B1240" s="21" t="s">
        <v>95</v>
      </c>
      <c r="C1240" s="21" t="s">
        <v>261</v>
      </c>
      <c r="D1240" s="21">
        <v>0.49</v>
      </c>
      <c r="E1240" s="21">
        <v>160.82</v>
      </c>
      <c r="F1240" s="21">
        <v>5510.11</v>
      </c>
      <c r="G1240" s="21">
        <v>342.63</v>
      </c>
    </row>
    <row r="1241" spans="1:7" ht="15" customHeight="1" x14ac:dyDescent="0.3">
      <c r="A1241" s="21" t="s">
        <v>106</v>
      </c>
      <c r="B1241" s="21" t="s">
        <v>95</v>
      </c>
      <c r="C1241" s="21" t="s">
        <v>273</v>
      </c>
      <c r="D1241" s="21">
        <v>0.32</v>
      </c>
      <c r="E1241" s="21">
        <v>105.05</v>
      </c>
      <c r="F1241" s="21">
        <v>3599.2</v>
      </c>
      <c r="G1241" s="21">
        <v>342.62</v>
      </c>
    </row>
    <row r="1242" spans="1:7" ht="15" customHeight="1" x14ac:dyDescent="0.3">
      <c r="A1242" s="21" t="s">
        <v>106</v>
      </c>
      <c r="B1242" s="21" t="s">
        <v>95</v>
      </c>
      <c r="C1242" s="21" t="s">
        <v>274</v>
      </c>
      <c r="D1242" s="21">
        <v>0.22</v>
      </c>
      <c r="E1242" s="21">
        <v>70.28</v>
      </c>
      <c r="F1242" s="21">
        <v>2407.9699999999998</v>
      </c>
      <c r="G1242" s="21">
        <v>342.63</v>
      </c>
    </row>
    <row r="1243" spans="1:7" ht="15" customHeight="1" x14ac:dyDescent="0.3">
      <c r="A1243" s="21" t="s">
        <v>106</v>
      </c>
      <c r="B1243" s="21" t="s">
        <v>95</v>
      </c>
      <c r="C1243" s="21" t="s">
        <v>272</v>
      </c>
      <c r="D1243" s="21">
        <v>0.15</v>
      </c>
      <c r="E1243" s="21">
        <v>48.77</v>
      </c>
      <c r="F1243" s="21">
        <v>1670.94</v>
      </c>
      <c r="G1243" s="21">
        <v>342.62</v>
      </c>
    </row>
    <row r="1244" spans="1:7" ht="15" customHeight="1" x14ac:dyDescent="0.3">
      <c r="A1244" s="21" t="s">
        <v>106</v>
      </c>
      <c r="B1244" s="21" t="s">
        <v>95</v>
      </c>
      <c r="C1244" s="21" t="s">
        <v>276</v>
      </c>
      <c r="D1244" s="21">
        <v>0.11</v>
      </c>
      <c r="E1244" s="21">
        <v>37.200000000000003</v>
      </c>
      <c r="F1244" s="21">
        <v>1274.51</v>
      </c>
      <c r="G1244" s="21">
        <v>342.61</v>
      </c>
    </row>
    <row r="1245" spans="1:7" ht="15" customHeight="1" x14ac:dyDescent="0.3">
      <c r="A1245" s="21" t="s">
        <v>106</v>
      </c>
      <c r="B1245" s="21" t="s">
        <v>95</v>
      </c>
      <c r="C1245" s="21" t="s">
        <v>251</v>
      </c>
      <c r="D1245" s="21">
        <v>0.09</v>
      </c>
      <c r="E1245" s="21">
        <v>29.24</v>
      </c>
      <c r="F1245" s="21">
        <v>1001.84</v>
      </c>
      <c r="G1245" s="21">
        <v>342.63</v>
      </c>
    </row>
    <row r="1246" spans="1:7" ht="15" customHeight="1" x14ac:dyDescent="0.3">
      <c r="A1246" s="21" t="s">
        <v>106</v>
      </c>
      <c r="B1246" s="21" t="s">
        <v>95</v>
      </c>
      <c r="C1246" s="21" t="s">
        <v>275</v>
      </c>
      <c r="D1246" s="21">
        <v>7.0000000000000007E-2</v>
      </c>
      <c r="E1246" s="21">
        <v>24.19</v>
      </c>
      <c r="F1246" s="21">
        <v>828.93</v>
      </c>
      <c r="G1246" s="21">
        <v>342.67</v>
      </c>
    </row>
    <row r="1247" spans="1:7" ht="15" customHeight="1" x14ac:dyDescent="0.3">
      <c r="A1247" s="21" t="s">
        <v>106</v>
      </c>
      <c r="B1247" s="21" t="s">
        <v>95</v>
      </c>
      <c r="C1247" s="21" t="s">
        <v>278</v>
      </c>
      <c r="D1247" s="21">
        <v>7.0000000000000007E-2</v>
      </c>
      <c r="E1247" s="21">
        <v>21.28</v>
      </c>
      <c r="F1247" s="21">
        <v>729.16</v>
      </c>
      <c r="G1247" s="21">
        <v>342.65</v>
      </c>
    </row>
    <row r="1248" spans="1:7" ht="15" customHeight="1" x14ac:dyDescent="0.3">
      <c r="A1248" s="21" t="s">
        <v>106</v>
      </c>
      <c r="B1248" s="21" t="s">
        <v>95</v>
      </c>
      <c r="C1248" s="21" t="s">
        <v>254</v>
      </c>
      <c r="D1248" s="21">
        <v>0.37</v>
      </c>
      <c r="E1248" s="21">
        <v>122.13</v>
      </c>
      <c r="F1248" s="21">
        <v>4184.53</v>
      </c>
      <c r="G1248" s="21">
        <v>342.63</v>
      </c>
    </row>
    <row r="1249" spans="1:7" ht="15" customHeight="1" x14ac:dyDescent="0.3">
      <c r="A1249" s="21" t="s">
        <v>106</v>
      </c>
      <c r="B1249" s="21" t="s">
        <v>95</v>
      </c>
      <c r="C1249" s="21" t="s">
        <v>277</v>
      </c>
      <c r="D1249" s="21">
        <v>0.25</v>
      </c>
      <c r="E1249" s="21">
        <v>82.08</v>
      </c>
      <c r="F1249" s="21">
        <v>2812.42</v>
      </c>
      <c r="G1249" s="21">
        <v>342.64</v>
      </c>
    </row>
    <row r="1250" spans="1:7" ht="15" customHeight="1" x14ac:dyDescent="0.3">
      <c r="A1250" s="21" t="s">
        <v>106</v>
      </c>
      <c r="B1250" s="21" t="s">
        <v>95</v>
      </c>
      <c r="C1250" s="21" t="s">
        <v>266</v>
      </c>
      <c r="D1250" s="21">
        <v>0.46</v>
      </c>
      <c r="E1250" s="21">
        <v>149.76</v>
      </c>
      <c r="F1250" s="21">
        <v>5131.25</v>
      </c>
      <c r="G1250" s="21">
        <v>342.63</v>
      </c>
    </row>
    <row r="1251" spans="1:7" ht="15" customHeight="1" x14ac:dyDescent="0.3">
      <c r="A1251" s="21" t="s">
        <v>106</v>
      </c>
      <c r="B1251" s="21" t="s">
        <v>95</v>
      </c>
      <c r="C1251" s="21" t="s">
        <v>269</v>
      </c>
      <c r="D1251" s="21">
        <v>0.03</v>
      </c>
      <c r="E1251" s="21">
        <v>8.7100000000000009</v>
      </c>
      <c r="F1251" s="21">
        <v>298.29000000000002</v>
      </c>
      <c r="G1251" s="21">
        <v>342.47</v>
      </c>
    </row>
    <row r="1252" spans="1:7" ht="15" customHeight="1" x14ac:dyDescent="0.3">
      <c r="A1252" s="21" t="s">
        <v>106</v>
      </c>
      <c r="B1252" s="21" t="s">
        <v>95</v>
      </c>
      <c r="C1252" s="21" t="s">
        <v>249</v>
      </c>
      <c r="D1252" s="21">
        <v>0.05</v>
      </c>
      <c r="E1252" s="21">
        <v>15.34</v>
      </c>
      <c r="F1252" s="21">
        <v>525.75</v>
      </c>
      <c r="G1252" s="21">
        <v>342.73</v>
      </c>
    </row>
    <row r="1253" spans="1:7" ht="15" customHeight="1" x14ac:dyDescent="0.3">
      <c r="A1253" s="21" t="s">
        <v>106</v>
      </c>
      <c r="B1253" s="21" t="s">
        <v>95</v>
      </c>
      <c r="C1253" s="21" t="s">
        <v>258</v>
      </c>
      <c r="D1253" s="21">
        <v>0.06</v>
      </c>
      <c r="E1253" s="21">
        <v>20.46</v>
      </c>
      <c r="F1253" s="21">
        <v>700.86</v>
      </c>
      <c r="G1253" s="21">
        <v>342.55</v>
      </c>
    </row>
    <row r="1254" spans="1:7" ht="15" customHeight="1" x14ac:dyDescent="0.3">
      <c r="A1254" s="21" t="s">
        <v>106</v>
      </c>
      <c r="B1254" s="21" t="s">
        <v>95</v>
      </c>
      <c r="C1254" s="21" t="s">
        <v>270</v>
      </c>
      <c r="D1254" s="21">
        <v>0.01</v>
      </c>
      <c r="E1254" s="21">
        <v>3.31</v>
      </c>
      <c r="F1254" s="21">
        <v>113.45</v>
      </c>
      <c r="G1254" s="21">
        <v>342.75</v>
      </c>
    </row>
  </sheetData>
  <mergeCells count="9">
    <mergeCell ref="A4:C4"/>
    <mergeCell ref="D4:F4"/>
    <mergeCell ref="G4:I4"/>
    <mergeCell ref="J4:L4"/>
    <mergeCell ref="A1:G1"/>
    <mergeCell ref="A3:C3"/>
    <mergeCell ref="D3:F3"/>
    <mergeCell ref="G3:I3"/>
    <mergeCell ref="J3:L3"/>
  </mergeCells>
  <phoneticPr fontId="19" type="noConversion"/>
  <conditionalFormatting sqref="P68:X79">
    <cfRule type="colorScale" priority="3">
      <colorScale>
        <cfvo type="min"/>
        <cfvo type="percentile" val="50"/>
        <cfvo type="max"/>
        <color rgb="FFDEEBF7"/>
        <color rgb="FF8FAADC"/>
        <color rgb="FF1F3864"/>
      </colorScale>
    </cfRule>
  </conditionalFormatting>
  <conditionalFormatting sqref="J8:J43">
    <cfRule type="colorScale" priority="2">
      <colorScale>
        <cfvo type="min"/>
        <cfvo type="max"/>
        <color rgb="FFDEEBF7"/>
        <color rgb="FF1F4E7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C8A"/>
  </sheetPr>
  <dimension ref="A1:T3144"/>
  <sheetViews>
    <sheetView showGridLines="0" zoomScale="42" zoomScaleNormal="90" workbookViewId="0">
      <pane ySplit="1" topLeftCell="A2" activePane="bottomLeft" state="frozen"/>
      <selection pane="bottomLeft" activeCell="D4" sqref="D4:F4"/>
    </sheetView>
  </sheetViews>
  <sheetFormatPr defaultColWidth="8.6640625" defaultRowHeight="14.4" x14ac:dyDescent="0.3"/>
  <cols>
    <col min="1" max="1" width="13" customWidth="1"/>
    <col min="2" max="4" width="10" customWidth="1"/>
    <col min="5" max="5" width="14" customWidth="1"/>
    <col min="6" max="6" width="13" customWidth="1"/>
    <col min="7" max="7" width="18" customWidth="1"/>
    <col min="8" max="8" width="15" customWidth="1"/>
    <col min="9" max="9" width="20" customWidth="1"/>
    <col min="11" max="13" width="15" customWidth="1"/>
    <col min="15" max="17" width="15" customWidth="1"/>
    <col min="19" max="20" width="16" customWidth="1"/>
  </cols>
  <sheetData>
    <row r="1" spans="1:20" ht="25.5" customHeight="1" x14ac:dyDescent="0.35">
      <c r="A1" s="11" t="s">
        <v>279</v>
      </c>
      <c r="B1" s="11"/>
      <c r="C1" s="11"/>
      <c r="D1" s="11"/>
      <c r="E1" s="11"/>
      <c r="F1" s="11"/>
      <c r="G1" s="11"/>
      <c r="H1" s="11"/>
      <c r="I1" s="11"/>
    </row>
    <row r="3" spans="1:20" ht="15" customHeight="1" x14ac:dyDescent="0.3">
      <c r="A3" s="10" t="s">
        <v>280</v>
      </c>
      <c r="B3" s="10"/>
      <c r="C3" s="10"/>
      <c r="D3" s="10" t="s">
        <v>281</v>
      </c>
      <c r="E3" s="10"/>
      <c r="F3" s="10"/>
      <c r="G3" s="10" t="s">
        <v>282</v>
      </c>
      <c r="H3" s="10"/>
      <c r="I3" s="10"/>
      <c r="J3" s="10" t="s">
        <v>283</v>
      </c>
      <c r="K3" s="10"/>
      <c r="L3" s="10"/>
      <c r="M3" s="10" t="s">
        <v>284</v>
      </c>
      <c r="N3" s="10"/>
      <c r="O3" s="10"/>
      <c r="P3" s="10" t="s">
        <v>285</v>
      </c>
      <c r="Q3" s="10"/>
      <c r="R3" s="10"/>
    </row>
    <row r="4" spans="1:20" ht="17.25" customHeight="1" x14ac:dyDescent="0.3">
      <c r="A4" s="9">
        <f>AVERAGE(Tbl_Daily[volume_millions])</f>
        <v>149.61649329929796</v>
      </c>
      <c r="B4" s="9"/>
      <c r="C4" s="9"/>
      <c r="D4" s="9">
        <f>AVERAGE(Tbl_Daily[value_crores])</f>
        <v>5125.8025015954063</v>
      </c>
      <c r="E4" s="9"/>
      <c r="F4" s="9"/>
      <c r="G4" s="9">
        <f>MAX(Tbl_Daily[volume_millions])</f>
        <v>723.02</v>
      </c>
      <c r="H4" s="9"/>
      <c r="I4" s="9"/>
      <c r="J4" s="9">
        <f>MAX(Tbl_Daily[value_crores])</f>
        <v>24771.040000000001</v>
      </c>
      <c r="K4" s="9"/>
      <c r="L4" s="9"/>
      <c r="M4" s="9">
        <f>AVERAGEIFS(Tbl_Daily[volume_millions],Tbl_Daily[is_weekend],1)</f>
        <v>129.7870693512304</v>
      </c>
      <c r="N4" s="9"/>
      <c r="O4" s="9"/>
      <c r="P4" s="9">
        <f>AVERAGEIFS(Tbl_Daily[volume_millions],Tbl_Daily[is_weekend],0)</f>
        <v>157.53055803571436</v>
      </c>
      <c r="Q4" s="9"/>
      <c r="R4" s="9"/>
    </row>
    <row r="9" spans="1:20" ht="15" customHeight="1" x14ac:dyDescent="0.3">
      <c r="A9" s="19" t="s">
        <v>286</v>
      </c>
      <c r="K9" s="19" t="s">
        <v>287</v>
      </c>
      <c r="O9" s="19" t="s">
        <v>288</v>
      </c>
      <c r="S9" s="19" t="s">
        <v>289</v>
      </c>
    </row>
    <row r="10" spans="1:20" ht="24.75" customHeight="1" x14ac:dyDescent="0.3">
      <c r="A10" s="20" t="s">
        <v>65</v>
      </c>
      <c r="B10" s="20" t="s">
        <v>63</v>
      </c>
      <c r="C10" s="20" t="s">
        <v>64</v>
      </c>
      <c r="D10" s="20" t="s">
        <v>290</v>
      </c>
      <c r="E10" s="20" t="s">
        <v>291</v>
      </c>
      <c r="F10" s="20" t="s">
        <v>292</v>
      </c>
      <c r="G10" s="20" t="s">
        <v>66</v>
      </c>
      <c r="H10" s="20" t="s">
        <v>68</v>
      </c>
      <c r="I10" s="20" t="s">
        <v>240</v>
      </c>
      <c r="K10" s="20" t="s">
        <v>293</v>
      </c>
      <c r="L10" s="20" t="s">
        <v>294</v>
      </c>
      <c r="M10" s="20" t="s">
        <v>295</v>
      </c>
      <c r="O10" s="20" t="s">
        <v>296</v>
      </c>
      <c r="P10" s="20" t="s">
        <v>294</v>
      </c>
      <c r="Q10" s="20" t="s">
        <v>295</v>
      </c>
      <c r="S10" s="20" t="s">
        <v>297</v>
      </c>
      <c r="T10" s="20" t="s">
        <v>298</v>
      </c>
    </row>
    <row r="11" spans="1:20" ht="15" customHeight="1" x14ac:dyDescent="0.3">
      <c r="A11" s="21" t="s">
        <v>85</v>
      </c>
      <c r="B11" s="21">
        <v>2016</v>
      </c>
      <c r="C11" s="21">
        <v>8</v>
      </c>
      <c r="D11" s="21">
        <v>1</v>
      </c>
      <c r="E11" s="21" t="s">
        <v>299</v>
      </c>
      <c r="F11" s="21">
        <v>0</v>
      </c>
      <c r="G11" s="21">
        <v>0</v>
      </c>
      <c r="H11" s="21">
        <v>0.12</v>
      </c>
      <c r="I11" s="21">
        <v>0</v>
      </c>
      <c r="K11" s="22" t="s">
        <v>299</v>
      </c>
      <c r="L11" s="23">
        <f>AVERAGEIFS(Tbl_Daily[volume_millions],Tbl_Daily[day_of_week],K11)</f>
        <v>160.73609374999984</v>
      </c>
      <c r="M11" s="23">
        <f>AVERAGEIFS(Tbl_Daily[value_crores],Tbl_Daily[day_of_week],K11)</f>
        <v>5507.0859375</v>
      </c>
      <c r="O11" s="22" t="s">
        <v>300</v>
      </c>
      <c r="P11" s="23">
        <f>AVERAGEIFS(Tbl_Daily[volume_millions],Tbl_Daily[is_weekend],0)</f>
        <v>157.53055803571436</v>
      </c>
      <c r="Q11" s="23">
        <f>AVERAGEIFS(Tbl_Daily[value_crores],Tbl_Daily[is_weekend],0)</f>
        <v>5397.0367678571429</v>
      </c>
      <c r="S11" s="26" t="s">
        <v>301</v>
      </c>
      <c r="T11" s="23">
        <f>AVERAGEIFS(Tbl_Daily[volume_millions],Tbl_Daily[year],2016,Tbl_Daily[month],8)</f>
        <v>0</v>
      </c>
    </row>
    <row r="12" spans="1:20" ht="15" customHeight="1" x14ac:dyDescent="0.3">
      <c r="A12" s="21" t="s">
        <v>302</v>
      </c>
      <c r="B12" s="21">
        <v>2016</v>
      </c>
      <c r="C12" s="21">
        <v>8</v>
      </c>
      <c r="D12" s="21">
        <v>2</v>
      </c>
      <c r="E12" s="21" t="s">
        <v>303</v>
      </c>
      <c r="F12" s="21">
        <v>0</v>
      </c>
      <c r="G12" s="21">
        <v>0</v>
      </c>
      <c r="H12" s="21">
        <v>0.11</v>
      </c>
      <c r="I12" s="21">
        <v>0</v>
      </c>
      <c r="K12" s="22" t="s">
        <v>303</v>
      </c>
      <c r="L12" s="23">
        <f>AVERAGEIFS(Tbl_Daily[volume_millions],Tbl_Daily[day_of_week],K12)</f>
        <v>153.72627232142858</v>
      </c>
      <c r="M12" s="23">
        <f>AVERAGEIFS(Tbl_Daily[value_crores],Tbl_Daily[day_of_week],K12)</f>
        <v>5266.6729241071434</v>
      </c>
      <c r="O12" s="22" t="s">
        <v>304</v>
      </c>
      <c r="P12" s="23">
        <f>AVERAGEIFS(Tbl_Daily[volume_millions],Tbl_Daily[is_weekend],1)</f>
        <v>129.7870693512304</v>
      </c>
      <c r="Q12" s="23">
        <f>AVERAGEIFS(Tbl_Daily[value_crores],Tbl_Daily[is_weekend],1)</f>
        <v>4446.1998657718104</v>
      </c>
      <c r="S12" s="26" t="s">
        <v>305</v>
      </c>
      <c r="T12" s="23">
        <f>AVERAGEIFS(Tbl_Daily[volume_millions],Tbl_Daily[year],2016,Tbl_Daily[month],9)</f>
        <v>1.3333333333333333E-3</v>
      </c>
    </row>
    <row r="13" spans="1:20" ht="15" customHeight="1" x14ac:dyDescent="0.3">
      <c r="A13" s="21" t="s">
        <v>306</v>
      </c>
      <c r="B13" s="21">
        <v>2016</v>
      </c>
      <c r="C13" s="21">
        <v>8</v>
      </c>
      <c r="D13" s="21">
        <v>3</v>
      </c>
      <c r="E13" s="21" t="s">
        <v>307</v>
      </c>
      <c r="F13" s="21">
        <v>0</v>
      </c>
      <c r="G13" s="21">
        <v>0</v>
      </c>
      <c r="H13" s="21">
        <v>0.1</v>
      </c>
      <c r="I13" s="21">
        <v>0</v>
      </c>
      <c r="K13" s="22" t="s">
        <v>307</v>
      </c>
      <c r="L13" s="23">
        <f>AVERAGEIFS(Tbl_Daily[volume_millions],Tbl_Daily[day_of_week],K13)</f>
        <v>153.14678571428576</v>
      </c>
      <c r="M13" s="23">
        <f>AVERAGEIFS(Tbl_Daily[value_crores],Tbl_Daily[day_of_week],K13)</f>
        <v>5246.4439955357138</v>
      </c>
      <c r="S13" s="26" t="s">
        <v>308</v>
      </c>
      <c r="T13" s="23">
        <f>AVERAGEIFS(Tbl_Daily[volume_millions],Tbl_Daily[year],2016,Tbl_Daily[month],10)</f>
        <v>1.0000000000000004E-2</v>
      </c>
    </row>
    <row r="14" spans="1:20" ht="15" customHeight="1" x14ac:dyDescent="0.3">
      <c r="A14" s="21" t="s">
        <v>309</v>
      </c>
      <c r="B14" s="21">
        <v>2016</v>
      </c>
      <c r="C14" s="21">
        <v>8</v>
      </c>
      <c r="D14" s="21">
        <v>4</v>
      </c>
      <c r="E14" s="21" t="s">
        <v>310</v>
      </c>
      <c r="F14" s="21">
        <v>0</v>
      </c>
      <c r="G14" s="21">
        <v>0</v>
      </c>
      <c r="H14" s="21">
        <v>0.1</v>
      </c>
      <c r="I14" s="21">
        <v>0</v>
      </c>
      <c r="K14" s="22" t="s">
        <v>310</v>
      </c>
      <c r="L14" s="23">
        <f>AVERAGEIFS(Tbl_Daily[volume_millions],Tbl_Daily[day_of_week],K14)</f>
        <v>153.65285714285716</v>
      </c>
      <c r="M14" s="23">
        <f>AVERAGEIFS(Tbl_Daily[value_crores],Tbl_Daily[day_of_week],K14)</f>
        <v>5264.1275000000005</v>
      </c>
      <c r="S14" s="26" t="s">
        <v>311</v>
      </c>
      <c r="T14" s="23">
        <f>AVERAGEIFS(Tbl_Daily[volume_millions],Tbl_Daily[year],2016,Tbl_Daily[month],11)</f>
        <v>1.7666666666666671E-2</v>
      </c>
    </row>
    <row r="15" spans="1:20" ht="15" customHeight="1" x14ac:dyDescent="0.3">
      <c r="A15" s="21" t="s">
        <v>312</v>
      </c>
      <c r="B15" s="21">
        <v>2016</v>
      </c>
      <c r="C15" s="21">
        <v>8</v>
      </c>
      <c r="D15" s="21">
        <v>5</v>
      </c>
      <c r="E15" s="21" t="s">
        <v>313</v>
      </c>
      <c r="F15" s="21">
        <v>0</v>
      </c>
      <c r="G15" s="21">
        <v>0</v>
      </c>
      <c r="H15" s="21">
        <v>0.11</v>
      </c>
      <c r="I15" s="21">
        <v>0</v>
      </c>
      <c r="K15" s="22" t="s">
        <v>313</v>
      </c>
      <c r="L15" s="23">
        <f>AVERAGEIFS(Tbl_Daily[volume_millions],Tbl_Daily[day_of_week],K15)</f>
        <v>166.39078125000006</v>
      </c>
      <c r="M15" s="23">
        <f>AVERAGEIFS(Tbl_Daily[value_crores],Tbl_Daily[day_of_week],K15)</f>
        <v>5700.8534821428575</v>
      </c>
      <c r="S15" s="26" t="s">
        <v>314</v>
      </c>
      <c r="T15" s="23">
        <f>AVERAGEIFS(Tbl_Daily[volume_millions],Tbl_Daily[year],2016,Tbl_Daily[month],12)</f>
        <v>6.4516129032258104E-2</v>
      </c>
    </row>
    <row r="16" spans="1:20" ht="15" customHeight="1" x14ac:dyDescent="0.3">
      <c r="A16" s="21" t="s">
        <v>315</v>
      </c>
      <c r="B16" s="21">
        <v>2016</v>
      </c>
      <c r="C16" s="21">
        <v>8</v>
      </c>
      <c r="D16" s="21">
        <v>6</v>
      </c>
      <c r="E16" s="21" t="s">
        <v>316</v>
      </c>
      <c r="F16" s="21">
        <v>1</v>
      </c>
      <c r="G16" s="21">
        <v>0</v>
      </c>
      <c r="H16" s="21">
        <v>0.08</v>
      </c>
      <c r="I16" s="21">
        <v>0</v>
      </c>
      <c r="K16" s="22" t="s">
        <v>316</v>
      </c>
      <c r="L16" s="23">
        <f>AVERAGEIFS(Tbl_Daily[volume_millions],Tbl_Daily[day_of_week],K16)</f>
        <v>129.86579418344513</v>
      </c>
      <c r="M16" s="23">
        <f>AVERAGEIFS(Tbl_Daily[value_crores],Tbl_Daily[day_of_week],K16)</f>
        <v>4449.0393064876971</v>
      </c>
      <c r="S16" s="26" t="s">
        <v>317</v>
      </c>
      <c r="T16" s="23">
        <f>AVERAGEIFS(Tbl_Daily[volume_millions],Tbl_Daily[year],2017,Tbl_Daily[month],1)</f>
        <v>0.13580645161290322</v>
      </c>
    </row>
    <row r="17" spans="1:20" ht="15" customHeight="1" x14ac:dyDescent="0.3">
      <c r="A17" s="21" t="s">
        <v>318</v>
      </c>
      <c r="B17" s="21">
        <v>2016</v>
      </c>
      <c r="C17" s="21">
        <v>8</v>
      </c>
      <c r="D17" s="21">
        <v>7</v>
      </c>
      <c r="E17" s="21" t="s">
        <v>319</v>
      </c>
      <c r="F17" s="21">
        <v>1</v>
      </c>
      <c r="G17" s="21">
        <v>0</v>
      </c>
      <c r="H17" s="21">
        <v>0.09</v>
      </c>
      <c r="I17" s="21">
        <v>0</v>
      </c>
      <c r="K17" s="22" t="s">
        <v>319</v>
      </c>
      <c r="L17" s="23">
        <f>AVERAGEIFS(Tbl_Daily[volume_millions],Tbl_Daily[day_of_week],K17)</f>
        <v>129.70834451901561</v>
      </c>
      <c r="M17" s="23">
        <f>AVERAGEIFS(Tbl_Daily[value_crores],Tbl_Daily[day_of_week],K17)</f>
        <v>4443.3604250559274</v>
      </c>
      <c r="S17" s="26" t="s">
        <v>320</v>
      </c>
      <c r="T17" s="23">
        <f>AVERAGEIFS(Tbl_Daily[volume_millions],Tbl_Daily[year],2017,Tbl_Daily[month],2)</f>
        <v>0.14928571428571427</v>
      </c>
    </row>
    <row r="18" spans="1:20" ht="15" customHeight="1" x14ac:dyDescent="0.3">
      <c r="A18" s="21" t="s">
        <v>321</v>
      </c>
      <c r="B18" s="21">
        <v>2016</v>
      </c>
      <c r="C18" s="21">
        <v>8</v>
      </c>
      <c r="D18" s="21">
        <v>8</v>
      </c>
      <c r="E18" s="21" t="s">
        <v>299</v>
      </c>
      <c r="F18" s="21">
        <v>0</v>
      </c>
      <c r="G18" s="21">
        <v>0</v>
      </c>
      <c r="H18" s="21">
        <v>0.11</v>
      </c>
      <c r="I18" s="21">
        <v>0</v>
      </c>
      <c r="S18" s="26" t="s">
        <v>322</v>
      </c>
      <c r="T18" s="23">
        <f>AVERAGEIFS(Tbl_Daily[volume_millions],Tbl_Daily[year],2017,Tbl_Daily[month],3)</f>
        <v>0.2</v>
      </c>
    </row>
    <row r="19" spans="1:20" ht="15" customHeight="1" x14ac:dyDescent="0.3">
      <c r="A19" s="21" t="s">
        <v>323</v>
      </c>
      <c r="B19" s="21">
        <v>2016</v>
      </c>
      <c r="C19" s="21">
        <v>8</v>
      </c>
      <c r="D19" s="21">
        <v>9</v>
      </c>
      <c r="E19" s="21" t="s">
        <v>303</v>
      </c>
      <c r="F19" s="21">
        <v>0</v>
      </c>
      <c r="G19" s="21">
        <v>0</v>
      </c>
      <c r="H19" s="21">
        <v>0.1</v>
      </c>
      <c r="I19" s="21">
        <v>0</v>
      </c>
      <c r="S19" s="26" t="s">
        <v>324</v>
      </c>
      <c r="T19" s="23">
        <f>AVERAGEIFS(Tbl_Daily[volume_millions],Tbl_Daily[year],2017,Tbl_Daily[month],4)</f>
        <v>0.22633333333333341</v>
      </c>
    </row>
    <row r="20" spans="1:20" ht="15" customHeight="1" x14ac:dyDescent="0.3">
      <c r="A20" s="21" t="s">
        <v>325</v>
      </c>
      <c r="B20" s="21">
        <v>2016</v>
      </c>
      <c r="C20" s="21">
        <v>8</v>
      </c>
      <c r="D20" s="21">
        <v>10</v>
      </c>
      <c r="E20" s="21" t="s">
        <v>307</v>
      </c>
      <c r="F20" s="21">
        <v>0</v>
      </c>
      <c r="G20" s="21">
        <v>0</v>
      </c>
      <c r="H20" s="21">
        <v>0.1</v>
      </c>
      <c r="I20" s="21">
        <v>0</v>
      </c>
      <c r="S20" s="26" t="s">
        <v>326</v>
      </c>
      <c r="T20" s="23">
        <f>AVERAGEIFS(Tbl_Daily[volume_millions],Tbl_Daily[year],2017,Tbl_Daily[month],5)</f>
        <v>0.29967741935483866</v>
      </c>
    </row>
    <row r="21" spans="1:20" ht="15" customHeight="1" x14ac:dyDescent="0.3">
      <c r="A21" s="21" t="s">
        <v>327</v>
      </c>
      <c r="B21" s="21">
        <v>2016</v>
      </c>
      <c r="C21" s="21">
        <v>8</v>
      </c>
      <c r="D21" s="21">
        <v>11</v>
      </c>
      <c r="E21" s="21" t="s">
        <v>310</v>
      </c>
      <c r="F21" s="21">
        <v>0</v>
      </c>
      <c r="G21" s="21">
        <v>0</v>
      </c>
      <c r="H21" s="21">
        <v>0.1</v>
      </c>
      <c r="I21" s="21">
        <v>0</v>
      </c>
      <c r="S21" s="26" t="s">
        <v>328</v>
      </c>
      <c r="T21" s="23">
        <f>AVERAGEIFS(Tbl_Daily[volume_millions],Tbl_Daily[year],2017,Tbl_Daily[month],6)</f>
        <v>0.34299999999999997</v>
      </c>
    </row>
    <row r="22" spans="1:20" ht="15" customHeight="1" x14ac:dyDescent="0.3">
      <c r="A22" s="21" t="s">
        <v>329</v>
      </c>
      <c r="B22" s="21">
        <v>2016</v>
      </c>
      <c r="C22" s="21">
        <v>8</v>
      </c>
      <c r="D22" s="21">
        <v>12</v>
      </c>
      <c r="E22" s="21" t="s">
        <v>313</v>
      </c>
      <c r="F22" s="21">
        <v>0</v>
      </c>
      <c r="G22" s="21">
        <v>0</v>
      </c>
      <c r="H22" s="21">
        <v>0.11</v>
      </c>
      <c r="I22" s="21">
        <v>0</v>
      </c>
      <c r="S22" s="26" t="s">
        <v>330</v>
      </c>
      <c r="T22" s="23">
        <f>AVERAGEIFS(Tbl_Daily[volume_millions],Tbl_Daily[year],2017,Tbl_Daily[month],7)</f>
        <v>0.52774193548387094</v>
      </c>
    </row>
    <row r="23" spans="1:20" ht="15" customHeight="1" x14ac:dyDescent="0.3">
      <c r="A23" s="21" t="s">
        <v>331</v>
      </c>
      <c r="B23" s="21">
        <v>2016</v>
      </c>
      <c r="C23" s="21">
        <v>8</v>
      </c>
      <c r="D23" s="21">
        <v>13</v>
      </c>
      <c r="E23" s="21" t="s">
        <v>316</v>
      </c>
      <c r="F23" s="21">
        <v>1</v>
      </c>
      <c r="G23" s="21">
        <v>0</v>
      </c>
      <c r="H23" s="21">
        <v>0.09</v>
      </c>
      <c r="I23" s="21">
        <v>0</v>
      </c>
      <c r="S23" s="26" t="s">
        <v>332</v>
      </c>
      <c r="T23" s="23">
        <f>AVERAGEIFS(Tbl_Daily[volume_millions],Tbl_Daily[year],2017,Tbl_Daily[month],8)</f>
        <v>0.99612903225806448</v>
      </c>
    </row>
    <row r="24" spans="1:20" ht="15" customHeight="1" x14ac:dyDescent="0.3">
      <c r="A24" s="21" t="s">
        <v>333</v>
      </c>
      <c r="B24" s="21">
        <v>2016</v>
      </c>
      <c r="C24" s="21">
        <v>8</v>
      </c>
      <c r="D24" s="21">
        <v>14</v>
      </c>
      <c r="E24" s="21" t="s">
        <v>319</v>
      </c>
      <c r="F24" s="21">
        <v>1</v>
      </c>
      <c r="G24" s="21">
        <v>0</v>
      </c>
      <c r="H24" s="21">
        <v>0.08</v>
      </c>
      <c r="I24" s="21">
        <v>0</v>
      </c>
      <c r="S24" s="26" t="s">
        <v>334</v>
      </c>
      <c r="T24" s="23">
        <f>AVERAGEIFS(Tbl_Daily[volume_millions],Tbl_Daily[year],2017,Tbl_Daily[month],9)</f>
        <v>1.7660000000000005</v>
      </c>
    </row>
    <row r="25" spans="1:20" ht="15" customHeight="1" x14ac:dyDescent="0.3">
      <c r="A25" s="21" t="s">
        <v>335</v>
      </c>
      <c r="B25" s="21">
        <v>2016</v>
      </c>
      <c r="C25" s="21">
        <v>8</v>
      </c>
      <c r="D25" s="21">
        <v>15</v>
      </c>
      <c r="E25" s="21" t="s">
        <v>299</v>
      </c>
      <c r="F25" s="21">
        <v>0</v>
      </c>
      <c r="G25" s="21">
        <v>0</v>
      </c>
      <c r="H25" s="21">
        <v>0.1</v>
      </c>
      <c r="I25" s="21">
        <v>0</v>
      </c>
      <c r="S25" s="26" t="s">
        <v>336</v>
      </c>
      <c r="T25" s="23">
        <f>AVERAGEIFS(Tbl_Daily[volume_millions],Tbl_Daily[year],2017,Tbl_Daily[month],10)</f>
        <v>2.5248387096774194</v>
      </c>
    </row>
    <row r="26" spans="1:20" ht="15" customHeight="1" x14ac:dyDescent="0.3">
      <c r="A26" s="21" t="s">
        <v>337</v>
      </c>
      <c r="B26" s="21">
        <v>2016</v>
      </c>
      <c r="C26" s="21">
        <v>8</v>
      </c>
      <c r="D26" s="21">
        <v>16</v>
      </c>
      <c r="E26" s="21" t="s">
        <v>303</v>
      </c>
      <c r="F26" s="21">
        <v>0</v>
      </c>
      <c r="G26" s="21">
        <v>0</v>
      </c>
      <c r="H26" s="21">
        <v>0.1</v>
      </c>
      <c r="I26" s="21">
        <v>0</v>
      </c>
      <c r="S26" s="26" t="s">
        <v>338</v>
      </c>
      <c r="T26" s="23">
        <f>AVERAGEIFS(Tbl_Daily[volume_millions],Tbl_Daily[year],2017,Tbl_Daily[month],11)</f>
        <v>3.5989999999999989</v>
      </c>
    </row>
    <row r="27" spans="1:20" ht="15" customHeight="1" x14ac:dyDescent="0.3">
      <c r="A27" s="21" t="s">
        <v>339</v>
      </c>
      <c r="B27" s="21">
        <v>2016</v>
      </c>
      <c r="C27" s="21">
        <v>8</v>
      </c>
      <c r="D27" s="21">
        <v>17</v>
      </c>
      <c r="E27" s="21" t="s">
        <v>307</v>
      </c>
      <c r="F27" s="21">
        <v>0</v>
      </c>
      <c r="G27" s="21">
        <v>0</v>
      </c>
      <c r="H27" s="21">
        <v>0.1</v>
      </c>
      <c r="I27" s="21">
        <v>0</v>
      </c>
      <c r="S27" s="26" t="s">
        <v>340</v>
      </c>
      <c r="T27" s="23">
        <f>AVERAGEIFS(Tbl_Daily[volume_millions],Tbl_Daily[year],2017,Tbl_Daily[month],12)</f>
        <v>4.6309677419354847</v>
      </c>
    </row>
    <row r="28" spans="1:20" ht="15" customHeight="1" x14ac:dyDescent="0.3">
      <c r="A28" s="21" t="s">
        <v>341</v>
      </c>
      <c r="B28" s="21">
        <v>2016</v>
      </c>
      <c r="C28" s="21">
        <v>8</v>
      </c>
      <c r="D28" s="21">
        <v>18</v>
      </c>
      <c r="E28" s="21" t="s">
        <v>310</v>
      </c>
      <c r="F28" s="21">
        <v>0</v>
      </c>
      <c r="G28" s="21">
        <v>0</v>
      </c>
      <c r="H28" s="21">
        <v>0.1</v>
      </c>
      <c r="I28" s="21">
        <v>0</v>
      </c>
      <c r="S28" s="26" t="s">
        <v>342</v>
      </c>
      <c r="T28" s="23">
        <f>AVERAGEIFS(Tbl_Daily[volume_millions],Tbl_Daily[year],2018,Tbl_Daily[month],1)</f>
        <v>4.8483870967741929</v>
      </c>
    </row>
    <row r="29" spans="1:20" ht="15" customHeight="1" x14ac:dyDescent="0.3">
      <c r="A29" s="21" t="s">
        <v>343</v>
      </c>
      <c r="B29" s="21">
        <v>2016</v>
      </c>
      <c r="C29" s="21">
        <v>8</v>
      </c>
      <c r="D29" s="21">
        <v>19</v>
      </c>
      <c r="E29" s="21" t="s">
        <v>313</v>
      </c>
      <c r="F29" s="21">
        <v>0</v>
      </c>
      <c r="G29" s="21">
        <v>0</v>
      </c>
      <c r="H29" s="21">
        <v>0.1</v>
      </c>
      <c r="I29" s="21">
        <v>0</v>
      </c>
      <c r="S29" s="26" t="s">
        <v>344</v>
      </c>
      <c r="T29" s="23">
        <f>AVERAGEIFS(Tbl_Daily[volume_millions],Tbl_Daily[year],2018,Tbl_Daily[month],2)</f>
        <v>6.0957142857142852</v>
      </c>
    </row>
    <row r="30" spans="1:20" ht="15" customHeight="1" x14ac:dyDescent="0.3">
      <c r="A30" s="21" t="s">
        <v>345</v>
      </c>
      <c r="B30" s="21">
        <v>2016</v>
      </c>
      <c r="C30" s="21">
        <v>8</v>
      </c>
      <c r="D30" s="21">
        <v>20</v>
      </c>
      <c r="E30" s="21" t="s">
        <v>316</v>
      </c>
      <c r="F30" s="21">
        <v>1</v>
      </c>
      <c r="G30" s="21">
        <v>0</v>
      </c>
      <c r="H30" s="21">
        <v>0.08</v>
      </c>
      <c r="I30" s="21">
        <v>0</v>
      </c>
      <c r="S30" s="26" t="s">
        <v>346</v>
      </c>
      <c r="T30" s="23">
        <f>AVERAGEIFS(Tbl_Daily[volume_millions],Tbl_Daily[year],2018,Tbl_Daily[month],3)</f>
        <v>5.7393548387096764</v>
      </c>
    </row>
    <row r="31" spans="1:20" ht="15" customHeight="1" x14ac:dyDescent="0.3">
      <c r="A31" s="21" t="s">
        <v>347</v>
      </c>
      <c r="B31" s="21">
        <v>2016</v>
      </c>
      <c r="C31" s="21">
        <v>8</v>
      </c>
      <c r="D31" s="21">
        <v>21</v>
      </c>
      <c r="E31" s="21" t="s">
        <v>319</v>
      </c>
      <c r="F31" s="21">
        <v>1</v>
      </c>
      <c r="G31" s="21">
        <v>0</v>
      </c>
      <c r="H31" s="21">
        <v>0.09</v>
      </c>
      <c r="I31" s="21">
        <v>0</v>
      </c>
      <c r="S31" s="26" t="s">
        <v>348</v>
      </c>
      <c r="T31" s="23">
        <f>AVERAGEIFS(Tbl_Daily[volume_millions],Tbl_Daily[year],2018,Tbl_Daily[month],4)</f>
        <v>6.3220000000000001</v>
      </c>
    </row>
    <row r="32" spans="1:20" ht="15" customHeight="1" x14ac:dyDescent="0.3">
      <c r="A32" s="21" t="s">
        <v>349</v>
      </c>
      <c r="B32" s="21">
        <v>2016</v>
      </c>
      <c r="C32" s="21">
        <v>8</v>
      </c>
      <c r="D32" s="21">
        <v>22</v>
      </c>
      <c r="E32" s="21" t="s">
        <v>299</v>
      </c>
      <c r="F32" s="21">
        <v>0</v>
      </c>
      <c r="G32" s="21">
        <v>0</v>
      </c>
      <c r="H32" s="21">
        <v>0.1</v>
      </c>
      <c r="I32" s="21">
        <v>0</v>
      </c>
      <c r="S32" s="26" t="s">
        <v>350</v>
      </c>
      <c r="T32" s="23">
        <f>AVERAGEIFS(Tbl_Daily[volume_millions],Tbl_Daily[year],2018,Tbl_Daily[month],5)</f>
        <v>7.1851612903225801</v>
      </c>
    </row>
    <row r="33" spans="1:20" ht="15" customHeight="1" x14ac:dyDescent="0.3">
      <c r="A33" s="21" t="s">
        <v>351</v>
      </c>
      <c r="B33" s="21">
        <v>2016</v>
      </c>
      <c r="C33" s="21">
        <v>8</v>
      </c>
      <c r="D33" s="21">
        <v>23</v>
      </c>
      <c r="E33" s="21" t="s">
        <v>303</v>
      </c>
      <c r="F33" s="21">
        <v>0</v>
      </c>
      <c r="G33" s="21">
        <v>0</v>
      </c>
      <c r="H33" s="21">
        <v>0.1</v>
      </c>
      <c r="I33" s="21">
        <v>0</v>
      </c>
      <c r="S33" s="26" t="s">
        <v>352</v>
      </c>
      <c r="T33" s="23">
        <f>AVERAGEIFS(Tbl_Daily[volume_millions],Tbl_Daily[year],2018,Tbl_Daily[month],6)</f>
        <v>8.1723333333333326</v>
      </c>
    </row>
    <row r="34" spans="1:20" ht="15" customHeight="1" x14ac:dyDescent="0.3">
      <c r="A34" s="21" t="s">
        <v>353</v>
      </c>
      <c r="B34" s="21">
        <v>2016</v>
      </c>
      <c r="C34" s="21">
        <v>8</v>
      </c>
      <c r="D34" s="21">
        <v>24</v>
      </c>
      <c r="E34" s="21" t="s">
        <v>307</v>
      </c>
      <c r="F34" s="21">
        <v>0</v>
      </c>
      <c r="G34" s="21">
        <v>0</v>
      </c>
      <c r="H34" s="21">
        <v>0.1</v>
      </c>
      <c r="I34" s="21">
        <v>0</v>
      </c>
      <c r="S34" s="26" t="s">
        <v>354</v>
      </c>
      <c r="T34" s="23">
        <f>AVERAGEIFS(Tbl_Daily[volume_millions],Tbl_Daily[year],2018,Tbl_Daily[month],7)</f>
        <v>7.5193548387096758</v>
      </c>
    </row>
    <row r="35" spans="1:20" ht="15" customHeight="1" x14ac:dyDescent="0.3">
      <c r="A35" s="21" t="s">
        <v>355</v>
      </c>
      <c r="B35" s="21">
        <v>2016</v>
      </c>
      <c r="C35" s="21">
        <v>8</v>
      </c>
      <c r="D35" s="21">
        <v>25</v>
      </c>
      <c r="E35" s="21" t="s">
        <v>310</v>
      </c>
      <c r="F35" s="21">
        <v>0</v>
      </c>
      <c r="G35" s="21">
        <v>0</v>
      </c>
      <c r="H35" s="21">
        <v>0.1</v>
      </c>
      <c r="I35" s="21">
        <v>0</v>
      </c>
      <c r="S35" s="26" t="s">
        <v>356</v>
      </c>
      <c r="T35" s="23">
        <f>AVERAGEIFS(Tbl_Daily[volume_millions],Tbl_Daily[year],2018,Tbl_Daily[month],8)</f>
        <v>10.040967741935486</v>
      </c>
    </row>
    <row r="36" spans="1:20" ht="15" customHeight="1" x14ac:dyDescent="0.3">
      <c r="A36" s="21" t="s">
        <v>357</v>
      </c>
      <c r="B36" s="21">
        <v>2016</v>
      </c>
      <c r="C36" s="21">
        <v>8</v>
      </c>
      <c r="D36" s="21">
        <v>26</v>
      </c>
      <c r="E36" s="21" t="s">
        <v>313</v>
      </c>
      <c r="F36" s="21">
        <v>0</v>
      </c>
      <c r="G36" s="21">
        <v>0</v>
      </c>
      <c r="H36" s="21">
        <v>0.11</v>
      </c>
      <c r="I36" s="21">
        <v>0</v>
      </c>
      <c r="S36" s="26" t="s">
        <v>358</v>
      </c>
      <c r="T36" s="23">
        <f>AVERAGEIFS(Tbl_Daily[volume_millions],Tbl_Daily[year],2018,Tbl_Daily[month],9)</f>
        <v>13.423</v>
      </c>
    </row>
    <row r="37" spans="1:20" ht="15" customHeight="1" x14ac:dyDescent="0.3">
      <c r="A37" s="21" t="s">
        <v>359</v>
      </c>
      <c r="B37" s="21">
        <v>2016</v>
      </c>
      <c r="C37" s="21">
        <v>8</v>
      </c>
      <c r="D37" s="21">
        <v>27</v>
      </c>
      <c r="E37" s="21" t="s">
        <v>316</v>
      </c>
      <c r="F37" s="21">
        <v>1</v>
      </c>
      <c r="G37" s="21">
        <v>0</v>
      </c>
      <c r="H37" s="21">
        <v>0.08</v>
      </c>
      <c r="I37" s="21">
        <v>0</v>
      </c>
      <c r="S37" s="26" t="s">
        <v>360</v>
      </c>
      <c r="T37" s="23">
        <f>AVERAGEIFS(Tbl_Daily[volume_millions],Tbl_Daily[year],2018,Tbl_Daily[month],10)</f>
        <v>16.141935483870963</v>
      </c>
    </row>
    <row r="38" spans="1:20" ht="15" customHeight="1" x14ac:dyDescent="0.3">
      <c r="A38" s="21" t="s">
        <v>361</v>
      </c>
      <c r="B38" s="21">
        <v>2016</v>
      </c>
      <c r="C38" s="21">
        <v>8</v>
      </c>
      <c r="D38" s="21">
        <v>28</v>
      </c>
      <c r="E38" s="21" t="s">
        <v>319</v>
      </c>
      <c r="F38" s="21">
        <v>1</v>
      </c>
      <c r="G38" s="21">
        <v>0</v>
      </c>
      <c r="H38" s="21">
        <v>0.09</v>
      </c>
      <c r="I38" s="21">
        <v>0</v>
      </c>
      <c r="S38" s="26" t="s">
        <v>362</v>
      </c>
      <c r="T38" s="23">
        <f>AVERAGEIFS(Tbl_Daily[volume_millions],Tbl_Daily[year],2018,Tbl_Daily[month],11)</f>
        <v>18.166666666666668</v>
      </c>
    </row>
    <row r="39" spans="1:20" ht="15" customHeight="1" x14ac:dyDescent="0.3">
      <c r="A39" s="21" t="s">
        <v>363</v>
      </c>
      <c r="B39" s="21">
        <v>2016</v>
      </c>
      <c r="C39" s="21">
        <v>8</v>
      </c>
      <c r="D39" s="21">
        <v>29</v>
      </c>
      <c r="E39" s="21" t="s">
        <v>299</v>
      </c>
      <c r="F39" s="21">
        <v>0</v>
      </c>
      <c r="G39" s="21">
        <v>0</v>
      </c>
      <c r="H39" s="21">
        <v>0.1</v>
      </c>
      <c r="I39" s="21">
        <v>0</v>
      </c>
      <c r="S39" s="26" t="s">
        <v>364</v>
      </c>
      <c r="T39" s="23">
        <f>AVERAGEIFS(Tbl_Daily[volume_millions],Tbl_Daily[year],2018,Tbl_Daily[month],12)</f>
        <v>19.902258064516129</v>
      </c>
    </row>
    <row r="40" spans="1:20" ht="15" customHeight="1" x14ac:dyDescent="0.3">
      <c r="A40" s="21" t="s">
        <v>365</v>
      </c>
      <c r="B40" s="21">
        <v>2016</v>
      </c>
      <c r="C40" s="21">
        <v>8</v>
      </c>
      <c r="D40" s="21">
        <v>30</v>
      </c>
      <c r="E40" s="21" t="s">
        <v>303</v>
      </c>
      <c r="F40" s="21">
        <v>0</v>
      </c>
      <c r="G40" s="21">
        <v>0</v>
      </c>
      <c r="H40" s="21">
        <v>0.11</v>
      </c>
      <c r="I40" s="21">
        <v>0</v>
      </c>
      <c r="S40" s="26" t="s">
        <v>366</v>
      </c>
      <c r="T40" s="23">
        <f>AVERAGEIFS(Tbl_Daily[volume_millions],Tbl_Daily[year],2019,Tbl_Daily[month],1)</f>
        <v>22.01064516129032</v>
      </c>
    </row>
    <row r="41" spans="1:20" ht="15" customHeight="1" x14ac:dyDescent="0.3">
      <c r="A41" s="21" t="s">
        <v>367</v>
      </c>
      <c r="B41" s="21">
        <v>2016</v>
      </c>
      <c r="C41" s="21">
        <v>8</v>
      </c>
      <c r="D41" s="21">
        <v>31</v>
      </c>
      <c r="E41" s="21" t="s">
        <v>307</v>
      </c>
      <c r="F41" s="21">
        <v>0</v>
      </c>
      <c r="G41" s="21">
        <v>0</v>
      </c>
      <c r="H41" s="21">
        <v>0.11</v>
      </c>
      <c r="I41" s="21">
        <v>0</v>
      </c>
      <c r="S41" s="26" t="s">
        <v>368</v>
      </c>
      <c r="T41" s="23">
        <f>AVERAGEIFS(Tbl_Daily[volume_millions],Tbl_Daily[year],2019,Tbl_Daily[month],2)</f>
        <v>23.943214285714284</v>
      </c>
    </row>
    <row r="42" spans="1:20" ht="15" customHeight="1" x14ac:dyDescent="0.3">
      <c r="A42" s="21" t="s">
        <v>89</v>
      </c>
      <c r="B42" s="21">
        <v>2016</v>
      </c>
      <c r="C42" s="21">
        <v>9</v>
      </c>
      <c r="D42" s="21">
        <v>1</v>
      </c>
      <c r="E42" s="21" t="s">
        <v>310</v>
      </c>
      <c r="F42" s="21">
        <v>0</v>
      </c>
      <c r="G42" s="21">
        <v>0.01</v>
      </c>
      <c r="H42" s="21">
        <v>0.21</v>
      </c>
      <c r="I42" s="21">
        <v>210</v>
      </c>
      <c r="S42" s="26" t="s">
        <v>369</v>
      </c>
      <c r="T42" s="23">
        <f>AVERAGEIFS(Tbl_Daily[volume_millions],Tbl_Daily[year],2019,Tbl_Daily[month],3)</f>
        <v>25.662580645161292</v>
      </c>
    </row>
    <row r="43" spans="1:20" ht="15" customHeight="1" x14ac:dyDescent="0.3">
      <c r="A43" s="21" t="s">
        <v>370</v>
      </c>
      <c r="B43" s="21">
        <v>2016</v>
      </c>
      <c r="C43" s="21">
        <v>9</v>
      </c>
      <c r="D43" s="21">
        <v>2</v>
      </c>
      <c r="E43" s="21" t="s">
        <v>313</v>
      </c>
      <c r="F43" s="21">
        <v>0</v>
      </c>
      <c r="G43" s="21">
        <v>0.01</v>
      </c>
      <c r="H43" s="21">
        <v>0.22</v>
      </c>
      <c r="I43" s="21">
        <v>220</v>
      </c>
      <c r="S43" s="26" t="s">
        <v>371</v>
      </c>
      <c r="T43" s="23">
        <f>AVERAGEIFS(Tbl_Daily[volume_millions],Tbl_Daily[year],2019,Tbl_Daily[month],4)</f>
        <v>25.931333333333335</v>
      </c>
    </row>
    <row r="44" spans="1:20" ht="15" customHeight="1" x14ac:dyDescent="0.3">
      <c r="A44" s="21" t="s">
        <v>372</v>
      </c>
      <c r="B44" s="21">
        <v>2016</v>
      </c>
      <c r="C44" s="21">
        <v>9</v>
      </c>
      <c r="D44" s="21">
        <v>3</v>
      </c>
      <c r="E44" s="21" t="s">
        <v>316</v>
      </c>
      <c r="F44" s="21">
        <v>1</v>
      </c>
      <c r="G44" s="21">
        <v>0</v>
      </c>
      <c r="H44" s="21">
        <v>0.14000000000000001</v>
      </c>
      <c r="I44" s="21">
        <v>0</v>
      </c>
      <c r="S44" s="26" t="s">
        <v>373</v>
      </c>
      <c r="T44" s="23">
        <f>AVERAGEIFS(Tbl_Daily[volume_millions],Tbl_Daily[year],2019,Tbl_Daily[month],5)</f>
        <v>23.885483870967747</v>
      </c>
    </row>
    <row r="45" spans="1:20" ht="15" customHeight="1" x14ac:dyDescent="0.3">
      <c r="A45" s="21" t="s">
        <v>374</v>
      </c>
      <c r="B45" s="21">
        <v>2016</v>
      </c>
      <c r="C45" s="21">
        <v>9</v>
      </c>
      <c r="D45" s="21">
        <v>4</v>
      </c>
      <c r="E45" s="21" t="s">
        <v>319</v>
      </c>
      <c r="F45" s="21">
        <v>1</v>
      </c>
      <c r="G45" s="21">
        <v>0</v>
      </c>
      <c r="H45" s="21">
        <v>0.15</v>
      </c>
      <c r="I45" s="21">
        <v>0</v>
      </c>
      <c r="S45" s="26" t="s">
        <v>375</v>
      </c>
      <c r="T45" s="23">
        <f>AVERAGEIFS(Tbl_Daily[volume_millions],Tbl_Daily[year],2019,Tbl_Daily[month],6)</f>
        <v>24.821333333333332</v>
      </c>
    </row>
    <row r="46" spans="1:20" ht="15" customHeight="1" x14ac:dyDescent="0.3">
      <c r="A46" s="21" t="s">
        <v>376</v>
      </c>
      <c r="B46" s="21">
        <v>2016</v>
      </c>
      <c r="C46" s="21">
        <v>9</v>
      </c>
      <c r="D46" s="21">
        <v>5</v>
      </c>
      <c r="E46" s="21" t="s">
        <v>299</v>
      </c>
      <c r="F46" s="21">
        <v>0</v>
      </c>
      <c r="G46" s="21">
        <v>0</v>
      </c>
      <c r="H46" s="21">
        <v>0.18</v>
      </c>
      <c r="I46" s="21">
        <v>0</v>
      </c>
      <c r="S46" s="26" t="s">
        <v>377</v>
      </c>
      <c r="T46" s="23">
        <f>AVERAGEIFS(Tbl_Daily[volume_millions],Tbl_Daily[year],2019,Tbl_Daily[month],7)</f>
        <v>26.567096774193551</v>
      </c>
    </row>
    <row r="47" spans="1:20" ht="15" customHeight="1" x14ac:dyDescent="0.3">
      <c r="A47" s="21" t="s">
        <v>378</v>
      </c>
      <c r="B47" s="21">
        <v>2016</v>
      </c>
      <c r="C47" s="21">
        <v>9</v>
      </c>
      <c r="D47" s="21">
        <v>6</v>
      </c>
      <c r="E47" s="21" t="s">
        <v>303</v>
      </c>
      <c r="F47" s="21">
        <v>0</v>
      </c>
      <c r="G47" s="21">
        <v>0</v>
      </c>
      <c r="H47" s="21">
        <v>0.18</v>
      </c>
      <c r="I47" s="21">
        <v>0</v>
      </c>
      <c r="S47" s="26" t="s">
        <v>379</v>
      </c>
      <c r="T47" s="23">
        <f>AVERAGEIFS(Tbl_Daily[volume_millions],Tbl_Daily[year],2019,Tbl_Daily[month],8)</f>
        <v>29.712258064516135</v>
      </c>
    </row>
    <row r="48" spans="1:20" ht="15" customHeight="1" x14ac:dyDescent="0.3">
      <c r="A48" s="21" t="s">
        <v>380</v>
      </c>
      <c r="B48" s="21">
        <v>2016</v>
      </c>
      <c r="C48" s="21">
        <v>9</v>
      </c>
      <c r="D48" s="21">
        <v>7</v>
      </c>
      <c r="E48" s="21" t="s">
        <v>307</v>
      </c>
      <c r="F48" s="21">
        <v>0</v>
      </c>
      <c r="G48" s="21">
        <v>0</v>
      </c>
      <c r="H48" s="21">
        <v>0.17</v>
      </c>
      <c r="I48" s="21">
        <v>0</v>
      </c>
      <c r="S48" s="26" t="s">
        <v>381</v>
      </c>
      <c r="T48" s="23">
        <f>AVERAGEIFS(Tbl_Daily[volume_millions],Tbl_Daily[year],2019,Tbl_Daily[month],9)</f>
        <v>31.660333333333327</v>
      </c>
    </row>
    <row r="49" spans="1:20" ht="15" customHeight="1" x14ac:dyDescent="0.3">
      <c r="A49" s="21" t="s">
        <v>382</v>
      </c>
      <c r="B49" s="21">
        <v>2016</v>
      </c>
      <c r="C49" s="21">
        <v>9</v>
      </c>
      <c r="D49" s="21">
        <v>8</v>
      </c>
      <c r="E49" s="21" t="s">
        <v>310</v>
      </c>
      <c r="F49" s="21">
        <v>0</v>
      </c>
      <c r="G49" s="21">
        <v>0</v>
      </c>
      <c r="H49" s="21">
        <v>0.17</v>
      </c>
      <c r="I49" s="21">
        <v>0</v>
      </c>
      <c r="S49" s="26" t="s">
        <v>383</v>
      </c>
      <c r="T49" s="23">
        <f>AVERAGEIFS(Tbl_Daily[volume_millions],Tbl_Daily[year],2019,Tbl_Daily[month],10)</f>
        <v>38.316774193548383</v>
      </c>
    </row>
    <row r="50" spans="1:20" ht="15" customHeight="1" x14ac:dyDescent="0.3">
      <c r="A50" s="21" t="s">
        <v>384</v>
      </c>
      <c r="B50" s="21">
        <v>2016</v>
      </c>
      <c r="C50" s="21">
        <v>9</v>
      </c>
      <c r="D50" s="21">
        <v>9</v>
      </c>
      <c r="E50" s="21" t="s">
        <v>313</v>
      </c>
      <c r="F50" s="21">
        <v>0</v>
      </c>
      <c r="G50" s="21">
        <v>0</v>
      </c>
      <c r="H50" s="21">
        <v>0.19</v>
      </c>
      <c r="I50" s="21">
        <v>0</v>
      </c>
      <c r="S50" s="26" t="s">
        <v>385</v>
      </c>
      <c r="T50" s="23">
        <f>AVERAGEIFS(Tbl_Daily[volume_millions],Tbl_Daily[year],2019,Tbl_Daily[month],11)</f>
        <v>41.701999999999998</v>
      </c>
    </row>
    <row r="51" spans="1:20" ht="15" customHeight="1" x14ac:dyDescent="0.3">
      <c r="A51" s="21" t="s">
        <v>386</v>
      </c>
      <c r="B51" s="21">
        <v>2016</v>
      </c>
      <c r="C51" s="21">
        <v>9</v>
      </c>
      <c r="D51" s="21">
        <v>10</v>
      </c>
      <c r="E51" s="21" t="s">
        <v>316</v>
      </c>
      <c r="F51" s="21">
        <v>1</v>
      </c>
      <c r="G51" s="21">
        <v>0</v>
      </c>
      <c r="H51" s="21">
        <v>0.15</v>
      </c>
      <c r="I51" s="21">
        <v>0</v>
      </c>
      <c r="S51" s="26" t="s">
        <v>387</v>
      </c>
      <c r="T51" s="23">
        <f>AVERAGEIFS(Tbl_Daily[volume_millions],Tbl_Daily[year],2019,Tbl_Daily[month],12)</f>
        <v>42.124838709677412</v>
      </c>
    </row>
    <row r="52" spans="1:20" ht="15" customHeight="1" x14ac:dyDescent="0.3">
      <c r="A52" s="21" t="s">
        <v>388</v>
      </c>
      <c r="B52" s="21">
        <v>2016</v>
      </c>
      <c r="C52" s="21">
        <v>9</v>
      </c>
      <c r="D52" s="21">
        <v>11</v>
      </c>
      <c r="E52" s="21" t="s">
        <v>319</v>
      </c>
      <c r="F52" s="21">
        <v>1</v>
      </c>
      <c r="G52" s="21">
        <v>0</v>
      </c>
      <c r="H52" s="21">
        <v>0.15</v>
      </c>
      <c r="I52" s="21">
        <v>0</v>
      </c>
      <c r="S52" s="26" t="s">
        <v>389</v>
      </c>
      <c r="T52" s="23">
        <f>AVERAGEIFS(Tbl_Daily[volume_millions],Tbl_Daily[year],2020,Tbl_Daily[month],1)</f>
        <v>42.130645161290339</v>
      </c>
    </row>
    <row r="53" spans="1:20" ht="15" customHeight="1" x14ac:dyDescent="0.3">
      <c r="A53" s="21" t="s">
        <v>390</v>
      </c>
      <c r="B53" s="21">
        <v>2016</v>
      </c>
      <c r="C53" s="21">
        <v>9</v>
      </c>
      <c r="D53" s="21">
        <v>12</v>
      </c>
      <c r="E53" s="21" t="s">
        <v>299</v>
      </c>
      <c r="F53" s="21">
        <v>0</v>
      </c>
      <c r="G53" s="21">
        <v>0</v>
      </c>
      <c r="H53" s="21">
        <v>0.18</v>
      </c>
      <c r="I53" s="21">
        <v>0</v>
      </c>
      <c r="S53" s="26" t="s">
        <v>391</v>
      </c>
      <c r="T53" s="23">
        <f>AVERAGEIFS(Tbl_Daily[volume_millions],Tbl_Daily[year],2020,Tbl_Daily[month],2)</f>
        <v>45.196896551724151</v>
      </c>
    </row>
    <row r="54" spans="1:20" ht="15" customHeight="1" x14ac:dyDescent="0.3">
      <c r="A54" s="21" t="s">
        <v>392</v>
      </c>
      <c r="B54" s="21">
        <v>2016</v>
      </c>
      <c r="C54" s="21">
        <v>9</v>
      </c>
      <c r="D54" s="21">
        <v>13</v>
      </c>
      <c r="E54" s="21" t="s">
        <v>303</v>
      </c>
      <c r="F54" s="21">
        <v>0</v>
      </c>
      <c r="G54" s="21">
        <v>0</v>
      </c>
      <c r="H54" s="21">
        <v>0.17</v>
      </c>
      <c r="I54" s="21">
        <v>0</v>
      </c>
      <c r="S54" s="26" t="s">
        <v>393</v>
      </c>
      <c r="T54" s="23">
        <f>AVERAGEIFS(Tbl_Daily[volume_millions],Tbl_Daily[year],2020,Tbl_Daily[month],3)</f>
        <v>40.011935483870978</v>
      </c>
    </row>
    <row r="55" spans="1:20" ht="15" customHeight="1" x14ac:dyDescent="0.3">
      <c r="A55" s="21" t="s">
        <v>394</v>
      </c>
      <c r="B55" s="21">
        <v>2016</v>
      </c>
      <c r="C55" s="21">
        <v>9</v>
      </c>
      <c r="D55" s="21">
        <v>14</v>
      </c>
      <c r="E55" s="21" t="s">
        <v>307</v>
      </c>
      <c r="F55" s="21">
        <v>0</v>
      </c>
      <c r="G55" s="21">
        <v>0</v>
      </c>
      <c r="H55" s="21">
        <v>0.17</v>
      </c>
      <c r="I55" s="21">
        <v>0</v>
      </c>
      <c r="S55" s="26" t="s">
        <v>395</v>
      </c>
      <c r="T55" s="23">
        <f>AVERAGEIFS(Tbl_Daily[volume_millions],Tbl_Daily[year],2020,Tbl_Daily[month],4)</f>
        <v>32.935333333333332</v>
      </c>
    </row>
    <row r="56" spans="1:20" ht="15" customHeight="1" x14ac:dyDescent="0.3">
      <c r="A56" s="21" t="s">
        <v>396</v>
      </c>
      <c r="B56" s="21">
        <v>2016</v>
      </c>
      <c r="C56" s="21">
        <v>9</v>
      </c>
      <c r="D56" s="21">
        <v>15</v>
      </c>
      <c r="E56" s="21" t="s">
        <v>310</v>
      </c>
      <c r="F56" s="21">
        <v>0</v>
      </c>
      <c r="G56" s="21">
        <v>0</v>
      </c>
      <c r="H56" s="21">
        <v>0.17</v>
      </c>
      <c r="I56" s="21">
        <v>0</v>
      </c>
      <c r="S56" s="26" t="s">
        <v>397</v>
      </c>
      <c r="T56" s="23">
        <f>AVERAGEIFS(Tbl_Daily[volume_millions],Tbl_Daily[year],2020,Tbl_Daily[month],5)</f>
        <v>39.571612903225798</v>
      </c>
    </row>
    <row r="57" spans="1:20" ht="15" customHeight="1" x14ac:dyDescent="0.3">
      <c r="A57" s="21" t="s">
        <v>398</v>
      </c>
      <c r="B57" s="21">
        <v>2016</v>
      </c>
      <c r="C57" s="21">
        <v>9</v>
      </c>
      <c r="D57" s="21">
        <v>16</v>
      </c>
      <c r="E57" s="21" t="s">
        <v>313</v>
      </c>
      <c r="F57" s="21">
        <v>0</v>
      </c>
      <c r="G57" s="21">
        <v>0</v>
      </c>
      <c r="H57" s="21">
        <v>0.19</v>
      </c>
      <c r="I57" s="21">
        <v>0</v>
      </c>
      <c r="S57" s="26" t="s">
        <v>399</v>
      </c>
      <c r="T57" s="23">
        <f>AVERAGEIFS(Tbl_Daily[volume_millions],Tbl_Daily[year],2020,Tbl_Daily[month],6)</f>
        <v>44.915666666666652</v>
      </c>
    </row>
    <row r="58" spans="1:20" ht="15" customHeight="1" x14ac:dyDescent="0.3">
      <c r="A58" s="21" t="s">
        <v>400</v>
      </c>
      <c r="B58" s="21">
        <v>2016</v>
      </c>
      <c r="C58" s="21">
        <v>9</v>
      </c>
      <c r="D58" s="21">
        <v>17</v>
      </c>
      <c r="E58" s="21" t="s">
        <v>316</v>
      </c>
      <c r="F58" s="21">
        <v>1</v>
      </c>
      <c r="G58" s="21">
        <v>0</v>
      </c>
      <c r="H58" s="21">
        <v>0.16</v>
      </c>
      <c r="I58" s="21">
        <v>0</v>
      </c>
      <c r="S58" s="26" t="s">
        <v>401</v>
      </c>
      <c r="T58" s="23">
        <f>AVERAGEIFS(Tbl_Daily[volume_millions],Tbl_Daily[year],2020,Tbl_Daily[month],7)</f>
        <v>48.917741935483882</v>
      </c>
    </row>
    <row r="59" spans="1:20" ht="15" customHeight="1" x14ac:dyDescent="0.3">
      <c r="A59" s="21" t="s">
        <v>402</v>
      </c>
      <c r="B59" s="21">
        <v>2016</v>
      </c>
      <c r="C59" s="21">
        <v>9</v>
      </c>
      <c r="D59" s="21">
        <v>18</v>
      </c>
      <c r="E59" s="21" t="s">
        <v>319</v>
      </c>
      <c r="F59" s="21">
        <v>1</v>
      </c>
      <c r="G59" s="21">
        <v>0</v>
      </c>
      <c r="H59" s="21">
        <v>0.15</v>
      </c>
      <c r="I59" s="21">
        <v>0</v>
      </c>
      <c r="S59" s="26" t="s">
        <v>403</v>
      </c>
      <c r="T59" s="23">
        <f>AVERAGEIFS(Tbl_Daily[volume_millions],Tbl_Daily[year],2020,Tbl_Daily[month],8)</f>
        <v>51.553225806451607</v>
      </c>
    </row>
    <row r="60" spans="1:20" ht="15" customHeight="1" x14ac:dyDescent="0.3">
      <c r="A60" s="21" t="s">
        <v>404</v>
      </c>
      <c r="B60" s="21">
        <v>2016</v>
      </c>
      <c r="C60" s="21">
        <v>9</v>
      </c>
      <c r="D60" s="21">
        <v>19</v>
      </c>
      <c r="E60" s="21" t="s">
        <v>299</v>
      </c>
      <c r="F60" s="21">
        <v>0</v>
      </c>
      <c r="G60" s="21">
        <v>0</v>
      </c>
      <c r="H60" s="21">
        <v>0.18</v>
      </c>
      <c r="I60" s="21">
        <v>0</v>
      </c>
      <c r="S60" s="26" t="s">
        <v>405</v>
      </c>
      <c r="T60" s="23">
        <f>AVERAGEIFS(Tbl_Daily[volume_millions],Tbl_Daily[year],2020,Tbl_Daily[month],9)</f>
        <v>60.498333333333349</v>
      </c>
    </row>
    <row r="61" spans="1:20" ht="15" customHeight="1" x14ac:dyDescent="0.3">
      <c r="A61" s="21" t="s">
        <v>406</v>
      </c>
      <c r="B61" s="21">
        <v>2016</v>
      </c>
      <c r="C61" s="21">
        <v>9</v>
      </c>
      <c r="D61" s="21">
        <v>20</v>
      </c>
      <c r="E61" s="21" t="s">
        <v>303</v>
      </c>
      <c r="F61" s="21">
        <v>0</v>
      </c>
      <c r="G61" s="21">
        <v>0</v>
      </c>
      <c r="H61" s="21">
        <v>0.18</v>
      </c>
      <c r="I61" s="21">
        <v>0</v>
      </c>
      <c r="S61" s="26" t="s">
        <v>407</v>
      </c>
      <c r="T61" s="23">
        <f>AVERAGEIFS(Tbl_Daily[volume_millions],Tbl_Daily[year],2020,Tbl_Daily[month],10)</f>
        <v>68.530645161290337</v>
      </c>
    </row>
    <row r="62" spans="1:20" ht="15" customHeight="1" x14ac:dyDescent="0.3">
      <c r="A62" s="21" t="s">
        <v>408</v>
      </c>
      <c r="B62" s="21">
        <v>2016</v>
      </c>
      <c r="C62" s="21">
        <v>9</v>
      </c>
      <c r="D62" s="21">
        <v>21</v>
      </c>
      <c r="E62" s="21" t="s">
        <v>307</v>
      </c>
      <c r="F62" s="21">
        <v>0</v>
      </c>
      <c r="G62" s="21">
        <v>0</v>
      </c>
      <c r="H62" s="21">
        <v>0.17</v>
      </c>
      <c r="I62" s="21">
        <v>0</v>
      </c>
      <c r="S62" s="26" t="s">
        <v>409</v>
      </c>
      <c r="T62" s="23">
        <f>AVERAGEIFS(Tbl_Daily[volume_millions],Tbl_Daily[year],2020,Tbl_Daily[month],11)</f>
        <v>75.362666666666669</v>
      </c>
    </row>
    <row r="63" spans="1:20" ht="15" customHeight="1" x14ac:dyDescent="0.3">
      <c r="A63" s="21" t="s">
        <v>410</v>
      </c>
      <c r="B63" s="21">
        <v>2016</v>
      </c>
      <c r="C63" s="21">
        <v>9</v>
      </c>
      <c r="D63" s="21">
        <v>22</v>
      </c>
      <c r="E63" s="21" t="s">
        <v>310</v>
      </c>
      <c r="F63" s="21">
        <v>0</v>
      </c>
      <c r="G63" s="21">
        <v>0</v>
      </c>
      <c r="H63" s="21">
        <v>0.17</v>
      </c>
      <c r="I63" s="21">
        <v>0</v>
      </c>
      <c r="S63" s="26" t="s">
        <v>411</v>
      </c>
      <c r="T63" s="23">
        <f>AVERAGEIFS(Tbl_Daily[volume_millions],Tbl_Daily[year],2020,Tbl_Daily[month],12)</f>
        <v>71.545806451612904</v>
      </c>
    </row>
    <row r="64" spans="1:20" ht="15" customHeight="1" x14ac:dyDescent="0.3">
      <c r="A64" s="21" t="s">
        <v>412</v>
      </c>
      <c r="B64" s="21">
        <v>2016</v>
      </c>
      <c r="C64" s="21">
        <v>9</v>
      </c>
      <c r="D64" s="21">
        <v>23</v>
      </c>
      <c r="E64" s="21" t="s">
        <v>313</v>
      </c>
      <c r="F64" s="21">
        <v>0</v>
      </c>
      <c r="G64" s="21">
        <v>0</v>
      </c>
      <c r="H64" s="21">
        <v>0.19</v>
      </c>
      <c r="I64" s="21">
        <v>0</v>
      </c>
      <c r="S64" s="26" t="s">
        <v>413</v>
      </c>
      <c r="T64" s="23">
        <f>AVERAGEIFS(Tbl_Daily[volume_millions],Tbl_Daily[year],2021,Tbl_Daily[month],1)</f>
        <v>73.987419354838678</v>
      </c>
    </row>
    <row r="65" spans="1:20" ht="15" customHeight="1" x14ac:dyDescent="0.3">
      <c r="A65" s="21" t="s">
        <v>414</v>
      </c>
      <c r="B65" s="21">
        <v>2016</v>
      </c>
      <c r="C65" s="21">
        <v>9</v>
      </c>
      <c r="D65" s="21">
        <v>24</v>
      </c>
      <c r="E65" s="21" t="s">
        <v>316</v>
      </c>
      <c r="F65" s="21">
        <v>1</v>
      </c>
      <c r="G65" s="21">
        <v>0</v>
      </c>
      <c r="H65" s="21">
        <v>0.16</v>
      </c>
      <c r="I65" s="21">
        <v>0</v>
      </c>
      <c r="S65" s="26" t="s">
        <v>415</v>
      </c>
      <c r="T65" s="23">
        <f>AVERAGEIFS(Tbl_Daily[volume_millions],Tbl_Daily[year],2021,Tbl_Daily[month],2)</f>
        <v>82.049999999999983</v>
      </c>
    </row>
    <row r="66" spans="1:20" ht="15" customHeight="1" x14ac:dyDescent="0.3">
      <c r="A66" s="21" t="s">
        <v>416</v>
      </c>
      <c r="B66" s="21">
        <v>2016</v>
      </c>
      <c r="C66" s="21">
        <v>9</v>
      </c>
      <c r="D66" s="21">
        <v>25</v>
      </c>
      <c r="E66" s="21" t="s">
        <v>319</v>
      </c>
      <c r="F66" s="21">
        <v>1</v>
      </c>
      <c r="G66" s="21">
        <v>0</v>
      </c>
      <c r="H66" s="21">
        <v>0.15</v>
      </c>
      <c r="I66" s="21">
        <v>0</v>
      </c>
      <c r="S66" s="26" t="s">
        <v>417</v>
      </c>
      <c r="T66" s="23">
        <f>AVERAGEIFS(Tbl_Daily[volume_millions],Tbl_Daily[year],2021,Tbl_Daily[month],3)</f>
        <v>88.647741935483879</v>
      </c>
    </row>
    <row r="67" spans="1:20" ht="15" customHeight="1" x14ac:dyDescent="0.3">
      <c r="A67" s="21" t="s">
        <v>418</v>
      </c>
      <c r="B67" s="21">
        <v>2016</v>
      </c>
      <c r="C67" s="21">
        <v>9</v>
      </c>
      <c r="D67" s="21">
        <v>26</v>
      </c>
      <c r="E67" s="21" t="s">
        <v>299</v>
      </c>
      <c r="F67" s="21">
        <v>0</v>
      </c>
      <c r="G67" s="21">
        <v>0</v>
      </c>
      <c r="H67" s="21">
        <v>0.18</v>
      </c>
      <c r="I67" s="21">
        <v>0</v>
      </c>
      <c r="S67" s="26" t="s">
        <v>419</v>
      </c>
      <c r="T67" s="23">
        <f>AVERAGEIFS(Tbl_Daily[volume_millions],Tbl_Daily[year],2021,Tbl_Daily[month],4)</f>
        <v>88.53100000000002</v>
      </c>
    </row>
    <row r="68" spans="1:20" ht="15" customHeight="1" x14ac:dyDescent="0.3">
      <c r="A68" s="21" t="s">
        <v>420</v>
      </c>
      <c r="B68" s="21">
        <v>2016</v>
      </c>
      <c r="C68" s="21">
        <v>9</v>
      </c>
      <c r="D68" s="21">
        <v>27</v>
      </c>
      <c r="E68" s="21" t="s">
        <v>303</v>
      </c>
      <c r="F68" s="21">
        <v>0</v>
      </c>
      <c r="G68" s="21">
        <v>0</v>
      </c>
      <c r="H68" s="21">
        <v>0.17</v>
      </c>
      <c r="I68" s="21">
        <v>0</v>
      </c>
      <c r="S68" s="26" t="s">
        <v>421</v>
      </c>
      <c r="T68" s="23">
        <f>AVERAGEIFS(Tbl_Daily[volume_millions],Tbl_Daily[year],2021,Tbl_Daily[month],5)</f>
        <v>81.109354838709677</v>
      </c>
    </row>
    <row r="69" spans="1:20" ht="15" customHeight="1" x14ac:dyDescent="0.3">
      <c r="A69" s="21" t="s">
        <v>422</v>
      </c>
      <c r="B69" s="21">
        <v>2016</v>
      </c>
      <c r="C69" s="21">
        <v>9</v>
      </c>
      <c r="D69" s="21">
        <v>28</v>
      </c>
      <c r="E69" s="21" t="s">
        <v>307</v>
      </c>
      <c r="F69" s="21">
        <v>0</v>
      </c>
      <c r="G69" s="21">
        <v>0</v>
      </c>
      <c r="H69" s="21">
        <v>0.18</v>
      </c>
      <c r="I69" s="21">
        <v>0</v>
      </c>
      <c r="S69" s="26" t="s">
        <v>423</v>
      </c>
      <c r="T69" s="23">
        <f>AVERAGEIFS(Tbl_Daily[volume_millions],Tbl_Daily[year],2021,Tbl_Daily[month],6)</f>
        <v>92.748666666666679</v>
      </c>
    </row>
    <row r="70" spans="1:20" ht="15" customHeight="1" x14ac:dyDescent="0.3">
      <c r="A70" s="21" t="s">
        <v>424</v>
      </c>
      <c r="B70" s="21">
        <v>2016</v>
      </c>
      <c r="C70" s="21">
        <v>9</v>
      </c>
      <c r="D70" s="21">
        <v>29</v>
      </c>
      <c r="E70" s="21" t="s">
        <v>310</v>
      </c>
      <c r="F70" s="21">
        <v>0</v>
      </c>
      <c r="G70" s="21">
        <v>0.01</v>
      </c>
      <c r="H70" s="21">
        <v>0.21</v>
      </c>
      <c r="I70" s="21">
        <v>210</v>
      </c>
      <c r="S70" s="26" t="s">
        <v>425</v>
      </c>
      <c r="T70" s="23">
        <f>AVERAGEIFS(Tbl_Daily[volume_millions],Tbl_Daily[year],2021,Tbl_Daily[month],7)</f>
        <v>103.31225806451616</v>
      </c>
    </row>
    <row r="71" spans="1:20" ht="15" customHeight="1" x14ac:dyDescent="0.3">
      <c r="A71" s="21" t="s">
        <v>426</v>
      </c>
      <c r="B71" s="21">
        <v>2016</v>
      </c>
      <c r="C71" s="21">
        <v>9</v>
      </c>
      <c r="D71" s="21">
        <v>30</v>
      </c>
      <c r="E71" s="21" t="s">
        <v>313</v>
      </c>
      <c r="F71" s="21">
        <v>0</v>
      </c>
      <c r="G71" s="21">
        <v>0.01</v>
      </c>
      <c r="H71" s="21">
        <v>0.22</v>
      </c>
      <c r="I71" s="21">
        <v>220</v>
      </c>
      <c r="S71" s="26" t="s">
        <v>427</v>
      </c>
      <c r="T71" s="23">
        <f>AVERAGEIFS(Tbl_Daily[volume_millions],Tbl_Daily[year],2021,Tbl_Daily[month],8)</f>
        <v>114.20935483870966</v>
      </c>
    </row>
    <row r="72" spans="1:20" ht="15" customHeight="1" x14ac:dyDescent="0.3">
      <c r="A72" s="21" t="s">
        <v>91</v>
      </c>
      <c r="B72" s="21">
        <v>2016</v>
      </c>
      <c r="C72" s="21">
        <v>10</v>
      </c>
      <c r="D72" s="21">
        <v>1</v>
      </c>
      <c r="E72" s="21" t="s">
        <v>316</v>
      </c>
      <c r="F72" s="21">
        <v>1</v>
      </c>
      <c r="G72" s="21">
        <v>0.01</v>
      </c>
      <c r="H72" s="21">
        <v>0.5</v>
      </c>
      <c r="I72" s="21">
        <v>500</v>
      </c>
      <c r="S72" s="26" t="s">
        <v>428</v>
      </c>
      <c r="T72" s="23">
        <f>AVERAGEIFS(Tbl_Daily[volume_millions],Tbl_Daily[year],2021,Tbl_Daily[month],9)</f>
        <v>121.29266666666666</v>
      </c>
    </row>
    <row r="73" spans="1:20" ht="15" customHeight="1" x14ac:dyDescent="0.3">
      <c r="A73" s="21" t="s">
        <v>429</v>
      </c>
      <c r="B73" s="21">
        <v>2016</v>
      </c>
      <c r="C73" s="21">
        <v>10</v>
      </c>
      <c r="D73" s="21">
        <v>2</v>
      </c>
      <c r="E73" s="21" t="s">
        <v>319</v>
      </c>
      <c r="F73" s="21">
        <v>1</v>
      </c>
      <c r="G73" s="21">
        <v>0.01</v>
      </c>
      <c r="H73" s="21">
        <v>0.49</v>
      </c>
      <c r="I73" s="21">
        <v>490</v>
      </c>
      <c r="S73" s="26" t="s">
        <v>430</v>
      </c>
      <c r="T73" s="23">
        <f>AVERAGEIFS(Tbl_Daily[volume_millions],Tbl_Daily[year],2021,Tbl_Daily[month],10)</f>
        <v>139.31709677419357</v>
      </c>
    </row>
    <row r="74" spans="1:20" ht="15" customHeight="1" x14ac:dyDescent="0.3">
      <c r="A74" s="21" t="s">
        <v>431</v>
      </c>
      <c r="B74" s="21">
        <v>2016</v>
      </c>
      <c r="C74" s="21">
        <v>10</v>
      </c>
      <c r="D74" s="21">
        <v>3</v>
      </c>
      <c r="E74" s="21" t="s">
        <v>299</v>
      </c>
      <c r="F74" s="21">
        <v>0</v>
      </c>
      <c r="G74" s="21">
        <v>0.01</v>
      </c>
      <c r="H74" s="21">
        <v>0.52</v>
      </c>
      <c r="I74" s="21">
        <v>520</v>
      </c>
      <c r="S74" s="26" t="s">
        <v>432</v>
      </c>
      <c r="T74" s="23">
        <f>AVERAGEIFS(Tbl_Daily[volume_millions],Tbl_Daily[year],2021,Tbl_Daily[month],11)</f>
        <v>144.69200000000001</v>
      </c>
    </row>
    <row r="75" spans="1:20" ht="15" customHeight="1" x14ac:dyDescent="0.3">
      <c r="A75" s="21" t="s">
        <v>433</v>
      </c>
      <c r="B75" s="21">
        <v>2016</v>
      </c>
      <c r="C75" s="21">
        <v>10</v>
      </c>
      <c r="D75" s="21">
        <v>4</v>
      </c>
      <c r="E75" s="21" t="s">
        <v>303</v>
      </c>
      <c r="F75" s="21">
        <v>0</v>
      </c>
      <c r="G75" s="21">
        <v>0.01</v>
      </c>
      <c r="H75" s="21">
        <v>0.53</v>
      </c>
      <c r="I75" s="21">
        <v>530</v>
      </c>
      <c r="S75" s="26" t="s">
        <v>434</v>
      </c>
      <c r="T75" s="23">
        <f>AVERAGEIFS(Tbl_Daily[volume_millions],Tbl_Daily[year],2021,Tbl_Daily[month],12)</f>
        <v>147.78548387096768</v>
      </c>
    </row>
    <row r="76" spans="1:20" ht="15" customHeight="1" x14ac:dyDescent="0.3">
      <c r="A76" s="21" t="s">
        <v>435</v>
      </c>
      <c r="B76" s="21">
        <v>2016</v>
      </c>
      <c r="C76" s="21">
        <v>10</v>
      </c>
      <c r="D76" s="21">
        <v>5</v>
      </c>
      <c r="E76" s="21" t="s">
        <v>307</v>
      </c>
      <c r="F76" s="21">
        <v>0</v>
      </c>
      <c r="G76" s="21">
        <v>0.01</v>
      </c>
      <c r="H76" s="21">
        <v>0.54</v>
      </c>
      <c r="I76" s="21">
        <v>540</v>
      </c>
      <c r="S76" s="26" t="s">
        <v>436</v>
      </c>
      <c r="T76" s="23">
        <f>AVERAGEIFS(Tbl_Daily[volume_millions],Tbl_Daily[year],2022,Tbl_Daily[month],1)</f>
        <v>147.40096774193549</v>
      </c>
    </row>
    <row r="77" spans="1:20" ht="15" customHeight="1" x14ac:dyDescent="0.3">
      <c r="A77" s="21" t="s">
        <v>437</v>
      </c>
      <c r="B77" s="21">
        <v>2016</v>
      </c>
      <c r="C77" s="21">
        <v>10</v>
      </c>
      <c r="D77" s="21">
        <v>6</v>
      </c>
      <c r="E77" s="21" t="s">
        <v>310</v>
      </c>
      <c r="F77" s="21">
        <v>0</v>
      </c>
      <c r="G77" s="21">
        <v>0.01</v>
      </c>
      <c r="H77" s="21">
        <v>0.52</v>
      </c>
      <c r="I77" s="21">
        <v>520</v>
      </c>
      <c r="S77" s="26" t="s">
        <v>438</v>
      </c>
      <c r="T77" s="23">
        <f>AVERAGEIFS(Tbl_Daily[volume_millions],Tbl_Daily[year],2022,Tbl_Daily[month],2)</f>
        <v>160.82642857142855</v>
      </c>
    </row>
    <row r="78" spans="1:20" ht="15" customHeight="1" x14ac:dyDescent="0.3">
      <c r="A78" s="21" t="s">
        <v>439</v>
      </c>
      <c r="B78" s="21">
        <v>2016</v>
      </c>
      <c r="C78" s="21">
        <v>10</v>
      </c>
      <c r="D78" s="21">
        <v>7</v>
      </c>
      <c r="E78" s="21" t="s">
        <v>313</v>
      </c>
      <c r="F78" s="21">
        <v>0</v>
      </c>
      <c r="G78" s="21">
        <v>0.01</v>
      </c>
      <c r="H78" s="21">
        <v>0.56999999999999995</v>
      </c>
      <c r="I78" s="21">
        <v>570</v>
      </c>
      <c r="S78" s="26" t="s">
        <v>440</v>
      </c>
      <c r="T78" s="23">
        <f>AVERAGEIFS(Tbl_Daily[volume_millions],Tbl_Daily[year],2022,Tbl_Daily[month],3)</f>
        <v>172.87193548387094</v>
      </c>
    </row>
    <row r="79" spans="1:20" ht="15" customHeight="1" x14ac:dyDescent="0.3">
      <c r="A79" s="21" t="s">
        <v>441</v>
      </c>
      <c r="B79" s="21">
        <v>2016</v>
      </c>
      <c r="C79" s="21">
        <v>10</v>
      </c>
      <c r="D79" s="21">
        <v>8</v>
      </c>
      <c r="E79" s="21" t="s">
        <v>316</v>
      </c>
      <c r="F79" s="21">
        <v>1</v>
      </c>
      <c r="G79" s="21">
        <v>0.01</v>
      </c>
      <c r="H79" s="21">
        <v>0.44</v>
      </c>
      <c r="I79" s="21">
        <v>440</v>
      </c>
      <c r="S79" s="26" t="s">
        <v>442</v>
      </c>
      <c r="T79" s="23">
        <f>AVERAGEIFS(Tbl_Daily[volume_millions],Tbl_Daily[year],2022,Tbl_Daily[month],4)</f>
        <v>184.59599999999998</v>
      </c>
    </row>
    <row r="80" spans="1:20" ht="15" customHeight="1" x14ac:dyDescent="0.3">
      <c r="A80" s="21" t="s">
        <v>443</v>
      </c>
      <c r="B80" s="21">
        <v>2016</v>
      </c>
      <c r="C80" s="21">
        <v>10</v>
      </c>
      <c r="D80" s="21">
        <v>9</v>
      </c>
      <c r="E80" s="21" t="s">
        <v>319</v>
      </c>
      <c r="F80" s="21">
        <v>1</v>
      </c>
      <c r="G80" s="21">
        <v>0.01</v>
      </c>
      <c r="H80" s="21">
        <v>0.43</v>
      </c>
      <c r="I80" s="21">
        <v>430</v>
      </c>
      <c r="S80" s="26" t="s">
        <v>444</v>
      </c>
      <c r="T80" s="23">
        <f>AVERAGEIFS(Tbl_Daily[volume_millions],Tbl_Daily[year],2022,Tbl_Daily[month],5)</f>
        <v>191.09193548387088</v>
      </c>
    </row>
    <row r="81" spans="1:20" ht="15" customHeight="1" x14ac:dyDescent="0.3">
      <c r="A81" s="21" t="s">
        <v>445</v>
      </c>
      <c r="B81" s="21">
        <v>2016</v>
      </c>
      <c r="C81" s="21">
        <v>10</v>
      </c>
      <c r="D81" s="21">
        <v>10</v>
      </c>
      <c r="E81" s="21" t="s">
        <v>299</v>
      </c>
      <c r="F81" s="21">
        <v>0</v>
      </c>
      <c r="G81" s="21">
        <v>0.01</v>
      </c>
      <c r="H81" s="21">
        <v>0.55000000000000004</v>
      </c>
      <c r="I81" s="21">
        <v>550</v>
      </c>
      <c r="S81" s="26" t="s">
        <v>446</v>
      </c>
      <c r="T81" s="23">
        <f>AVERAGEIFS(Tbl_Daily[volume_millions],Tbl_Daily[year],2022,Tbl_Daily[month],6)</f>
        <v>194.58100000000002</v>
      </c>
    </row>
    <row r="82" spans="1:20" ht="15" customHeight="1" x14ac:dyDescent="0.3">
      <c r="A82" s="21" t="s">
        <v>447</v>
      </c>
      <c r="B82" s="21">
        <v>2016</v>
      </c>
      <c r="C82" s="21">
        <v>10</v>
      </c>
      <c r="D82" s="21">
        <v>11</v>
      </c>
      <c r="E82" s="21" t="s">
        <v>303</v>
      </c>
      <c r="F82" s="21">
        <v>0</v>
      </c>
      <c r="G82" s="21">
        <v>0.01</v>
      </c>
      <c r="H82" s="21">
        <v>0.54</v>
      </c>
      <c r="I82" s="21">
        <v>540</v>
      </c>
      <c r="S82" s="26" t="s">
        <v>448</v>
      </c>
      <c r="T82" s="23">
        <f>AVERAGEIFS(Tbl_Daily[volume_millions],Tbl_Daily[year],2022,Tbl_Daily[month],7)</f>
        <v>199.99580645161294</v>
      </c>
    </row>
    <row r="83" spans="1:20" ht="15" customHeight="1" x14ac:dyDescent="0.3">
      <c r="A83" s="21" t="s">
        <v>449</v>
      </c>
      <c r="B83" s="21">
        <v>2016</v>
      </c>
      <c r="C83" s="21">
        <v>10</v>
      </c>
      <c r="D83" s="21">
        <v>12</v>
      </c>
      <c r="E83" s="21" t="s">
        <v>307</v>
      </c>
      <c r="F83" s="21">
        <v>0</v>
      </c>
      <c r="G83" s="21">
        <v>0.01</v>
      </c>
      <c r="H83" s="21">
        <v>0.52</v>
      </c>
      <c r="I83" s="21">
        <v>520</v>
      </c>
      <c r="S83" s="26" t="s">
        <v>450</v>
      </c>
      <c r="T83" s="23">
        <f>AVERAGEIFS(Tbl_Daily[volume_millions],Tbl_Daily[year],2022,Tbl_Daily[month],8)</f>
        <v>212.72193548387094</v>
      </c>
    </row>
    <row r="84" spans="1:20" ht="15" customHeight="1" x14ac:dyDescent="0.3">
      <c r="A84" s="21" t="s">
        <v>451</v>
      </c>
      <c r="B84" s="21">
        <v>2016</v>
      </c>
      <c r="C84" s="21">
        <v>10</v>
      </c>
      <c r="D84" s="21">
        <v>13</v>
      </c>
      <c r="E84" s="21" t="s">
        <v>310</v>
      </c>
      <c r="F84" s="21">
        <v>0</v>
      </c>
      <c r="G84" s="21">
        <v>0.01</v>
      </c>
      <c r="H84" s="21">
        <v>0.54</v>
      </c>
      <c r="I84" s="21">
        <v>540</v>
      </c>
      <c r="S84" s="26" t="s">
        <v>452</v>
      </c>
      <c r="T84" s="23">
        <f>AVERAGEIFS(Tbl_Daily[volume_millions],Tbl_Daily[year],2022,Tbl_Daily[month],9)</f>
        <v>226.68566666666666</v>
      </c>
    </row>
    <row r="85" spans="1:20" ht="15" customHeight="1" x14ac:dyDescent="0.3">
      <c r="A85" s="21" t="s">
        <v>453</v>
      </c>
      <c r="B85" s="21">
        <v>2016</v>
      </c>
      <c r="C85" s="21">
        <v>10</v>
      </c>
      <c r="D85" s="21">
        <v>14</v>
      </c>
      <c r="E85" s="21" t="s">
        <v>313</v>
      </c>
      <c r="F85" s="21">
        <v>0</v>
      </c>
      <c r="G85" s="21">
        <v>0.01</v>
      </c>
      <c r="H85" s="21">
        <v>0.52</v>
      </c>
      <c r="I85" s="21">
        <v>520</v>
      </c>
      <c r="S85" s="26" t="s">
        <v>454</v>
      </c>
      <c r="T85" s="23">
        <f>AVERAGEIFS(Tbl_Daily[volume_millions],Tbl_Daily[year],2022,Tbl_Daily[month],10)</f>
        <v>239.00419354838706</v>
      </c>
    </row>
    <row r="86" spans="1:20" ht="15" customHeight="1" x14ac:dyDescent="0.3">
      <c r="A86" s="21" t="s">
        <v>455</v>
      </c>
      <c r="B86" s="21">
        <v>2016</v>
      </c>
      <c r="C86" s="21">
        <v>10</v>
      </c>
      <c r="D86" s="21">
        <v>15</v>
      </c>
      <c r="E86" s="21" t="s">
        <v>316</v>
      </c>
      <c r="F86" s="21">
        <v>1</v>
      </c>
      <c r="G86" s="21">
        <v>0.01</v>
      </c>
      <c r="H86" s="21">
        <v>0.5</v>
      </c>
      <c r="I86" s="21">
        <v>500</v>
      </c>
      <c r="S86" s="26" t="s">
        <v>456</v>
      </c>
      <c r="T86" s="23">
        <f>AVERAGEIFS(Tbl_Daily[volume_millions],Tbl_Daily[year],2022,Tbl_Daily[month],11)</f>
        <v>254.87300000000002</v>
      </c>
    </row>
    <row r="87" spans="1:20" ht="15" customHeight="1" x14ac:dyDescent="0.3">
      <c r="A87" s="21" t="s">
        <v>457</v>
      </c>
      <c r="B87" s="21">
        <v>2016</v>
      </c>
      <c r="C87" s="21">
        <v>10</v>
      </c>
      <c r="D87" s="21">
        <v>16</v>
      </c>
      <c r="E87" s="21" t="s">
        <v>319</v>
      </c>
      <c r="F87" s="21">
        <v>1</v>
      </c>
      <c r="G87" s="21">
        <v>0.01</v>
      </c>
      <c r="H87" s="21">
        <v>0.48</v>
      </c>
      <c r="I87" s="21">
        <v>480</v>
      </c>
      <c r="S87" s="26" t="s">
        <v>458</v>
      </c>
      <c r="T87" s="23">
        <f>AVERAGEIFS(Tbl_Daily[volume_millions],Tbl_Daily[year],2022,Tbl_Daily[month],12)</f>
        <v>252.46387096774194</v>
      </c>
    </row>
    <row r="88" spans="1:20" ht="15" customHeight="1" x14ac:dyDescent="0.3">
      <c r="A88" s="21" t="s">
        <v>459</v>
      </c>
      <c r="B88" s="21">
        <v>2016</v>
      </c>
      <c r="C88" s="21">
        <v>10</v>
      </c>
      <c r="D88" s="21">
        <v>17</v>
      </c>
      <c r="E88" s="21" t="s">
        <v>299</v>
      </c>
      <c r="F88" s="21">
        <v>0</v>
      </c>
      <c r="G88" s="21">
        <v>0.01</v>
      </c>
      <c r="H88" s="21">
        <v>0.59</v>
      </c>
      <c r="I88" s="21">
        <v>590</v>
      </c>
      <c r="S88" s="26" t="s">
        <v>460</v>
      </c>
      <c r="T88" s="23">
        <f>AVERAGEIFS(Tbl_Daily[volume_millions],Tbl_Daily[year],2023,Tbl_Daily[month],1)</f>
        <v>256.69935483870967</v>
      </c>
    </row>
    <row r="89" spans="1:20" ht="15" customHeight="1" x14ac:dyDescent="0.3">
      <c r="A89" s="21" t="s">
        <v>461</v>
      </c>
      <c r="B89" s="21">
        <v>2016</v>
      </c>
      <c r="C89" s="21">
        <v>10</v>
      </c>
      <c r="D89" s="21">
        <v>18</v>
      </c>
      <c r="E89" s="21" t="s">
        <v>303</v>
      </c>
      <c r="F89" s="21">
        <v>0</v>
      </c>
      <c r="G89" s="21">
        <v>0.01</v>
      </c>
      <c r="H89" s="21">
        <v>0.56999999999999995</v>
      </c>
      <c r="I89" s="21">
        <v>570</v>
      </c>
      <c r="S89" s="26" t="s">
        <v>462</v>
      </c>
      <c r="T89" s="23">
        <f>AVERAGEIFS(Tbl_Daily[volume_millions],Tbl_Daily[year],2023,Tbl_Daily[month],2)</f>
        <v>265.39750000000009</v>
      </c>
    </row>
    <row r="90" spans="1:20" ht="15" customHeight="1" x14ac:dyDescent="0.3">
      <c r="A90" s="21" t="s">
        <v>463</v>
      </c>
      <c r="B90" s="21">
        <v>2016</v>
      </c>
      <c r="C90" s="21">
        <v>10</v>
      </c>
      <c r="D90" s="21">
        <v>19</v>
      </c>
      <c r="E90" s="21" t="s">
        <v>307</v>
      </c>
      <c r="F90" s="21">
        <v>0</v>
      </c>
      <c r="G90" s="21">
        <v>0.01</v>
      </c>
      <c r="H90" s="21">
        <v>0.53</v>
      </c>
      <c r="I90" s="21">
        <v>530</v>
      </c>
      <c r="S90" s="26" t="s">
        <v>464</v>
      </c>
      <c r="T90" s="23">
        <f>AVERAGEIFS(Tbl_Daily[volume_millions],Tbl_Daily[year],2023,Tbl_Daily[month],3)</f>
        <v>280.78612903225809</v>
      </c>
    </row>
    <row r="91" spans="1:20" ht="15" customHeight="1" x14ac:dyDescent="0.3">
      <c r="A91" s="21" t="s">
        <v>465</v>
      </c>
      <c r="B91" s="21">
        <v>2016</v>
      </c>
      <c r="C91" s="21">
        <v>10</v>
      </c>
      <c r="D91" s="21">
        <v>20</v>
      </c>
      <c r="E91" s="21" t="s">
        <v>310</v>
      </c>
      <c r="F91" s="21">
        <v>0</v>
      </c>
      <c r="G91" s="21">
        <v>0.01</v>
      </c>
      <c r="H91" s="21">
        <v>0.56000000000000005</v>
      </c>
      <c r="I91" s="21">
        <v>560</v>
      </c>
      <c r="S91" s="26" t="s">
        <v>466</v>
      </c>
      <c r="T91" s="23">
        <f>AVERAGEIFS(Tbl_Daily[volume_millions],Tbl_Daily[year],2023,Tbl_Daily[month],4)</f>
        <v>291.72966666666667</v>
      </c>
    </row>
    <row r="92" spans="1:20" ht="15" customHeight="1" x14ac:dyDescent="0.3">
      <c r="A92" s="21" t="s">
        <v>467</v>
      </c>
      <c r="B92" s="21">
        <v>2016</v>
      </c>
      <c r="C92" s="21">
        <v>10</v>
      </c>
      <c r="D92" s="21">
        <v>21</v>
      </c>
      <c r="E92" s="21" t="s">
        <v>313</v>
      </c>
      <c r="F92" s="21">
        <v>0</v>
      </c>
      <c r="G92" s="21">
        <v>0.01</v>
      </c>
      <c r="H92" s="21">
        <v>0.62</v>
      </c>
      <c r="I92" s="21">
        <v>620</v>
      </c>
      <c r="S92" s="26" t="s">
        <v>468</v>
      </c>
      <c r="T92" s="23">
        <f>AVERAGEIFS(Tbl_Daily[volume_millions],Tbl_Daily[year],2023,Tbl_Daily[month],5)</f>
        <v>291.77967741935487</v>
      </c>
    </row>
    <row r="93" spans="1:20" ht="15" customHeight="1" x14ac:dyDescent="0.3">
      <c r="A93" s="21" t="s">
        <v>469</v>
      </c>
      <c r="B93" s="21">
        <v>2016</v>
      </c>
      <c r="C93" s="21">
        <v>10</v>
      </c>
      <c r="D93" s="21">
        <v>22</v>
      </c>
      <c r="E93" s="21" t="s">
        <v>316</v>
      </c>
      <c r="F93" s="21">
        <v>1</v>
      </c>
      <c r="G93" s="21">
        <v>0.01</v>
      </c>
      <c r="H93" s="21">
        <v>0.51</v>
      </c>
      <c r="I93" s="21">
        <v>510</v>
      </c>
      <c r="S93" s="26" t="s">
        <v>470</v>
      </c>
      <c r="T93" s="23">
        <f>AVERAGEIFS(Tbl_Daily[volume_millions],Tbl_Daily[year],2023,Tbl_Daily[month],6)</f>
        <v>312.72433333333339</v>
      </c>
    </row>
    <row r="94" spans="1:20" ht="15" customHeight="1" x14ac:dyDescent="0.3">
      <c r="A94" s="21" t="s">
        <v>471</v>
      </c>
      <c r="B94" s="21">
        <v>2016</v>
      </c>
      <c r="C94" s="21">
        <v>10</v>
      </c>
      <c r="D94" s="21">
        <v>23</v>
      </c>
      <c r="E94" s="21" t="s">
        <v>319</v>
      </c>
      <c r="F94" s="21">
        <v>1</v>
      </c>
      <c r="G94" s="21">
        <v>0.01</v>
      </c>
      <c r="H94" s="21">
        <v>0.47</v>
      </c>
      <c r="I94" s="21">
        <v>470</v>
      </c>
      <c r="S94" s="26" t="s">
        <v>472</v>
      </c>
      <c r="T94" s="23">
        <f>AVERAGEIFS(Tbl_Daily[volume_millions],Tbl_Daily[year],2023,Tbl_Daily[month],7)</f>
        <v>317.90161290322578</v>
      </c>
    </row>
    <row r="95" spans="1:20" ht="15" customHeight="1" x14ac:dyDescent="0.3">
      <c r="A95" s="21" t="s">
        <v>473</v>
      </c>
      <c r="B95" s="21">
        <v>2016</v>
      </c>
      <c r="C95" s="21">
        <v>10</v>
      </c>
      <c r="D95" s="21">
        <v>24</v>
      </c>
      <c r="E95" s="21" t="s">
        <v>299</v>
      </c>
      <c r="F95" s="21">
        <v>0</v>
      </c>
      <c r="G95" s="21">
        <v>0.01</v>
      </c>
      <c r="H95" s="21">
        <v>0.57999999999999996</v>
      </c>
      <c r="I95" s="21">
        <v>580</v>
      </c>
      <c r="S95" s="26" t="s">
        <v>474</v>
      </c>
      <c r="T95" s="23">
        <f>AVERAGEIFS(Tbl_Daily[volume_millions],Tbl_Daily[year],2023,Tbl_Daily[month],8)</f>
        <v>340.75032258064522</v>
      </c>
    </row>
    <row r="96" spans="1:20" ht="15" customHeight="1" x14ac:dyDescent="0.3">
      <c r="A96" s="21" t="s">
        <v>475</v>
      </c>
      <c r="B96" s="21">
        <v>2016</v>
      </c>
      <c r="C96" s="21">
        <v>10</v>
      </c>
      <c r="D96" s="21">
        <v>25</v>
      </c>
      <c r="E96" s="21" t="s">
        <v>303</v>
      </c>
      <c r="F96" s="21">
        <v>0</v>
      </c>
      <c r="G96" s="21">
        <v>0.01</v>
      </c>
      <c r="H96" s="21">
        <v>0.56000000000000005</v>
      </c>
      <c r="I96" s="21">
        <v>560</v>
      </c>
      <c r="S96" s="26" t="s">
        <v>476</v>
      </c>
      <c r="T96" s="23">
        <f>AVERAGEIFS(Tbl_Daily[volume_millions],Tbl_Daily[year],2023,Tbl_Daily[month],9)</f>
        <v>348.0053333333334</v>
      </c>
    </row>
    <row r="97" spans="1:20" ht="15" customHeight="1" x14ac:dyDescent="0.3">
      <c r="A97" s="21" t="s">
        <v>477</v>
      </c>
      <c r="B97" s="21">
        <v>2016</v>
      </c>
      <c r="C97" s="21">
        <v>10</v>
      </c>
      <c r="D97" s="21">
        <v>26</v>
      </c>
      <c r="E97" s="21" t="s">
        <v>307</v>
      </c>
      <c r="F97" s="21">
        <v>0</v>
      </c>
      <c r="G97" s="21">
        <v>0.01</v>
      </c>
      <c r="H97" s="21">
        <v>0.53</v>
      </c>
      <c r="I97" s="21">
        <v>530</v>
      </c>
      <c r="S97" s="26" t="s">
        <v>478</v>
      </c>
      <c r="T97" s="23">
        <f>AVERAGEIFS(Tbl_Daily[volume_millions],Tbl_Daily[year],2023,Tbl_Daily[month],10)</f>
        <v>380.76774193548385</v>
      </c>
    </row>
    <row r="98" spans="1:20" ht="15" customHeight="1" x14ac:dyDescent="0.3">
      <c r="A98" s="21" t="s">
        <v>479</v>
      </c>
      <c r="B98" s="21">
        <v>2016</v>
      </c>
      <c r="C98" s="21">
        <v>10</v>
      </c>
      <c r="D98" s="21">
        <v>27</v>
      </c>
      <c r="E98" s="21" t="s">
        <v>310</v>
      </c>
      <c r="F98" s="21">
        <v>0</v>
      </c>
      <c r="G98" s="21">
        <v>0.01</v>
      </c>
      <c r="H98" s="21">
        <v>0.52</v>
      </c>
      <c r="I98" s="21">
        <v>520</v>
      </c>
      <c r="S98" s="26" t="s">
        <v>480</v>
      </c>
      <c r="T98" s="23">
        <f>AVERAGEIFS(Tbl_Daily[volume_millions],Tbl_Daily[year],2023,Tbl_Daily[month],11)</f>
        <v>383.25833333333333</v>
      </c>
    </row>
    <row r="99" spans="1:20" ht="15" customHeight="1" x14ac:dyDescent="0.3">
      <c r="A99" s="21" t="s">
        <v>481</v>
      </c>
      <c r="B99" s="21">
        <v>2016</v>
      </c>
      <c r="C99" s="21">
        <v>10</v>
      </c>
      <c r="D99" s="21">
        <v>28</v>
      </c>
      <c r="E99" s="21" t="s">
        <v>313</v>
      </c>
      <c r="F99" s="21">
        <v>0</v>
      </c>
      <c r="G99" s="21">
        <v>0.01</v>
      </c>
      <c r="H99" s="21">
        <v>0.55000000000000004</v>
      </c>
      <c r="I99" s="21">
        <v>550</v>
      </c>
      <c r="S99" s="26" t="s">
        <v>482</v>
      </c>
      <c r="T99" s="23">
        <f>AVERAGEIFS(Tbl_Daily[volume_millions],Tbl_Daily[year],2023,Tbl_Daily[month],12)</f>
        <v>386.73645161290318</v>
      </c>
    </row>
    <row r="100" spans="1:20" ht="15" customHeight="1" x14ac:dyDescent="0.3">
      <c r="A100" s="21" t="s">
        <v>483</v>
      </c>
      <c r="B100" s="21">
        <v>2016</v>
      </c>
      <c r="C100" s="21">
        <v>10</v>
      </c>
      <c r="D100" s="21">
        <v>29</v>
      </c>
      <c r="E100" s="21" t="s">
        <v>316</v>
      </c>
      <c r="F100" s="21">
        <v>1</v>
      </c>
      <c r="G100" s="21">
        <v>0.01</v>
      </c>
      <c r="H100" s="21">
        <v>0.45</v>
      </c>
      <c r="I100" s="21">
        <v>450</v>
      </c>
      <c r="S100" s="26" t="s">
        <v>484</v>
      </c>
      <c r="T100" s="23">
        <f>AVERAGEIFS(Tbl_Daily[volume_millions],Tbl_Daily[year],2024,Tbl_Daily[month],1)</f>
        <v>398.15645161290337</v>
      </c>
    </row>
    <row r="101" spans="1:20" ht="15" customHeight="1" x14ac:dyDescent="0.3">
      <c r="A101" s="21" t="s">
        <v>485</v>
      </c>
      <c r="B101" s="21">
        <v>2016</v>
      </c>
      <c r="C101" s="21">
        <v>10</v>
      </c>
      <c r="D101" s="21">
        <v>30</v>
      </c>
      <c r="E101" s="21" t="s">
        <v>319</v>
      </c>
      <c r="F101" s="21">
        <v>1</v>
      </c>
      <c r="G101" s="21">
        <v>0.01</v>
      </c>
      <c r="H101" s="21">
        <v>0.51</v>
      </c>
      <c r="I101" s="21">
        <v>510</v>
      </c>
      <c r="S101" s="26" t="s">
        <v>486</v>
      </c>
      <c r="T101" s="23">
        <f>AVERAGEIFS(Tbl_Daily[volume_millions],Tbl_Daily[year],2024,Tbl_Daily[month],2)</f>
        <v>393.61793103448269</v>
      </c>
    </row>
    <row r="102" spans="1:20" ht="15" customHeight="1" x14ac:dyDescent="0.3">
      <c r="A102" s="21" t="s">
        <v>487</v>
      </c>
      <c r="B102" s="21">
        <v>2016</v>
      </c>
      <c r="C102" s="21">
        <v>10</v>
      </c>
      <c r="D102" s="21">
        <v>31</v>
      </c>
      <c r="E102" s="21" t="s">
        <v>299</v>
      </c>
      <c r="F102" s="21">
        <v>0</v>
      </c>
      <c r="G102" s="21">
        <v>0.01</v>
      </c>
      <c r="H102" s="21">
        <v>0.64</v>
      </c>
      <c r="I102" s="21">
        <v>640</v>
      </c>
      <c r="S102" s="26" t="s">
        <v>488</v>
      </c>
      <c r="T102" s="23">
        <f>AVERAGEIFS(Tbl_Daily[volume_millions],Tbl_Daily[year],2024,Tbl_Daily[month],3)</f>
        <v>423.50935483870973</v>
      </c>
    </row>
    <row r="103" spans="1:20" ht="15" customHeight="1" x14ac:dyDescent="0.3">
      <c r="A103" s="21" t="s">
        <v>94</v>
      </c>
      <c r="B103" s="21">
        <v>2016</v>
      </c>
      <c r="C103" s="21">
        <v>11</v>
      </c>
      <c r="D103" s="21">
        <v>1</v>
      </c>
      <c r="E103" s="21" t="s">
        <v>303</v>
      </c>
      <c r="F103" s="21">
        <v>0</v>
      </c>
      <c r="G103" s="21">
        <v>0.02</v>
      </c>
      <c r="H103" s="21">
        <v>0.9</v>
      </c>
      <c r="I103" s="21">
        <v>450</v>
      </c>
      <c r="S103" s="26" t="s">
        <v>489</v>
      </c>
      <c r="T103" s="23">
        <f>AVERAGEIFS(Tbl_Daily[volume_millions],Tbl_Daily[year],2024,Tbl_Daily[month],4)</f>
        <v>446.28066666666678</v>
      </c>
    </row>
    <row r="104" spans="1:20" ht="15" customHeight="1" x14ac:dyDescent="0.3">
      <c r="A104" s="21" t="s">
        <v>490</v>
      </c>
      <c r="B104" s="21">
        <v>2016</v>
      </c>
      <c r="C104" s="21">
        <v>11</v>
      </c>
      <c r="D104" s="21">
        <v>2</v>
      </c>
      <c r="E104" s="21" t="s">
        <v>307</v>
      </c>
      <c r="F104" s="21">
        <v>0</v>
      </c>
      <c r="G104" s="21">
        <v>0.02</v>
      </c>
      <c r="H104" s="21">
        <v>0.91</v>
      </c>
      <c r="I104" s="21">
        <v>455</v>
      </c>
      <c r="S104" s="26" t="s">
        <v>491</v>
      </c>
      <c r="T104" s="23">
        <f>AVERAGEIFS(Tbl_Daily[volume_millions],Tbl_Daily[year],2024,Tbl_Daily[month],5)</f>
        <v>452.46612903225798</v>
      </c>
    </row>
    <row r="105" spans="1:20" ht="15" customHeight="1" x14ac:dyDescent="0.3">
      <c r="A105" s="21" t="s">
        <v>492</v>
      </c>
      <c r="B105" s="21">
        <v>2016</v>
      </c>
      <c r="C105" s="21">
        <v>11</v>
      </c>
      <c r="D105" s="21">
        <v>3</v>
      </c>
      <c r="E105" s="21" t="s">
        <v>310</v>
      </c>
      <c r="F105" s="21">
        <v>0</v>
      </c>
      <c r="G105" s="21">
        <v>0.02</v>
      </c>
      <c r="H105" s="21">
        <v>0.79</v>
      </c>
      <c r="I105" s="21">
        <v>395</v>
      </c>
      <c r="S105" s="26" t="s">
        <v>493</v>
      </c>
      <c r="T105" s="23">
        <f>AVERAGEIFS(Tbl_Daily[volume_millions],Tbl_Daily[year],2024,Tbl_Daily[month],6)</f>
        <v>450.09500000000008</v>
      </c>
    </row>
    <row r="106" spans="1:20" ht="15" customHeight="1" x14ac:dyDescent="0.3">
      <c r="A106" s="21" t="s">
        <v>494</v>
      </c>
      <c r="B106" s="21">
        <v>2016</v>
      </c>
      <c r="C106" s="21">
        <v>11</v>
      </c>
      <c r="D106" s="21">
        <v>4</v>
      </c>
      <c r="E106" s="21" t="s">
        <v>313</v>
      </c>
      <c r="F106" s="21">
        <v>0</v>
      </c>
      <c r="G106" s="21">
        <v>0.02</v>
      </c>
      <c r="H106" s="21">
        <v>0.83</v>
      </c>
      <c r="I106" s="21">
        <v>415</v>
      </c>
      <c r="S106" s="26" t="s">
        <v>495</v>
      </c>
      <c r="T106" s="23">
        <f>AVERAGEIFS(Tbl_Daily[volume_millions],Tbl_Daily[year],2024,Tbl_Daily[month],7)</f>
        <v>467.53903225806459</v>
      </c>
    </row>
    <row r="107" spans="1:20" ht="15" customHeight="1" x14ac:dyDescent="0.3">
      <c r="A107" s="21" t="s">
        <v>496</v>
      </c>
      <c r="B107" s="21">
        <v>2016</v>
      </c>
      <c r="C107" s="21">
        <v>11</v>
      </c>
      <c r="D107" s="21">
        <v>5</v>
      </c>
      <c r="E107" s="21" t="s">
        <v>316</v>
      </c>
      <c r="F107" s="21">
        <v>1</v>
      </c>
      <c r="G107" s="21">
        <v>0.01</v>
      </c>
      <c r="H107" s="21">
        <v>0.69</v>
      </c>
      <c r="I107" s="21">
        <v>690</v>
      </c>
      <c r="S107" s="26" t="s">
        <v>497</v>
      </c>
      <c r="T107" s="23">
        <f>AVERAGEIFS(Tbl_Daily[volume_millions],Tbl_Daily[year],2024,Tbl_Daily[month],8)</f>
        <v>483.31354838709683</v>
      </c>
    </row>
    <row r="108" spans="1:20" ht="15" customHeight="1" x14ac:dyDescent="0.3">
      <c r="A108" s="21" t="s">
        <v>498</v>
      </c>
      <c r="B108" s="21">
        <v>2016</v>
      </c>
      <c r="C108" s="21">
        <v>11</v>
      </c>
      <c r="D108" s="21">
        <v>6</v>
      </c>
      <c r="E108" s="21" t="s">
        <v>319</v>
      </c>
      <c r="F108" s="21">
        <v>1</v>
      </c>
      <c r="G108" s="21">
        <v>0.01</v>
      </c>
      <c r="H108" s="21">
        <v>0.69</v>
      </c>
      <c r="I108" s="21">
        <v>690</v>
      </c>
      <c r="S108" s="26" t="s">
        <v>499</v>
      </c>
      <c r="T108" s="23">
        <f>AVERAGEIFS(Tbl_Daily[volume_millions],Tbl_Daily[year],2024,Tbl_Daily[month],9)</f>
        <v>499.17400000000004</v>
      </c>
    </row>
    <row r="109" spans="1:20" ht="15" customHeight="1" x14ac:dyDescent="0.3">
      <c r="A109" s="21" t="s">
        <v>500</v>
      </c>
      <c r="B109" s="21">
        <v>2016</v>
      </c>
      <c r="C109" s="21">
        <v>11</v>
      </c>
      <c r="D109" s="21">
        <v>7</v>
      </c>
      <c r="E109" s="21" t="s">
        <v>299</v>
      </c>
      <c r="F109" s="21">
        <v>0</v>
      </c>
      <c r="G109" s="21">
        <v>0.02</v>
      </c>
      <c r="H109" s="21">
        <v>0.84</v>
      </c>
      <c r="I109" s="21">
        <v>420</v>
      </c>
      <c r="S109" s="26" t="s">
        <v>501</v>
      </c>
      <c r="T109" s="23">
        <f>AVERAGEIFS(Tbl_Daily[volume_millions],Tbl_Daily[year],2024,Tbl_Daily[month],10)</f>
        <v>549.42322580645168</v>
      </c>
    </row>
    <row r="110" spans="1:20" ht="15" customHeight="1" x14ac:dyDescent="0.3">
      <c r="A110" s="21" t="s">
        <v>502</v>
      </c>
      <c r="B110" s="21">
        <v>2016</v>
      </c>
      <c r="C110" s="21">
        <v>11</v>
      </c>
      <c r="D110" s="21">
        <v>8</v>
      </c>
      <c r="E110" s="21" t="s">
        <v>303</v>
      </c>
      <c r="F110" s="21">
        <v>0</v>
      </c>
      <c r="G110" s="21">
        <v>0.02</v>
      </c>
      <c r="H110" s="21">
        <v>0.8</v>
      </c>
      <c r="I110" s="21">
        <v>400</v>
      </c>
      <c r="S110" s="26" t="s">
        <v>503</v>
      </c>
      <c r="T110" s="23">
        <f>AVERAGEIFS(Tbl_Daily[volume_millions],Tbl_Daily[year],2024,Tbl_Daily[month],11)</f>
        <v>526.99800000000016</v>
      </c>
    </row>
    <row r="111" spans="1:20" ht="15" customHeight="1" x14ac:dyDescent="0.3">
      <c r="A111" s="21" t="s">
        <v>504</v>
      </c>
      <c r="B111" s="21">
        <v>2016</v>
      </c>
      <c r="C111" s="21">
        <v>11</v>
      </c>
      <c r="D111" s="21">
        <v>9</v>
      </c>
      <c r="E111" s="21" t="s">
        <v>307</v>
      </c>
      <c r="F111" s="21">
        <v>0</v>
      </c>
      <c r="G111" s="21">
        <v>0.02</v>
      </c>
      <c r="H111" s="21">
        <v>0.77</v>
      </c>
      <c r="I111" s="21">
        <v>385</v>
      </c>
      <c r="S111" s="26" t="s">
        <v>505</v>
      </c>
      <c r="T111" s="23">
        <f>AVERAGEIFS(Tbl_Daily[volume_millions],Tbl_Daily[year],2024,Tbl_Daily[month],12)</f>
        <v>535.9064516129032</v>
      </c>
    </row>
    <row r="112" spans="1:20" ht="15" customHeight="1" x14ac:dyDescent="0.3">
      <c r="A112" s="21" t="s">
        <v>506</v>
      </c>
      <c r="B112" s="21">
        <v>2016</v>
      </c>
      <c r="C112" s="21">
        <v>11</v>
      </c>
      <c r="D112" s="21">
        <v>10</v>
      </c>
      <c r="E112" s="21" t="s">
        <v>310</v>
      </c>
      <c r="F112" s="21">
        <v>0</v>
      </c>
      <c r="G112" s="21">
        <v>0.02</v>
      </c>
      <c r="H112" s="21">
        <v>0.79</v>
      </c>
      <c r="I112" s="21">
        <v>395</v>
      </c>
      <c r="S112" s="26" t="s">
        <v>507</v>
      </c>
      <c r="T112" s="23">
        <f>AVERAGEIFS(Tbl_Daily[volume_millions],Tbl_Daily[year],2025,Tbl_Daily[month],1)</f>
        <v>551.30193548387092</v>
      </c>
    </row>
    <row r="113" spans="1:20" ht="15" customHeight="1" x14ac:dyDescent="0.3">
      <c r="A113" s="21" t="s">
        <v>508</v>
      </c>
      <c r="B113" s="21">
        <v>2016</v>
      </c>
      <c r="C113" s="21">
        <v>11</v>
      </c>
      <c r="D113" s="21">
        <v>11</v>
      </c>
      <c r="E113" s="21" t="s">
        <v>313</v>
      </c>
      <c r="F113" s="21">
        <v>0</v>
      </c>
      <c r="G113" s="21">
        <v>0.02</v>
      </c>
      <c r="H113" s="21">
        <v>0.86</v>
      </c>
      <c r="I113" s="21">
        <v>430</v>
      </c>
      <c r="S113" s="26" t="s">
        <v>509</v>
      </c>
      <c r="T113" s="23">
        <f>AVERAGEIFS(Tbl_Daily[volume_millions],Tbl_Daily[year],2025,Tbl_Daily[month],2)</f>
        <v>553.97892857142847</v>
      </c>
    </row>
    <row r="114" spans="1:20" ht="15" customHeight="1" x14ac:dyDescent="0.3">
      <c r="A114" s="21" t="s">
        <v>510</v>
      </c>
      <c r="B114" s="21">
        <v>2016</v>
      </c>
      <c r="C114" s="21">
        <v>11</v>
      </c>
      <c r="D114" s="21">
        <v>12</v>
      </c>
      <c r="E114" s="21" t="s">
        <v>316</v>
      </c>
      <c r="F114" s="21">
        <v>1</v>
      </c>
      <c r="G114" s="21">
        <v>0.01</v>
      </c>
      <c r="H114" s="21">
        <v>0.66</v>
      </c>
      <c r="I114" s="21">
        <v>660</v>
      </c>
    </row>
    <row r="115" spans="1:20" ht="15" customHeight="1" x14ac:dyDescent="0.3">
      <c r="A115" s="21" t="s">
        <v>511</v>
      </c>
      <c r="B115" s="21">
        <v>2016</v>
      </c>
      <c r="C115" s="21">
        <v>11</v>
      </c>
      <c r="D115" s="21">
        <v>13</v>
      </c>
      <c r="E115" s="21" t="s">
        <v>319</v>
      </c>
      <c r="F115" s="21">
        <v>1</v>
      </c>
      <c r="G115" s="21">
        <v>0.01</v>
      </c>
      <c r="H115" s="21">
        <v>0.68</v>
      </c>
      <c r="I115" s="21">
        <v>680</v>
      </c>
    </row>
    <row r="116" spans="1:20" ht="15" customHeight="1" x14ac:dyDescent="0.3">
      <c r="A116" s="21" t="s">
        <v>512</v>
      </c>
      <c r="B116" s="21">
        <v>2016</v>
      </c>
      <c r="C116" s="21">
        <v>11</v>
      </c>
      <c r="D116" s="21">
        <v>14</v>
      </c>
      <c r="E116" s="21" t="s">
        <v>299</v>
      </c>
      <c r="F116" s="21">
        <v>0</v>
      </c>
      <c r="G116" s="21">
        <v>0.02</v>
      </c>
      <c r="H116" s="21">
        <v>0.85</v>
      </c>
      <c r="I116" s="21">
        <v>425</v>
      </c>
    </row>
    <row r="117" spans="1:20" ht="15" customHeight="1" x14ac:dyDescent="0.3">
      <c r="A117" s="21" t="s">
        <v>513</v>
      </c>
      <c r="B117" s="21">
        <v>2016</v>
      </c>
      <c r="C117" s="21">
        <v>11</v>
      </c>
      <c r="D117" s="21">
        <v>15</v>
      </c>
      <c r="E117" s="21" t="s">
        <v>303</v>
      </c>
      <c r="F117" s="21">
        <v>0</v>
      </c>
      <c r="G117" s="21">
        <v>0.02</v>
      </c>
      <c r="H117" s="21">
        <v>0.93</v>
      </c>
      <c r="I117" s="21">
        <v>465</v>
      </c>
    </row>
    <row r="118" spans="1:20" ht="15" customHeight="1" x14ac:dyDescent="0.3">
      <c r="A118" s="21" t="s">
        <v>514</v>
      </c>
      <c r="B118" s="21">
        <v>2016</v>
      </c>
      <c r="C118" s="21">
        <v>11</v>
      </c>
      <c r="D118" s="21">
        <v>16</v>
      </c>
      <c r="E118" s="21" t="s">
        <v>307</v>
      </c>
      <c r="F118" s="21">
        <v>0</v>
      </c>
      <c r="G118" s="21">
        <v>0.02</v>
      </c>
      <c r="H118" s="21">
        <v>0.89</v>
      </c>
      <c r="I118" s="21">
        <v>445</v>
      </c>
    </row>
    <row r="119" spans="1:20" ht="15" customHeight="1" x14ac:dyDescent="0.3">
      <c r="A119" s="21" t="s">
        <v>515</v>
      </c>
      <c r="B119" s="21">
        <v>2016</v>
      </c>
      <c r="C119" s="21">
        <v>11</v>
      </c>
      <c r="D119" s="21">
        <v>17</v>
      </c>
      <c r="E119" s="21" t="s">
        <v>310</v>
      </c>
      <c r="F119" s="21">
        <v>0</v>
      </c>
      <c r="G119" s="21">
        <v>0.02</v>
      </c>
      <c r="H119" s="21">
        <v>0.89</v>
      </c>
      <c r="I119" s="21">
        <v>445</v>
      </c>
    </row>
    <row r="120" spans="1:20" ht="15" customHeight="1" x14ac:dyDescent="0.3">
      <c r="A120" s="21" t="s">
        <v>516</v>
      </c>
      <c r="B120" s="21">
        <v>2016</v>
      </c>
      <c r="C120" s="21">
        <v>11</v>
      </c>
      <c r="D120" s="21">
        <v>18</v>
      </c>
      <c r="E120" s="21" t="s">
        <v>313</v>
      </c>
      <c r="F120" s="21">
        <v>0</v>
      </c>
      <c r="G120" s="21">
        <v>0.02</v>
      </c>
      <c r="H120" s="21">
        <v>0.95</v>
      </c>
      <c r="I120" s="21">
        <v>475</v>
      </c>
    </row>
    <row r="121" spans="1:20" ht="15" customHeight="1" x14ac:dyDescent="0.3">
      <c r="A121" s="21" t="s">
        <v>517</v>
      </c>
      <c r="B121" s="21">
        <v>2016</v>
      </c>
      <c r="C121" s="21">
        <v>11</v>
      </c>
      <c r="D121" s="21">
        <v>19</v>
      </c>
      <c r="E121" s="21" t="s">
        <v>316</v>
      </c>
      <c r="F121" s="21">
        <v>1</v>
      </c>
      <c r="G121" s="21">
        <v>0.01</v>
      </c>
      <c r="H121" s="21">
        <v>0.7</v>
      </c>
      <c r="I121" s="21">
        <v>700</v>
      </c>
    </row>
    <row r="122" spans="1:20" ht="15" customHeight="1" x14ac:dyDescent="0.3">
      <c r="A122" s="21" t="s">
        <v>518</v>
      </c>
      <c r="B122" s="21">
        <v>2016</v>
      </c>
      <c r="C122" s="21">
        <v>11</v>
      </c>
      <c r="D122" s="21">
        <v>20</v>
      </c>
      <c r="E122" s="21" t="s">
        <v>319</v>
      </c>
      <c r="F122" s="21">
        <v>1</v>
      </c>
      <c r="G122" s="21">
        <v>0.02</v>
      </c>
      <c r="H122" s="21">
        <v>0.75</v>
      </c>
      <c r="I122" s="21">
        <v>375</v>
      </c>
    </row>
    <row r="123" spans="1:20" ht="15" customHeight="1" x14ac:dyDescent="0.3">
      <c r="A123" s="21" t="s">
        <v>519</v>
      </c>
      <c r="B123" s="21">
        <v>2016</v>
      </c>
      <c r="C123" s="21">
        <v>11</v>
      </c>
      <c r="D123" s="21">
        <v>21</v>
      </c>
      <c r="E123" s="21" t="s">
        <v>299</v>
      </c>
      <c r="F123" s="21">
        <v>0</v>
      </c>
      <c r="G123" s="21">
        <v>0.02</v>
      </c>
      <c r="H123" s="21">
        <v>0.93</v>
      </c>
      <c r="I123" s="21">
        <v>465</v>
      </c>
    </row>
    <row r="124" spans="1:20" ht="15" customHeight="1" x14ac:dyDescent="0.3">
      <c r="A124" s="21" t="s">
        <v>520</v>
      </c>
      <c r="B124" s="21">
        <v>2016</v>
      </c>
      <c r="C124" s="21">
        <v>11</v>
      </c>
      <c r="D124" s="21">
        <v>22</v>
      </c>
      <c r="E124" s="21" t="s">
        <v>303</v>
      </c>
      <c r="F124" s="21">
        <v>0</v>
      </c>
      <c r="G124" s="21">
        <v>0.02</v>
      </c>
      <c r="H124" s="21">
        <v>0.95</v>
      </c>
      <c r="I124" s="21">
        <v>475</v>
      </c>
    </row>
    <row r="125" spans="1:20" ht="15" customHeight="1" x14ac:dyDescent="0.3">
      <c r="A125" s="21" t="s">
        <v>521</v>
      </c>
      <c r="B125" s="21">
        <v>2016</v>
      </c>
      <c r="C125" s="21">
        <v>11</v>
      </c>
      <c r="D125" s="21">
        <v>23</v>
      </c>
      <c r="E125" s="21" t="s">
        <v>307</v>
      </c>
      <c r="F125" s="21">
        <v>0</v>
      </c>
      <c r="G125" s="21">
        <v>0.02</v>
      </c>
      <c r="H125" s="21">
        <v>0.88</v>
      </c>
      <c r="I125" s="21">
        <v>440</v>
      </c>
    </row>
    <row r="126" spans="1:20" ht="15" customHeight="1" x14ac:dyDescent="0.3">
      <c r="A126" s="21" t="s">
        <v>522</v>
      </c>
      <c r="B126" s="21">
        <v>2016</v>
      </c>
      <c r="C126" s="21">
        <v>11</v>
      </c>
      <c r="D126" s="21">
        <v>24</v>
      </c>
      <c r="E126" s="21" t="s">
        <v>310</v>
      </c>
      <c r="F126" s="21">
        <v>0</v>
      </c>
      <c r="G126" s="21">
        <v>0.02</v>
      </c>
      <c r="H126" s="21">
        <v>0.89</v>
      </c>
      <c r="I126" s="21">
        <v>445</v>
      </c>
    </row>
    <row r="127" spans="1:20" ht="15" customHeight="1" x14ac:dyDescent="0.3">
      <c r="A127" s="21" t="s">
        <v>523</v>
      </c>
      <c r="B127" s="21">
        <v>2016</v>
      </c>
      <c r="C127" s="21">
        <v>11</v>
      </c>
      <c r="D127" s="21">
        <v>25</v>
      </c>
      <c r="E127" s="21" t="s">
        <v>313</v>
      </c>
      <c r="F127" s="21">
        <v>0</v>
      </c>
      <c r="G127" s="21">
        <v>0.02</v>
      </c>
      <c r="H127" s="21">
        <v>0.95</v>
      </c>
      <c r="I127" s="21">
        <v>475</v>
      </c>
    </row>
    <row r="128" spans="1:20" ht="15" customHeight="1" x14ac:dyDescent="0.3">
      <c r="A128" s="21" t="s">
        <v>524</v>
      </c>
      <c r="B128" s="21">
        <v>2016</v>
      </c>
      <c r="C128" s="21">
        <v>11</v>
      </c>
      <c r="D128" s="21">
        <v>26</v>
      </c>
      <c r="E128" s="21" t="s">
        <v>316</v>
      </c>
      <c r="F128" s="21">
        <v>1</v>
      </c>
      <c r="G128" s="21">
        <v>0.01</v>
      </c>
      <c r="H128" s="21">
        <v>0.65</v>
      </c>
      <c r="I128" s="21">
        <v>650</v>
      </c>
    </row>
    <row r="129" spans="1:9" ht="15" customHeight="1" x14ac:dyDescent="0.3">
      <c r="A129" s="21" t="s">
        <v>525</v>
      </c>
      <c r="B129" s="21">
        <v>2016</v>
      </c>
      <c r="C129" s="21">
        <v>11</v>
      </c>
      <c r="D129" s="21">
        <v>27</v>
      </c>
      <c r="E129" s="21" t="s">
        <v>319</v>
      </c>
      <c r="F129" s="21">
        <v>1</v>
      </c>
      <c r="G129" s="21">
        <v>0.01</v>
      </c>
      <c r="H129" s="21">
        <v>0.71</v>
      </c>
      <c r="I129" s="21">
        <v>710</v>
      </c>
    </row>
    <row r="130" spans="1:9" ht="15" customHeight="1" x14ac:dyDescent="0.3">
      <c r="A130" s="21" t="s">
        <v>526</v>
      </c>
      <c r="B130" s="21">
        <v>2016</v>
      </c>
      <c r="C130" s="21">
        <v>11</v>
      </c>
      <c r="D130" s="21">
        <v>28</v>
      </c>
      <c r="E130" s="21" t="s">
        <v>299</v>
      </c>
      <c r="F130" s="21">
        <v>0</v>
      </c>
      <c r="G130" s="21">
        <v>0.02</v>
      </c>
      <c r="H130" s="21">
        <v>0.86</v>
      </c>
      <c r="I130" s="21">
        <v>430</v>
      </c>
    </row>
    <row r="131" spans="1:9" ht="15" customHeight="1" x14ac:dyDescent="0.3">
      <c r="A131" s="21" t="s">
        <v>527</v>
      </c>
      <c r="B131" s="21">
        <v>2016</v>
      </c>
      <c r="C131" s="21">
        <v>11</v>
      </c>
      <c r="D131" s="21">
        <v>29</v>
      </c>
      <c r="E131" s="21" t="s">
        <v>303</v>
      </c>
      <c r="F131" s="21">
        <v>0</v>
      </c>
      <c r="G131" s="21">
        <v>0.02</v>
      </c>
      <c r="H131" s="21">
        <v>0.94</v>
      </c>
      <c r="I131" s="21">
        <v>470</v>
      </c>
    </row>
    <row r="132" spans="1:9" ht="15" customHeight="1" x14ac:dyDescent="0.3">
      <c r="A132" s="21" t="s">
        <v>528</v>
      </c>
      <c r="B132" s="21">
        <v>2016</v>
      </c>
      <c r="C132" s="21">
        <v>11</v>
      </c>
      <c r="D132" s="21">
        <v>30</v>
      </c>
      <c r="E132" s="21" t="s">
        <v>307</v>
      </c>
      <c r="F132" s="21">
        <v>0</v>
      </c>
      <c r="G132" s="21">
        <v>0.02</v>
      </c>
      <c r="H132" s="21">
        <v>0.9</v>
      </c>
      <c r="I132" s="21">
        <v>450</v>
      </c>
    </row>
    <row r="133" spans="1:9" ht="15" customHeight="1" x14ac:dyDescent="0.3">
      <c r="A133" s="21" t="s">
        <v>97</v>
      </c>
      <c r="B133" s="21">
        <v>2016</v>
      </c>
      <c r="C133" s="21">
        <v>12</v>
      </c>
      <c r="D133" s="21">
        <v>1</v>
      </c>
      <c r="E133" s="21" t="s">
        <v>310</v>
      </c>
      <c r="F133" s="21">
        <v>0</v>
      </c>
      <c r="G133" s="21">
        <v>0.08</v>
      </c>
      <c r="H133" s="21">
        <v>2.76</v>
      </c>
      <c r="I133" s="21">
        <v>345</v>
      </c>
    </row>
    <row r="134" spans="1:9" ht="15" customHeight="1" x14ac:dyDescent="0.3">
      <c r="A134" s="21" t="s">
        <v>529</v>
      </c>
      <c r="B134" s="21">
        <v>2016</v>
      </c>
      <c r="C134" s="21">
        <v>12</v>
      </c>
      <c r="D134" s="21">
        <v>2</v>
      </c>
      <c r="E134" s="21" t="s">
        <v>313</v>
      </c>
      <c r="F134" s="21">
        <v>0</v>
      </c>
      <c r="G134" s="21">
        <v>0.08</v>
      </c>
      <c r="H134" s="21">
        <v>2.75</v>
      </c>
      <c r="I134" s="21">
        <v>343.75</v>
      </c>
    </row>
    <row r="135" spans="1:9" ht="15" customHeight="1" x14ac:dyDescent="0.3">
      <c r="A135" s="21" t="s">
        <v>530</v>
      </c>
      <c r="B135" s="21">
        <v>2016</v>
      </c>
      <c r="C135" s="21">
        <v>12</v>
      </c>
      <c r="D135" s="21">
        <v>3</v>
      </c>
      <c r="E135" s="21" t="s">
        <v>316</v>
      </c>
      <c r="F135" s="21">
        <v>1</v>
      </c>
      <c r="G135" s="21">
        <v>0.06</v>
      </c>
      <c r="H135" s="21">
        <v>2</v>
      </c>
      <c r="I135" s="21">
        <v>333.33</v>
      </c>
    </row>
    <row r="136" spans="1:9" ht="15" customHeight="1" x14ac:dyDescent="0.3">
      <c r="A136" s="21" t="s">
        <v>531</v>
      </c>
      <c r="B136" s="21">
        <v>2016</v>
      </c>
      <c r="C136" s="21">
        <v>12</v>
      </c>
      <c r="D136" s="21">
        <v>4</v>
      </c>
      <c r="E136" s="21" t="s">
        <v>319</v>
      </c>
      <c r="F136" s="21">
        <v>1</v>
      </c>
      <c r="G136" s="21">
        <v>0.06</v>
      </c>
      <c r="H136" s="21">
        <v>2.11</v>
      </c>
      <c r="I136" s="21">
        <v>351.67</v>
      </c>
    </row>
    <row r="137" spans="1:9" ht="15" customHeight="1" x14ac:dyDescent="0.3">
      <c r="A137" s="21" t="s">
        <v>532</v>
      </c>
      <c r="B137" s="21">
        <v>2016</v>
      </c>
      <c r="C137" s="21">
        <v>12</v>
      </c>
      <c r="D137" s="21">
        <v>5</v>
      </c>
      <c r="E137" s="21" t="s">
        <v>299</v>
      </c>
      <c r="F137" s="21">
        <v>0</v>
      </c>
      <c r="G137" s="21">
        <v>7.0000000000000007E-2</v>
      </c>
      <c r="H137" s="21">
        <v>2.35</v>
      </c>
      <c r="I137" s="21">
        <v>335.71</v>
      </c>
    </row>
    <row r="138" spans="1:9" ht="15" customHeight="1" x14ac:dyDescent="0.3">
      <c r="A138" s="21" t="s">
        <v>533</v>
      </c>
      <c r="B138" s="21">
        <v>2016</v>
      </c>
      <c r="C138" s="21">
        <v>12</v>
      </c>
      <c r="D138" s="21">
        <v>6</v>
      </c>
      <c r="E138" s="21" t="s">
        <v>303</v>
      </c>
      <c r="F138" s="21">
        <v>0</v>
      </c>
      <c r="G138" s="21">
        <v>0.06</v>
      </c>
      <c r="H138" s="21">
        <v>2.2599999999999998</v>
      </c>
      <c r="I138" s="21">
        <v>376.67</v>
      </c>
    </row>
    <row r="139" spans="1:9" ht="15" customHeight="1" x14ac:dyDescent="0.3">
      <c r="A139" s="21" t="s">
        <v>534</v>
      </c>
      <c r="B139" s="21">
        <v>2016</v>
      </c>
      <c r="C139" s="21">
        <v>12</v>
      </c>
      <c r="D139" s="21">
        <v>7</v>
      </c>
      <c r="E139" s="21" t="s">
        <v>307</v>
      </c>
      <c r="F139" s="21">
        <v>0</v>
      </c>
      <c r="G139" s="21">
        <v>0.06</v>
      </c>
      <c r="H139" s="21">
        <v>2.31</v>
      </c>
      <c r="I139" s="21">
        <v>385</v>
      </c>
    </row>
    <row r="140" spans="1:9" ht="15" customHeight="1" x14ac:dyDescent="0.3">
      <c r="A140" s="21" t="s">
        <v>535</v>
      </c>
      <c r="B140" s="21">
        <v>2016</v>
      </c>
      <c r="C140" s="21">
        <v>12</v>
      </c>
      <c r="D140" s="21">
        <v>8</v>
      </c>
      <c r="E140" s="21" t="s">
        <v>310</v>
      </c>
      <c r="F140" s="21">
        <v>0</v>
      </c>
      <c r="G140" s="21">
        <v>0.06</v>
      </c>
      <c r="H140" s="21">
        <v>2.27</v>
      </c>
      <c r="I140" s="21">
        <v>378.33</v>
      </c>
    </row>
    <row r="141" spans="1:9" ht="15" customHeight="1" x14ac:dyDescent="0.3">
      <c r="A141" s="21" t="s">
        <v>536</v>
      </c>
      <c r="B141" s="21">
        <v>2016</v>
      </c>
      <c r="C141" s="21">
        <v>12</v>
      </c>
      <c r="D141" s="21">
        <v>9</v>
      </c>
      <c r="E141" s="21" t="s">
        <v>313</v>
      </c>
      <c r="F141" s="21">
        <v>0</v>
      </c>
      <c r="G141" s="21">
        <v>7.0000000000000007E-2</v>
      </c>
      <c r="H141" s="21">
        <v>2.38</v>
      </c>
      <c r="I141" s="21">
        <v>340</v>
      </c>
    </row>
    <row r="142" spans="1:9" ht="15" customHeight="1" x14ac:dyDescent="0.3">
      <c r="A142" s="21" t="s">
        <v>537</v>
      </c>
      <c r="B142" s="21">
        <v>2016</v>
      </c>
      <c r="C142" s="21">
        <v>12</v>
      </c>
      <c r="D142" s="21">
        <v>10</v>
      </c>
      <c r="E142" s="21" t="s">
        <v>316</v>
      </c>
      <c r="F142" s="21">
        <v>1</v>
      </c>
      <c r="G142" s="21">
        <v>0.05</v>
      </c>
      <c r="H142" s="21">
        <v>1.96</v>
      </c>
      <c r="I142" s="21">
        <v>392</v>
      </c>
    </row>
    <row r="143" spans="1:9" ht="15" customHeight="1" x14ac:dyDescent="0.3">
      <c r="A143" s="21" t="s">
        <v>538</v>
      </c>
      <c r="B143" s="21">
        <v>2016</v>
      </c>
      <c r="C143" s="21">
        <v>12</v>
      </c>
      <c r="D143" s="21">
        <v>11</v>
      </c>
      <c r="E143" s="21" t="s">
        <v>319</v>
      </c>
      <c r="F143" s="21">
        <v>1</v>
      </c>
      <c r="G143" s="21">
        <v>0.05</v>
      </c>
      <c r="H143" s="21">
        <v>1.88</v>
      </c>
      <c r="I143" s="21">
        <v>376</v>
      </c>
    </row>
    <row r="144" spans="1:9" ht="15" customHeight="1" x14ac:dyDescent="0.3">
      <c r="A144" s="21" t="s">
        <v>539</v>
      </c>
      <c r="B144" s="21">
        <v>2016</v>
      </c>
      <c r="C144" s="21">
        <v>12</v>
      </c>
      <c r="D144" s="21">
        <v>12</v>
      </c>
      <c r="E144" s="21" t="s">
        <v>299</v>
      </c>
      <c r="F144" s="21">
        <v>0</v>
      </c>
      <c r="G144" s="21">
        <v>7.0000000000000007E-2</v>
      </c>
      <c r="H144" s="21">
        <v>2.4500000000000002</v>
      </c>
      <c r="I144" s="21">
        <v>350</v>
      </c>
    </row>
    <row r="145" spans="1:9" ht="15" customHeight="1" x14ac:dyDescent="0.3">
      <c r="A145" s="21" t="s">
        <v>540</v>
      </c>
      <c r="B145" s="21">
        <v>2016</v>
      </c>
      <c r="C145" s="21">
        <v>12</v>
      </c>
      <c r="D145" s="21">
        <v>13</v>
      </c>
      <c r="E145" s="21" t="s">
        <v>303</v>
      </c>
      <c r="F145" s="21">
        <v>0</v>
      </c>
      <c r="G145" s="21">
        <v>0.06</v>
      </c>
      <c r="H145" s="21">
        <v>2.2400000000000002</v>
      </c>
      <c r="I145" s="21">
        <v>373.33</v>
      </c>
    </row>
    <row r="146" spans="1:9" ht="15" customHeight="1" x14ac:dyDescent="0.3">
      <c r="A146" s="21" t="s">
        <v>541</v>
      </c>
      <c r="B146" s="21">
        <v>2016</v>
      </c>
      <c r="C146" s="21">
        <v>12</v>
      </c>
      <c r="D146" s="21">
        <v>14</v>
      </c>
      <c r="E146" s="21" t="s">
        <v>307</v>
      </c>
      <c r="F146" s="21">
        <v>0</v>
      </c>
      <c r="G146" s="21">
        <v>7.0000000000000007E-2</v>
      </c>
      <c r="H146" s="21">
        <v>2.41</v>
      </c>
      <c r="I146" s="21">
        <v>344.29</v>
      </c>
    </row>
    <row r="147" spans="1:9" ht="15" customHeight="1" x14ac:dyDescent="0.3">
      <c r="A147" s="21" t="s">
        <v>542</v>
      </c>
      <c r="B147" s="21">
        <v>2016</v>
      </c>
      <c r="C147" s="21">
        <v>12</v>
      </c>
      <c r="D147" s="21">
        <v>15</v>
      </c>
      <c r="E147" s="21" t="s">
        <v>310</v>
      </c>
      <c r="F147" s="21">
        <v>0</v>
      </c>
      <c r="G147" s="21">
        <v>0.06</v>
      </c>
      <c r="H147" s="21">
        <v>2.25</v>
      </c>
      <c r="I147" s="21">
        <v>375</v>
      </c>
    </row>
    <row r="148" spans="1:9" ht="15" customHeight="1" x14ac:dyDescent="0.3">
      <c r="A148" s="21" t="s">
        <v>543</v>
      </c>
      <c r="B148" s="21">
        <v>2016</v>
      </c>
      <c r="C148" s="21">
        <v>12</v>
      </c>
      <c r="D148" s="21">
        <v>16</v>
      </c>
      <c r="E148" s="21" t="s">
        <v>313</v>
      </c>
      <c r="F148" s="21">
        <v>0</v>
      </c>
      <c r="G148" s="21">
        <v>7.0000000000000007E-2</v>
      </c>
      <c r="H148" s="21">
        <v>2.46</v>
      </c>
      <c r="I148" s="21">
        <v>351.43</v>
      </c>
    </row>
    <row r="149" spans="1:9" ht="15" customHeight="1" x14ac:dyDescent="0.3">
      <c r="A149" s="21" t="s">
        <v>544</v>
      </c>
      <c r="B149" s="21">
        <v>2016</v>
      </c>
      <c r="C149" s="21">
        <v>12</v>
      </c>
      <c r="D149" s="21">
        <v>17</v>
      </c>
      <c r="E149" s="21" t="s">
        <v>316</v>
      </c>
      <c r="F149" s="21">
        <v>1</v>
      </c>
      <c r="G149" s="21">
        <v>0.06</v>
      </c>
      <c r="H149" s="21">
        <v>2.0099999999999998</v>
      </c>
      <c r="I149" s="21">
        <v>335</v>
      </c>
    </row>
    <row r="150" spans="1:9" ht="15" customHeight="1" x14ac:dyDescent="0.3">
      <c r="A150" s="21" t="s">
        <v>545</v>
      </c>
      <c r="B150" s="21">
        <v>2016</v>
      </c>
      <c r="C150" s="21">
        <v>12</v>
      </c>
      <c r="D150" s="21">
        <v>18</v>
      </c>
      <c r="E150" s="21" t="s">
        <v>319</v>
      </c>
      <c r="F150" s="21">
        <v>1</v>
      </c>
      <c r="G150" s="21">
        <v>0.05</v>
      </c>
      <c r="H150" s="21">
        <v>1.87</v>
      </c>
      <c r="I150" s="21">
        <v>374</v>
      </c>
    </row>
    <row r="151" spans="1:9" ht="15" customHeight="1" x14ac:dyDescent="0.3">
      <c r="A151" s="21" t="s">
        <v>546</v>
      </c>
      <c r="B151" s="21">
        <v>2016</v>
      </c>
      <c r="C151" s="21">
        <v>12</v>
      </c>
      <c r="D151" s="21">
        <v>19</v>
      </c>
      <c r="E151" s="21" t="s">
        <v>299</v>
      </c>
      <c r="F151" s="21">
        <v>0</v>
      </c>
      <c r="G151" s="21">
        <v>7.0000000000000007E-2</v>
      </c>
      <c r="H151" s="21">
        <v>2.4300000000000002</v>
      </c>
      <c r="I151" s="21">
        <v>347.14</v>
      </c>
    </row>
    <row r="152" spans="1:9" ht="15" customHeight="1" x14ac:dyDescent="0.3">
      <c r="A152" s="21" t="s">
        <v>547</v>
      </c>
      <c r="B152" s="21">
        <v>2016</v>
      </c>
      <c r="C152" s="21">
        <v>12</v>
      </c>
      <c r="D152" s="21">
        <v>20</v>
      </c>
      <c r="E152" s="21" t="s">
        <v>303</v>
      </c>
      <c r="F152" s="21">
        <v>0</v>
      </c>
      <c r="G152" s="21">
        <v>7.0000000000000007E-2</v>
      </c>
      <c r="H152" s="21">
        <v>2.39</v>
      </c>
      <c r="I152" s="21">
        <v>341.43</v>
      </c>
    </row>
    <row r="153" spans="1:9" ht="15" customHeight="1" x14ac:dyDescent="0.3">
      <c r="A153" s="21" t="s">
        <v>548</v>
      </c>
      <c r="B153" s="21">
        <v>2016</v>
      </c>
      <c r="C153" s="21">
        <v>12</v>
      </c>
      <c r="D153" s="21">
        <v>21</v>
      </c>
      <c r="E153" s="21" t="s">
        <v>307</v>
      </c>
      <c r="F153" s="21">
        <v>0</v>
      </c>
      <c r="G153" s="21">
        <v>0.06</v>
      </c>
      <c r="H153" s="21">
        <v>2.19</v>
      </c>
      <c r="I153" s="21">
        <v>365</v>
      </c>
    </row>
    <row r="154" spans="1:9" ht="15" customHeight="1" x14ac:dyDescent="0.3">
      <c r="A154" s="21" t="s">
        <v>549</v>
      </c>
      <c r="B154" s="21">
        <v>2016</v>
      </c>
      <c r="C154" s="21">
        <v>12</v>
      </c>
      <c r="D154" s="21">
        <v>22</v>
      </c>
      <c r="E154" s="21" t="s">
        <v>310</v>
      </c>
      <c r="F154" s="21">
        <v>0</v>
      </c>
      <c r="G154" s="21">
        <v>0.06</v>
      </c>
      <c r="H154" s="21">
        <v>2.31</v>
      </c>
      <c r="I154" s="21">
        <v>385</v>
      </c>
    </row>
    <row r="155" spans="1:9" ht="15" customHeight="1" x14ac:dyDescent="0.3">
      <c r="A155" s="21" t="s">
        <v>550</v>
      </c>
      <c r="B155" s="21">
        <v>2016</v>
      </c>
      <c r="C155" s="21">
        <v>12</v>
      </c>
      <c r="D155" s="21">
        <v>23</v>
      </c>
      <c r="E155" s="21" t="s">
        <v>313</v>
      </c>
      <c r="F155" s="21">
        <v>0</v>
      </c>
      <c r="G155" s="21">
        <v>7.0000000000000007E-2</v>
      </c>
      <c r="H155" s="21">
        <v>2.5</v>
      </c>
      <c r="I155" s="21">
        <v>357.14</v>
      </c>
    </row>
    <row r="156" spans="1:9" ht="15" customHeight="1" x14ac:dyDescent="0.3">
      <c r="A156" s="21" t="s">
        <v>551</v>
      </c>
      <c r="B156" s="21">
        <v>2016</v>
      </c>
      <c r="C156" s="21">
        <v>12</v>
      </c>
      <c r="D156" s="21">
        <v>24</v>
      </c>
      <c r="E156" s="21" t="s">
        <v>316</v>
      </c>
      <c r="F156" s="21">
        <v>1</v>
      </c>
      <c r="G156" s="21">
        <v>0.06</v>
      </c>
      <c r="H156" s="21">
        <v>2.0099999999999998</v>
      </c>
      <c r="I156" s="21">
        <v>335</v>
      </c>
    </row>
    <row r="157" spans="1:9" ht="15" customHeight="1" x14ac:dyDescent="0.3">
      <c r="A157" s="21" t="s">
        <v>552</v>
      </c>
      <c r="B157" s="21">
        <v>2016</v>
      </c>
      <c r="C157" s="21">
        <v>12</v>
      </c>
      <c r="D157" s="21">
        <v>25</v>
      </c>
      <c r="E157" s="21" t="s">
        <v>319</v>
      </c>
      <c r="F157" s="21">
        <v>1</v>
      </c>
      <c r="G157" s="21">
        <v>0.05</v>
      </c>
      <c r="H157" s="21">
        <v>1.87</v>
      </c>
      <c r="I157" s="21">
        <v>374</v>
      </c>
    </row>
    <row r="158" spans="1:9" ht="15" customHeight="1" x14ac:dyDescent="0.3">
      <c r="A158" s="21" t="s">
        <v>553</v>
      </c>
      <c r="B158" s="21">
        <v>2016</v>
      </c>
      <c r="C158" s="21">
        <v>12</v>
      </c>
      <c r="D158" s="21">
        <v>26</v>
      </c>
      <c r="E158" s="21" t="s">
        <v>299</v>
      </c>
      <c r="F158" s="21">
        <v>0</v>
      </c>
      <c r="G158" s="21">
        <v>7.0000000000000007E-2</v>
      </c>
      <c r="H158" s="21">
        <v>2.33</v>
      </c>
      <c r="I158" s="21">
        <v>332.86</v>
      </c>
    </row>
    <row r="159" spans="1:9" ht="15" customHeight="1" x14ac:dyDescent="0.3">
      <c r="A159" s="21" t="s">
        <v>554</v>
      </c>
      <c r="B159" s="21">
        <v>2016</v>
      </c>
      <c r="C159" s="21">
        <v>12</v>
      </c>
      <c r="D159" s="21">
        <v>27</v>
      </c>
      <c r="E159" s="21" t="s">
        <v>303</v>
      </c>
      <c r="F159" s="21">
        <v>0</v>
      </c>
      <c r="G159" s="21">
        <v>7.0000000000000007E-2</v>
      </c>
      <c r="H159" s="21">
        <v>2.34</v>
      </c>
      <c r="I159" s="21">
        <v>334.29</v>
      </c>
    </row>
    <row r="160" spans="1:9" ht="15" customHeight="1" x14ac:dyDescent="0.3">
      <c r="A160" s="21" t="s">
        <v>555</v>
      </c>
      <c r="B160" s="21">
        <v>2016</v>
      </c>
      <c r="C160" s="21">
        <v>12</v>
      </c>
      <c r="D160" s="21">
        <v>28</v>
      </c>
      <c r="E160" s="21" t="s">
        <v>307</v>
      </c>
      <c r="F160" s="21">
        <v>0</v>
      </c>
      <c r="G160" s="21">
        <v>7.0000000000000007E-2</v>
      </c>
      <c r="H160" s="21">
        <v>2.3199999999999998</v>
      </c>
      <c r="I160" s="21">
        <v>331.43</v>
      </c>
    </row>
    <row r="161" spans="1:9" ht="15" customHeight="1" x14ac:dyDescent="0.3">
      <c r="A161" s="21" t="s">
        <v>556</v>
      </c>
      <c r="B161" s="21">
        <v>2016</v>
      </c>
      <c r="C161" s="21">
        <v>12</v>
      </c>
      <c r="D161" s="21">
        <v>29</v>
      </c>
      <c r="E161" s="21" t="s">
        <v>310</v>
      </c>
      <c r="F161" s="21">
        <v>0</v>
      </c>
      <c r="G161" s="21">
        <v>7.0000000000000007E-2</v>
      </c>
      <c r="H161" s="21">
        <v>2.3199999999999998</v>
      </c>
      <c r="I161" s="21">
        <v>331.43</v>
      </c>
    </row>
    <row r="162" spans="1:9" ht="15" customHeight="1" x14ac:dyDescent="0.3">
      <c r="A162" s="21" t="s">
        <v>557</v>
      </c>
      <c r="B162" s="21">
        <v>2016</v>
      </c>
      <c r="C162" s="21">
        <v>12</v>
      </c>
      <c r="D162" s="21">
        <v>30</v>
      </c>
      <c r="E162" s="21" t="s">
        <v>313</v>
      </c>
      <c r="F162" s="21">
        <v>0</v>
      </c>
      <c r="G162" s="21">
        <v>0.08</v>
      </c>
      <c r="H162" s="21">
        <v>2.89</v>
      </c>
      <c r="I162" s="21">
        <v>361.25</v>
      </c>
    </row>
    <row r="163" spans="1:9" ht="15" customHeight="1" x14ac:dyDescent="0.3">
      <c r="A163" s="21" t="s">
        <v>558</v>
      </c>
      <c r="B163" s="21">
        <v>2016</v>
      </c>
      <c r="C163" s="21">
        <v>12</v>
      </c>
      <c r="D163" s="21">
        <v>31</v>
      </c>
      <c r="E163" s="21" t="s">
        <v>316</v>
      </c>
      <c r="F163" s="21">
        <v>1</v>
      </c>
      <c r="G163" s="21">
        <v>0.06</v>
      </c>
      <c r="H163" s="21">
        <v>2.2000000000000002</v>
      </c>
      <c r="I163" s="21">
        <v>366.67</v>
      </c>
    </row>
    <row r="164" spans="1:9" ht="15" customHeight="1" x14ac:dyDescent="0.3">
      <c r="A164" s="21" t="s">
        <v>99</v>
      </c>
      <c r="B164" s="21">
        <v>2017</v>
      </c>
      <c r="C164" s="21">
        <v>1</v>
      </c>
      <c r="D164" s="21">
        <v>1</v>
      </c>
      <c r="E164" s="21" t="s">
        <v>319</v>
      </c>
      <c r="F164" s="21">
        <v>1</v>
      </c>
      <c r="G164" s="21">
        <v>0.13</v>
      </c>
      <c r="H164" s="21">
        <v>5.39</v>
      </c>
      <c r="I164" s="21">
        <v>414.62</v>
      </c>
    </row>
    <row r="165" spans="1:9" ht="15" customHeight="1" x14ac:dyDescent="0.3">
      <c r="A165" s="21" t="s">
        <v>559</v>
      </c>
      <c r="B165" s="21">
        <v>2017</v>
      </c>
      <c r="C165" s="21">
        <v>1</v>
      </c>
      <c r="D165" s="21">
        <v>2</v>
      </c>
      <c r="E165" s="21" t="s">
        <v>299</v>
      </c>
      <c r="F165" s="21">
        <v>0</v>
      </c>
      <c r="G165" s="21">
        <v>0.16</v>
      </c>
      <c r="H165" s="21">
        <v>6.66</v>
      </c>
      <c r="I165" s="21">
        <v>416.25</v>
      </c>
    </row>
    <row r="166" spans="1:9" ht="15" customHeight="1" x14ac:dyDescent="0.3">
      <c r="A166" s="21" t="s">
        <v>560</v>
      </c>
      <c r="B166" s="21">
        <v>2017</v>
      </c>
      <c r="C166" s="21">
        <v>1</v>
      </c>
      <c r="D166" s="21">
        <v>3</v>
      </c>
      <c r="E166" s="21" t="s">
        <v>303</v>
      </c>
      <c r="F166" s="21">
        <v>0</v>
      </c>
      <c r="G166" s="21">
        <v>0.13</v>
      </c>
      <c r="H166" s="21">
        <v>5.35</v>
      </c>
      <c r="I166" s="21">
        <v>411.54</v>
      </c>
    </row>
    <row r="167" spans="1:9" ht="15" customHeight="1" x14ac:dyDescent="0.3">
      <c r="A167" s="21" t="s">
        <v>561</v>
      </c>
      <c r="B167" s="21">
        <v>2017</v>
      </c>
      <c r="C167" s="21">
        <v>1</v>
      </c>
      <c r="D167" s="21">
        <v>4</v>
      </c>
      <c r="E167" s="21" t="s">
        <v>307</v>
      </c>
      <c r="F167" s="21">
        <v>0</v>
      </c>
      <c r="G167" s="21">
        <v>0.14000000000000001</v>
      </c>
      <c r="H167" s="21">
        <v>5.77</v>
      </c>
      <c r="I167" s="21">
        <v>412.14</v>
      </c>
    </row>
    <row r="168" spans="1:9" ht="15" customHeight="1" x14ac:dyDescent="0.3">
      <c r="A168" s="21" t="s">
        <v>562</v>
      </c>
      <c r="B168" s="21">
        <v>2017</v>
      </c>
      <c r="C168" s="21">
        <v>1</v>
      </c>
      <c r="D168" s="21">
        <v>5</v>
      </c>
      <c r="E168" s="21" t="s">
        <v>310</v>
      </c>
      <c r="F168" s="21">
        <v>0</v>
      </c>
      <c r="G168" s="21">
        <v>0.14000000000000001</v>
      </c>
      <c r="H168" s="21">
        <v>5.54</v>
      </c>
      <c r="I168" s="21">
        <v>395.71</v>
      </c>
    </row>
    <row r="169" spans="1:9" ht="15" customHeight="1" x14ac:dyDescent="0.3">
      <c r="A169" s="21" t="s">
        <v>563</v>
      </c>
      <c r="B169" s="21">
        <v>2017</v>
      </c>
      <c r="C169" s="21">
        <v>1</v>
      </c>
      <c r="D169" s="21">
        <v>6</v>
      </c>
      <c r="E169" s="21" t="s">
        <v>313</v>
      </c>
      <c r="F169" s="21">
        <v>0</v>
      </c>
      <c r="G169" s="21">
        <v>0.14000000000000001</v>
      </c>
      <c r="H169" s="21">
        <v>5.71</v>
      </c>
      <c r="I169" s="21">
        <v>407.86</v>
      </c>
    </row>
    <row r="170" spans="1:9" ht="15" customHeight="1" x14ac:dyDescent="0.3">
      <c r="A170" s="21" t="s">
        <v>564</v>
      </c>
      <c r="B170" s="21">
        <v>2017</v>
      </c>
      <c r="C170" s="21">
        <v>1</v>
      </c>
      <c r="D170" s="21">
        <v>7</v>
      </c>
      <c r="E170" s="21" t="s">
        <v>316</v>
      </c>
      <c r="F170" s="21">
        <v>1</v>
      </c>
      <c r="G170" s="21">
        <v>0.12</v>
      </c>
      <c r="H170" s="21">
        <v>4.75</v>
      </c>
      <c r="I170" s="21">
        <v>395.83</v>
      </c>
    </row>
    <row r="171" spans="1:9" ht="15" customHeight="1" x14ac:dyDescent="0.3">
      <c r="A171" s="21" t="s">
        <v>565</v>
      </c>
      <c r="B171" s="21">
        <v>2017</v>
      </c>
      <c r="C171" s="21">
        <v>1</v>
      </c>
      <c r="D171" s="21">
        <v>8</v>
      </c>
      <c r="E171" s="21" t="s">
        <v>319</v>
      </c>
      <c r="F171" s="21">
        <v>1</v>
      </c>
      <c r="G171" s="21">
        <v>0.11</v>
      </c>
      <c r="H171" s="21">
        <v>4.49</v>
      </c>
      <c r="I171" s="21">
        <v>408.18</v>
      </c>
    </row>
    <row r="172" spans="1:9" ht="15" customHeight="1" x14ac:dyDescent="0.3">
      <c r="A172" s="21" t="s">
        <v>566</v>
      </c>
      <c r="B172" s="21">
        <v>2017</v>
      </c>
      <c r="C172" s="21">
        <v>1</v>
      </c>
      <c r="D172" s="21">
        <v>9</v>
      </c>
      <c r="E172" s="21" t="s">
        <v>299</v>
      </c>
      <c r="F172" s="21">
        <v>0</v>
      </c>
      <c r="G172" s="21">
        <v>0.15</v>
      </c>
      <c r="H172" s="21">
        <v>5.87</v>
      </c>
      <c r="I172" s="21">
        <v>391.33</v>
      </c>
    </row>
    <row r="173" spans="1:9" ht="15" customHeight="1" x14ac:dyDescent="0.3">
      <c r="A173" s="21" t="s">
        <v>567</v>
      </c>
      <c r="B173" s="21">
        <v>2017</v>
      </c>
      <c r="C173" s="21">
        <v>1</v>
      </c>
      <c r="D173" s="21">
        <v>10</v>
      </c>
      <c r="E173" s="21" t="s">
        <v>303</v>
      </c>
      <c r="F173" s="21">
        <v>0</v>
      </c>
      <c r="G173" s="21">
        <v>0.14000000000000001</v>
      </c>
      <c r="H173" s="21">
        <v>5.66</v>
      </c>
      <c r="I173" s="21">
        <v>404.29</v>
      </c>
    </row>
    <row r="174" spans="1:9" ht="15" customHeight="1" x14ac:dyDescent="0.3">
      <c r="A174" s="21" t="s">
        <v>568</v>
      </c>
      <c r="B174" s="21">
        <v>2017</v>
      </c>
      <c r="C174" s="21">
        <v>1</v>
      </c>
      <c r="D174" s="21">
        <v>11</v>
      </c>
      <c r="E174" s="21" t="s">
        <v>307</v>
      </c>
      <c r="F174" s="21">
        <v>0</v>
      </c>
      <c r="G174" s="21">
        <v>0.13</v>
      </c>
      <c r="H174" s="21">
        <v>5.33</v>
      </c>
      <c r="I174" s="21">
        <v>410</v>
      </c>
    </row>
    <row r="175" spans="1:9" ht="15" customHeight="1" x14ac:dyDescent="0.3">
      <c r="A175" s="21" t="s">
        <v>569</v>
      </c>
      <c r="B175" s="21">
        <v>2017</v>
      </c>
      <c r="C175" s="21">
        <v>1</v>
      </c>
      <c r="D175" s="21">
        <v>12</v>
      </c>
      <c r="E175" s="21" t="s">
        <v>310</v>
      </c>
      <c r="F175" s="21">
        <v>0</v>
      </c>
      <c r="G175" s="21">
        <v>0.14000000000000001</v>
      </c>
      <c r="H175" s="21">
        <v>5.62</v>
      </c>
      <c r="I175" s="21">
        <v>401.43</v>
      </c>
    </row>
    <row r="176" spans="1:9" ht="15" customHeight="1" x14ac:dyDescent="0.3">
      <c r="A176" s="21" t="s">
        <v>570</v>
      </c>
      <c r="B176" s="21">
        <v>2017</v>
      </c>
      <c r="C176" s="21">
        <v>1</v>
      </c>
      <c r="D176" s="21">
        <v>13</v>
      </c>
      <c r="E176" s="21" t="s">
        <v>313</v>
      </c>
      <c r="F176" s="21">
        <v>0</v>
      </c>
      <c r="G176" s="21">
        <v>0.15</v>
      </c>
      <c r="H176" s="21">
        <v>5.97</v>
      </c>
      <c r="I176" s="21">
        <v>398</v>
      </c>
    </row>
    <row r="177" spans="1:9" ht="15" customHeight="1" x14ac:dyDescent="0.3">
      <c r="A177" s="21" t="s">
        <v>571</v>
      </c>
      <c r="B177" s="21">
        <v>2017</v>
      </c>
      <c r="C177" s="21">
        <v>1</v>
      </c>
      <c r="D177" s="21">
        <v>14</v>
      </c>
      <c r="E177" s="21" t="s">
        <v>316</v>
      </c>
      <c r="F177" s="21">
        <v>1</v>
      </c>
      <c r="G177" s="21">
        <v>0.12</v>
      </c>
      <c r="H177" s="21">
        <v>4.78</v>
      </c>
      <c r="I177" s="21">
        <v>398.33</v>
      </c>
    </row>
    <row r="178" spans="1:9" ht="15" customHeight="1" x14ac:dyDescent="0.3">
      <c r="A178" s="21" t="s">
        <v>572</v>
      </c>
      <c r="B178" s="21">
        <v>2017</v>
      </c>
      <c r="C178" s="21">
        <v>1</v>
      </c>
      <c r="D178" s="21">
        <v>15</v>
      </c>
      <c r="E178" s="21" t="s">
        <v>319</v>
      </c>
      <c r="F178" s="21">
        <v>1</v>
      </c>
      <c r="G178" s="21">
        <v>0.12</v>
      </c>
      <c r="H178" s="21">
        <v>4.96</v>
      </c>
      <c r="I178" s="21">
        <v>413.33</v>
      </c>
    </row>
    <row r="179" spans="1:9" ht="15" customHeight="1" x14ac:dyDescent="0.3">
      <c r="A179" s="21" t="s">
        <v>573</v>
      </c>
      <c r="B179" s="21">
        <v>2017</v>
      </c>
      <c r="C179" s="21">
        <v>1</v>
      </c>
      <c r="D179" s="21">
        <v>16</v>
      </c>
      <c r="E179" s="21" t="s">
        <v>299</v>
      </c>
      <c r="F179" s="21">
        <v>0</v>
      </c>
      <c r="G179" s="21">
        <v>0.14000000000000001</v>
      </c>
      <c r="H179" s="21">
        <v>5.7</v>
      </c>
      <c r="I179" s="21">
        <v>407.14</v>
      </c>
    </row>
    <row r="180" spans="1:9" ht="15" customHeight="1" x14ac:dyDescent="0.3">
      <c r="A180" s="21" t="s">
        <v>574</v>
      </c>
      <c r="B180" s="21">
        <v>2017</v>
      </c>
      <c r="C180" s="21">
        <v>1</v>
      </c>
      <c r="D180" s="21">
        <v>17</v>
      </c>
      <c r="E180" s="21" t="s">
        <v>303</v>
      </c>
      <c r="F180" s="21">
        <v>0</v>
      </c>
      <c r="G180" s="21">
        <v>0.13</v>
      </c>
      <c r="H180" s="21">
        <v>5.34</v>
      </c>
      <c r="I180" s="21">
        <v>410.77</v>
      </c>
    </row>
    <row r="181" spans="1:9" ht="15" customHeight="1" x14ac:dyDescent="0.3">
      <c r="A181" s="21" t="s">
        <v>575</v>
      </c>
      <c r="B181" s="21">
        <v>2017</v>
      </c>
      <c r="C181" s="21">
        <v>1</v>
      </c>
      <c r="D181" s="21">
        <v>18</v>
      </c>
      <c r="E181" s="21" t="s">
        <v>307</v>
      </c>
      <c r="F181" s="21">
        <v>0</v>
      </c>
      <c r="G181" s="21">
        <v>0.13</v>
      </c>
      <c r="H181" s="21">
        <v>5.32</v>
      </c>
      <c r="I181" s="21">
        <v>409.23</v>
      </c>
    </row>
    <row r="182" spans="1:9" ht="15" customHeight="1" x14ac:dyDescent="0.3">
      <c r="A182" s="21" t="s">
        <v>576</v>
      </c>
      <c r="B182" s="21">
        <v>2017</v>
      </c>
      <c r="C182" s="21">
        <v>1</v>
      </c>
      <c r="D182" s="21">
        <v>19</v>
      </c>
      <c r="E182" s="21" t="s">
        <v>310</v>
      </c>
      <c r="F182" s="21">
        <v>0</v>
      </c>
      <c r="G182" s="21">
        <v>0.13</v>
      </c>
      <c r="H182" s="21">
        <v>5.33</v>
      </c>
      <c r="I182" s="21">
        <v>410</v>
      </c>
    </row>
    <row r="183" spans="1:9" ht="15" customHeight="1" x14ac:dyDescent="0.3">
      <c r="A183" s="21" t="s">
        <v>577</v>
      </c>
      <c r="B183" s="21">
        <v>2017</v>
      </c>
      <c r="C183" s="21">
        <v>1</v>
      </c>
      <c r="D183" s="21">
        <v>20</v>
      </c>
      <c r="E183" s="21" t="s">
        <v>313</v>
      </c>
      <c r="F183" s="21">
        <v>0</v>
      </c>
      <c r="G183" s="21">
        <v>0.15</v>
      </c>
      <c r="H183" s="21">
        <v>5.89</v>
      </c>
      <c r="I183" s="21">
        <v>392.67</v>
      </c>
    </row>
    <row r="184" spans="1:9" ht="15" customHeight="1" x14ac:dyDescent="0.3">
      <c r="A184" s="21" t="s">
        <v>578</v>
      </c>
      <c r="B184" s="21">
        <v>2017</v>
      </c>
      <c r="C184" s="21">
        <v>1</v>
      </c>
      <c r="D184" s="21">
        <v>21</v>
      </c>
      <c r="E184" s="21" t="s">
        <v>316</v>
      </c>
      <c r="F184" s="21">
        <v>1</v>
      </c>
      <c r="G184" s="21">
        <v>0.12</v>
      </c>
      <c r="H184" s="21">
        <v>4.7</v>
      </c>
      <c r="I184" s="21">
        <v>391.67</v>
      </c>
    </row>
    <row r="185" spans="1:9" ht="15" customHeight="1" x14ac:dyDescent="0.3">
      <c r="A185" s="21" t="s">
        <v>579</v>
      </c>
      <c r="B185" s="21">
        <v>2017</v>
      </c>
      <c r="C185" s="21">
        <v>1</v>
      </c>
      <c r="D185" s="21">
        <v>22</v>
      </c>
      <c r="E185" s="21" t="s">
        <v>319</v>
      </c>
      <c r="F185" s="21">
        <v>1</v>
      </c>
      <c r="G185" s="21">
        <v>0.12</v>
      </c>
      <c r="H185" s="21">
        <v>4.6900000000000004</v>
      </c>
      <c r="I185" s="21">
        <v>390.83</v>
      </c>
    </row>
    <row r="186" spans="1:9" ht="15" customHeight="1" x14ac:dyDescent="0.3">
      <c r="A186" s="21" t="s">
        <v>580</v>
      </c>
      <c r="B186" s="21">
        <v>2017</v>
      </c>
      <c r="C186" s="21">
        <v>1</v>
      </c>
      <c r="D186" s="21">
        <v>23</v>
      </c>
      <c r="E186" s="21" t="s">
        <v>299</v>
      </c>
      <c r="F186" s="21">
        <v>0</v>
      </c>
      <c r="G186" s="21">
        <v>0.15</v>
      </c>
      <c r="H186" s="21">
        <v>5.88</v>
      </c>
      <c r="I186" s="21">
        <v>392</v>
      </c>
    </row>
    <row r="187" spans="1:9" ht="15" customHeight="1" x14ac:dyDescent="0.3">
      <c r="A187" s="21" t="s">
        <v>581</v>
      </c>
      <c r="B187" s="21">
        <v>2017</v>
      </c>
      <c r="C187" s="21">
        <v>1</v>
      </c>
      <c r="D187" s="21">
        <v>24</v>
      </c>
      <c r="E187" s="21" t="s">
        <v>303</v>
      </c>
      <c r="F187" s="21">
        <v>0</v>
      </c>
      <c r="G187" s="21">
        <v>0.14000000000000001</v>
      </c>
      <c r="H187" s="21">
        <v>5.47</v>
      </c>
      <c r="I187" s="21">
        <v>390.71</v>
      </c>
    </row>
    <row r="188" spans="1:9" ht="15" customHeight="1" x14ac:dyDescent="0.3">
      <c r="A188" s="21" t="s">
        <v>582</v>
      </c>
      <c r="B188" s="21">
        <v>2017</v>
      </c>
      <c r="C188" s="21">
        <v>1</v>
      </c>
      <c r="D188" s="21">
        <v>25</v>
      </c>
      <c r="E188" s="21" t="s">
        <v>307</v>
      </c>
      <c r="F188" s="21">
        <v>0</v>
      </c>
      <c r="G188" s="21">
        <v>0.14000000000000001</v>
      </c>
      <c r="H188" s="21">
        <v>5.7</v>
      </c>
      <c r="I188" s="21">
        <v>407.14</v>
      </c>
    </row>
    <row r="189" spans="1:9" ht="15" customHeight="1" x14ac:dyDescent="0.3">
      <c r="A189" s="21" t="s">
        <v>583</v>
      </c>
      <c r="B189" s="21">
        <v>2017</v>
      </c>
      <c r="C189" s="21">
        <v>1</v>
      </c>
      <c r="D189" s="21">
        <v>26</v>
      </c>
      <c r="E189" s="21" t="s">
        <v>310</v>
      </c>
      <c r="F189" s="21">
        <v>0</v>
      </c>
      <c r="G189" s="21">
        <v>0.13</v>
      </c>
      <c r="H189" s="21">
        <v>5.42</v>
      </c>
      <c r="I189" s="21">
        <v>416.92</v>
      </c>
    </row>
    <row r="190" spans="1:9" ht="15" customHeight="1" x14ac:dyDescent="0.3">
      <c r="A190" s="21" t="s">
        <v>584</v>
      </c>
      <c r="B190" s="21">
        <v>2017</v>
      </c>
      <c r="C190" s="21">
        <v>1</v>
      </c>
      <c r="D190" s="21">
        <v>27</v>
      </c>
      <c r="E190" s="21" t="s">
        <v>313</v>
      </c>
      <c r="F190" s="21">
        <v>0</v>
      </c>
      <c r="G190" s="21">
        <v>0.16</v>
      </c>
      <c r="H190" s="21">
        <v>6.35</v>
      </c>
      <c r="I190" s="21">
        <v>396.88</v>
      </c>
    </row>
    <row r="191" spans="1:9" ht="15" customHeight="1" x14ac:dyDescent="0.3">
      <c r="A191" s="21" t="s">
        <v>585</v>
      </c>
      <c r="B191" s="21">
        <v>2017</v>
      </c>
      <c r="C191" s="21">
        <v>1</v>
      </c>
      <c r="D191" s="21">
        <v>28</v>
      </c>
      <c r="E191" s="21" t="s">
        <v>316</v>
      </c>
      <c r="F191" s="21">
        <v>1</v>
      </c>
      <c r="G191" s="21">
        <v>0.12</v>
      </c>
      <c r="H191" s="21">
        <v>4.75</v>
      </c>
      <c r="I191" s="21">
        <v>395.83</v>
      </c>
    </row>
    <row r="192" spans="1:9" ht="15" customHeight="1" x14ac:dyDescent="0.3">
      <c r="A192" s="21" t="s">
        <v>586</v>
      </c>
      <c r="B192" s="21">
        <v>2017</v>
      </c>
      <c r="C192" s="21">
        <v>1</v>
      </c>
      <c r="D192" s="21">
        <v>29</v>
      </c>
      <c r="E192" s="21" t="s">
        <v>319</v>
      </c>
      <c r="F192" s="21">
        <v>1</v>
      </c>
      <c r="G192" s="21">
        <v>0.11</v>
      </c>
      <c r="H192" s="21">
        <v>4.51</v>
      </c>
      <c r="I192" s="21">
        <v>410</v>
      </c>
    </row>
    <row r="193" spans="1:9" ht="15" customHeight="1" x14ac:dyDescent="0.3">
      <c r="A193" s="21" t="s">
        <v>587</v>
      </c>
      <c r="B193" s="21">
        <v>2017</v>
      </c>
      <c r="C193" s="21">
        <v>1</v>
      </c>
      <c r="D193" s="21">
        <v>30</v>
      </c>
      <c r="E193" s="21" t="s">
        <v>299</v>
      </c>
      <c r="F193" s="21">
        <v>0</v>
      </c>
      <c r="G193" s="21">
        <v>0.16</v>
      </c>
      <c r="H193" s="21">
        <v>6.4</v>
      </c>
      <c r="I193" s="21">
        <v>400</v>
      </c>
    </row>
    <row r="194" spans="1:9" ht="15" customHeight="1" x14ac:dyDescent="0.3">
      <c r="A194" s="21" t="s">
        <v>588</v>
      </c>
      <c r="B194" s="21">
        <v>2017</v>
      </c>
      <c r="C194" s="21">
        <v>1</v>
      </c>
      <c r="D194" s="21">
        <v>31</v>
      </c>
      <c r="E194" s="21" t="s">
        <v>303</v>
      </c>
      <c r="F194" s="21">
        <v>0</v>
      </c>
      <c r="G194" s="21">
        <v>0.16</v>
      </c>
      <c r="H194" s="21">
        <v>6.38</v>
      </c>
      <c r="I194" s="21">
        <v>398.75</v>
      </c>
    </row>
    <row r="195" spans="1:9" ht="15" customHeight="1" x14ac:dyDescent="0.3">
      <c r="A195" s="21" t="s">
        <v>101</v>
      </c>
      <c r="B195" s="21">
        <v>2017</v>
      </c>
      <c r="C195" s="21">
        <v>2</v>
      </c>
      <c r="D195" s="21">
        <v>1</v>
      </c>
      <c r="E195" s="21" t="s">
        <v>307</v>
      </c>
      <c r="F195" s="21">
        <v>0</v>
      </c>
      <c r="G195" s="21">
        <v>0.17</v>
      </c>
      <c r="H195" s="21">
        <v>7.78</v>
      </c>
      <c r="I195" s="21">
        <v>457.65</v>
      </c>
    </row>
    <row r="196" spans="1:9" ht="15" customHeight="1" x14ac:dyDescent="0.3">
      <c r="A196" s="21" t="s">
        <v>589</v>
      </c>
      <c r="B196" s="21">
        <v>2017</v>
      </c>
      <c r="C196" s="21">
        <v>2</v>
      </c>
      <c r="D196" s="21">
        <v>2</v>
      </c>
      <c r="E196" s="21" t="s">
        <v>310</v>
      </c>
      <c r="F196" s="21">
        <v>0</v>
      </c>
      <c r="G196" s="21">
        <v>0.18</v>
      </c>
      <c r="H196" s="21">
        <v>8</v>
      </c>
      <c r="I196" s="21">
        <v>444.44</v>
      </c>
    </row>
    <row r="197" spans="1:9" ht="15" customHeight="1" x14ac:dyDescent="0.3">
      <c r="A197" s="21" t="s">
        <v>590</v>
      </c>
      <c r="B197" s="21">
        <v>2017</v>
      </c>
      <c r="C197" s="21">
        <v>2</v>
      </c>
      <c r="D197" s="21">
        <v>3</v>
      </c>
      <c r="E197" s="21" t="s">
        <v>313</v>
      </c>
      <c r="F197" s="21">
        <v>0</v>
      </c>
      <c r="G197" s="21">
        <v>0.16</v>
      </c>
      <c r="H197" s="21">
        <v>7.45</v>
      </c>
      <c r="I197" s="21">
        <v>465.62</v>
      </c>
    </row>
    <row r="198" spans="1:9" ht="15" customHeight="1" x14ac:dyDescent="0.3">
      <c r="A198" s="21" t="s">
        <v>591</v>
      </c>
      <c r="B198" s="21">
        <v>2017</v>
      </c>
      <c r="C198" s="21">
        <v>2</v>
      </c>
      <c r="D198" s="21">
        <v>4</v>
      </c>
      <c r="E198" s="21" t="s">
        <v>316</v>
      </c>
      <c r="F198" s="21">
        <v>1</v>
      </c>
      <c r="G198" s="21">
        <v>0.13</v>
      </c>
      <c r="H198" s="21">
        <v>5.78</v>
      </c>
      <c r="I198" s="21">
        <v>444.62</v>
      </c>
    </row>
    <row r="199" spans="1:9" ht="15" customHeight="1" x14ac:dyDescent="0.3">
      <c r="A199" s="21" t="s">
        <v>592</v>
      </c>
      <c r="B199" s="21">
        <v>2017</v>
      </c>
      <c r="C199" s="21">
        <v>2</v>
      </c>
      <c r="D199" s="21">
        <v>5</v>
      </c>
      <c r="E199" s="21" t="s">
        <v>319</v>
      </c>
      <c r="F199" s="21">
        <v>1</v>
      </c>
      <c r="G199" s="21">
        <v>0.12</v>
      </c>
      <c r="H199" s="21">
        <v>5.62</v>
      </c>
      <c r="I199" s="21">
        <v>468.33</v>
      </c>
    </row>
    <row r="200" spans="1:9" ht="15" customHeight="1" x14ac:dyDescent="0.3">
      <c r="A200" s="21" t="s">
        <v>593</v>
      </c>
      <c r="B200" s="21">
        <v>2017</v>
      </c>
      <c r="C200" s="21">
        <v>2</v>
      </c>
      <c r="D200" s="21">
        <v>6</v>
      </c>
      <c r="E200" s="21" t="s">
        <v>299</v>
      </c>
      <c r="F200" s="21">
        <v>0</v>
      </c>
      <c r="G200" s="21">
        <v>0.15</v>
      </c>
      <c r="H200" s="21">
        <v>6.84</v>
      </c>
      <c r="I200" s="21">
        <v>456</v>
      </c>
    </row>
    <row r="201" spans="1:9" ht="15" customHeight="1" x14ac:dyDescent="0.3">
      <c r="A201" s="21" t="s">
        <v>594</v>
      </c>
      <c r="B201" s="21">
        <v>2017</v>
      </c>
      <c r="C201" s="21">
        <v>2</v>
      </c>
      <c r="D201" s="21">
        <v>7</v>
      </c>
      <c r="E201" s="21" t="s">
        <v>303</v>
      </c>
      <c r="F201" s="21">
        <v>0</v>
      </c>
      <c r="G201" s="21">
        <v>0.15</v>
      </c>
      <c r="H201" s="21">
        <v>6.72</v>
      </c>
      <c r="I201" s="21">
        <v>448</v>
      </c>
    </row>
    <row r="202" spans="1:9" ht="15" customHeight="1" x14ac:dyDescent="0.3">
      <c r="A202" s="21" t="s">
        <v>595</v>
      </c>
      <c r="B202" s="21">
        <v>2017</v>
      </c>
      <c r="C202" s="21">
        <v>2</v>
      </c>
      <c r="D202" s="21">
        <v>8</v>
      </c>
      <c r="E202" s="21" t="s">
        <v>307</v>
      </c>
      <c r="F202" s="21">
        <v>0</v>
      </c>
      <c r="G202" s="21">
        <v>0.15</v>
      </c>
      <c r="H202" s="21">
        <v>6.99</v>
      </c>
      <c r="I202" s="21">
        <v>466</v>
      </c>
    </row>
    <row r="203" spans="1:9" ht="15" customHeight="1" x14ac:dyDescent="0.3">
      <c r="A203" s="21" t="s">
        <v>596</v>
      </c>
      <c r="B203" s="21">
        <v>2017</v>
      </c>
      <c r="C203" s="21">
        <v>2</v>
      </c>
      <c r="D203" s="21">
        <v>9</v>
      </c>
      <c r="E203" s="21" t="s">
        <v>310</v>
      </c>
      <c r="F203" s="21">
        <v>0</v>
      </c>
      <c r="G203" s="21">
        <v>0.15</v>
      </c>
      <c r="H203" s="21">
        <v>6.86</v>
      </c>
      <c r="I203" s="21">
        <v>457.33</v>
      </c>
    </row>
    <row r="204" spans="1:9" ht="15" customHeight="1" x14ac:dyDescent="0.3">
      <c r="A204" s="21" t="s">
        <v>597</v>
      </c>
      <c r="B204" s="21">
        <v>2017</v>
      </c>
      <c r="C204" s="21">
        <v>2</v>
      </c>
      <c r="D204" s="21">
        <v>10</v>
      </c>
      <c r="E204" s="21" t="s">
        <v>313</v>
      </c>
      <c r="F204" s="21">
        <v>0</v>
      </c>
      <c r="G204" s="21">
        <v>0.16</v>
      </c>
      <c r="H204" s="21">
        <v>7.1</v>
      </c>
      <c r="I204" s="21">
        <v>443.75</v>
      </c>
    </row>
    <row r="205" spans="1:9" ht="15" customHeight="1" x14ac:dyDescent="0.3">
      <c r="A205" s="21" t="s">
        <v>598</v>
      </c>
      <c r="B205" s="21">
        <v>2017</v>
      </c>
      <c r="C205" s="21">
        <v>2</v>
      </c>
      <c r="D205" s="21">
        <v>11</v>
      </c>
      <c r="E205" s="21" t="s">
        <v>316</v>
      </c>
      <c r="F205" s="21">
        <v>1</v>
      </c>
      <c r="G205" s="21">
        <v>0.13</v>
      </c>
      <c r="H205" s="21">
        <v>5.83</v>
      </c>
      <c r="I205" s="21">
        <v>448.46</v>
      </c>
    </row>
    <row r="206" spans="1:9" ht="15" customHeight="1" x14ac:dyDescent="0.3">
      <c r="A206" s="21" t="s">
        <v>599</v>
      </c>
      <c r="B206" s="21">
        <v>2017</v>
      </c>
      <c r="C206" s="21">
        <v>2</v>
      </c>
      <c r="D206" s="21">
        <v>12</v>
      </c>
      <c r="E206" s="21" t="s">
        <v>319</v>
      </c>
      <c r="F206" s="21">
        <v>1</v>
      </c>
      <c r="G206" s="21">
        <v>0.13</v>
      </c>
      <c r="H206" s="21">
        <v>5.87</v>
      </c>
      <c r="I206" s="21">
        <v>451.54</v>
      </c>
    </row>
    <row r="207" spans="1:9" ht="15" customHeight="1" x14ac:dyDescent="0.3">
      <c r="A207" s="21" t="s">
        <v>600</v>
      </c>
      <c r="B207" s="21">
        <v>2017</v>
      </c>
      <c r="C207" s="21">
        <v>2</v>
      </c>
      <c r="D207" s="21">
        <v>13</v>
      </c>
      <c r="E207" s="21" t="s">
        <v>299</v>
      </c>
      <c r="F207" s="21">
        <v>0</v>
      </c>
      <c r="G207" s="21">
        <v>0.15</v>
      </c>
      <c r="H207" s="21">
        <v>6.97</v>
      </c>
      <c r="I207" s="21">
        <v>464.67</v>
      </c>
    </row>
    <row r="208" spans="1:9" ht="15" customHeight="1" x14ac:dyDescent="0.3">
      <c r="A208" s="21" t="s">
        <v>601</v>
      </c>
      <c r="B208" s="21">
        <v>2017</v>
      </c>
      <c r="C208" s="21">
        <v>2</v>
      </c>
      <c r="D208" s="21">
        <v>14</v>
      </c>
      <c r="E208" s="21" t="s">
        <v>303</v>
      </c>
      <c r="F208" s="21">
        <v>0</v>
      </c>
      <c r="G208" s="21">
        <v>0.15</v>
      </c>
      <c r="H208" s="21">
        <v>6.84</v>
      </c>
      <c r="I208" s="21">
        <v>456</v>
      </c>
    </row>
    <row r="209" spans="1:9" ht="15" customHeight="1" x14ac:dyDescent="0.3">
      <c r="A209" s="21" t="s">
        <v>602</v>
      </c>
      <c r="B209" s="21">
        <v>2017</v>
      </c>
      <c r="C209" s="21">
        <v>2</v>
      </c>
      <c r="D209" s="21">
        <v>15</v>
      </c>
      <c r="E209" s="21" t="s">
        <v>307</v>
      </c>
      <c r="F209" s="21">
        <v>0</v>
      </c>
      <c r="G209" s="21">
        <v>0.15</v>
      </c>
      <c r="H209" s="21">
        <v>6.83</v>
      </c>
      <c r="I209" s="21">
        <v>455.33</v>
      </c>
    </row>
    <row r="210" spans="1:9" ht="15" customHeight="1" x14ac:dyDescent="0.3">
      <c r="A210" s="21" t="s">
        <v>603</v>
      </c>
      <c r="B210" s="21">
        <v>2017</v>
      </c>
      <c r="C210" s="21">
        <v>2</v>
      </c>
      <c r="D210" s="21">
        <v>16</v>
      </c>
      <c r="E210" s="21" t="s">
        <v>310</v>
      </c>
      <c r="F210" s="21">
        <v>0</v>
      </c>
      <c r="G210" s="21">
        <v>0.14000000000000001</v>
      </c>
      <c r="H210" s="21">
        <v>6.58</v>
      </c>
      <c r="I210" s="21">
        <v>470</v>
      </c>
    </row>
    <row r="211" spans="1:9" ht="15" customHeight="1" x14ac:dyDescent="0.3">
      <c r="A211" s="21" t="s">
        <v>604</v>
      </c>
      <c r="B211" s="21">
        <v>2017</v>
      </c>
      <c r="C211" s="21">
        <v>2</v>
      </c>
      <c r="D211" s="21">
        <v>17</v>
      </c>
      <c r="E211" s="21" t="s">
        <v>313</v>
      </c>
      <c r="F211" s="21">
        <v>0</v>
      </c>
      <c r="G211" s="21">
        <v>0.16</v>
      </c>
      <c r="H211" s="21">
        <v>7.43</v>
      </c>
      <c r="I211" s="21">
        <v>464.38</v>
      </c>
    </row>
    <row r="212" spans="1:9" ht="15" customHeight="1" x14ac:dyDescent="0.3">
      <c r="A212" s="21" t="s">
        <v>605</v>
      </c>
      <c r="B212" s="21">
        <v>2017</v>
      </c>
      <c r="C212" s="21">
        <v>2</v>
      </c>
      <c r="D212" s="21">
        <v>18</v>
      </c>
      <c r="E212" s="21" t="s">
        <v>316</v>
      </c>
      <c r="F212" s="21">
        <v>1</v>
      </c>
      <c r="G212" s="21">
        <v>0.13</v>
      </c>
      <c r="H212" s="21">
        <v>5.91</v>
      </c>
      <c r="I212" s="21">
        <v>454.62</v>
      </c>
    </row>
    <row r="213" spans="1:9" ht="15" customHeight="1" x14ac:dyDescent="0.3">
      <c r="A213" s="21" t="s">
        <v>606</v>
      </c>
      <c r="B213" s="21">
        <v>2017</v>
      </c>
      <c r="C213" s="21">
        <v>2</v>
      </c>
      <c r="D213" s="21">
        <v>19</v>
      </c>
      <c r="E213" s="21" t="s">
        <v>319</v>
      </c>
      <c r="F213" s="21">
        <v>1</v>
      </c>
      <c r="G213" s="21">
        <v>0.13</v>
      </c>
      <c r="H213" s="21">
        <v>6.01</v>
      </c>
      <c r="I213" s="21">
        <v>462.31</v>
      </c>
    </row>
    <row r="214" spans="1:9" ht="15" customHeight="1" x14ac:dyDescent="0.3">
      <c r="A214" s="21" t="s">
        <v>607</v>
      </c>
      <c r="B214" s="21">
        <v>2017</v>
      </c>
      <c r="C214" s="21">
        <v>2</v>
      </c>
      <c r="D214" s="21">
        <v>20</v>
      </c>
      <c r="E214" s="21" t="s">
        <v>299</v>
      </c>
      <c r="F214" s="21">
        <v>0</v>
      </c>
      <c r="G214" s="21">
        <v>0.16</v>
      </c>
      <c r="H214" s="21">
        <v>7.37</v>
      </c>
      <c r="I214" s="21">
        <v>460.62</v>
      </c>
    </row>
    <row r="215" spans="1:9" ht="15" customHeight="1" x14ac:dyDescent="0.3">
      <c r="A215" s="21" t="s">
        <v>608</v>
      </c>
      <c r="B215" s="21">
        <v>2017</v>
      </c>
      <c r="C215" s="21">
        <v>2</v>
      </c>
      <c r="D215" s="21">
        <v>21</v>
      </c>
      <c r="E215" s="21" t="s">
        <v>303</v>
      </c>
      <c r="F215" s="21">
        <v>0</v>
      </c>
      <c r="G215" s="21">
        <v>0.14000000000000001</v>
      </c>
      <c r="H215" s="21">
        <v>6.53</v>
      </c>
      <c r="I215" s="21">
        <v>466.43</v>
      </c>
    </row>
    <row r="216" spans="1:9" ht="15" customHeight="1" x14ac:dyDescent="0.3">
      <c r="A216" s="21" t="s">
        <v>609</v>
      </c>
      <c r="B216" s="21">
        <v>2017</v>
      </c>
      <c r="C216" s="21">
        <v>2</v>
      </c>
      <c r="D216" s="21">
        <v>22</v>
      </c>
      <c r="E216" s="21" t="s">
        <v>307</v>
      </c>
      <c r="F216" s="21">
        <v>0</v>
      </c>
      <c r="G216" s="21">
        <v>0.15</v>
      </c>
      <c r="H216" s="21">
        <v>6.62</v>
      </c>
      <c r="I216" s="21">
        <v>441.33</v>
      </c>
    </row>
    <row r="217" spans="1:9" ht="15" customHeight="1" x14ac:dyDescent="0.3">
      <c r="A217" s="21" t="s">
        <v>610</v>
      </c>
      <c r="B217" s="21">
        <v>2017</v>
      </c>
      <c r="C217" s="21">
        <v>2</v>
      </c>
      <c r="D217" s="21">
        <v>23</v>
      </c>
      <c r="E217" s="21" t="s">
        <v>310</v>
      </c>
      <c r="F217" s="21">
        <v>0</v>
      </c>
      <c r="G217" s="21">
        <v>0.15</v>
      </c>
      <c r="H217" s="21">
        <v>6.92</v>
      </c>
      <c r="I217" s="21">
        <v>461.33</v>
      </c>
    </row>
    <row r="218" spans="1:9" ht="15" customHeight="1" x14ac:dyDescent="0.3">
      <c r="A218" s="21" t="s">
        <v>611</v>
      </c>
      <c r="B218" s="21">
        <v>2017</v>
      </c>
      <c r="C218" s="21">
        <v>2</v>
      </c>
      <c r="D218" s="21">
        <v>24</v>
      </c>
      <c r="E218" s="21" t="s">
        <v>313</v>
      </c>
      <c r="F218" s="21">
        <v>0</v>
      </c>
      <c r="G218" s="21">
        <v>0.16</v>
      </c>
      <c r="H218" s="21">
        <v>7.46</v>
      </c>
      <c r="I218" s="21">
        <v>466.25</v>
      </c>
    </row>
    <row r="219" spans="1:9" ht="15" customHeight="1" x14ac:dyDescent="0.3">
      <c r="A219" s="21" t="s">
        <v>612</v>
      </c>
      <c r="B219" s="21">
        <v>2017</v>
      </c>
      <c r="C219" s="21">
        <v>2</v>
      </c>
      <c r="D219" s="21">
        <v>25</v>
      </c>
      <c r="E219" s="21" t="s">
        <v>316</v>
      </c>
      <c r="F219" s="21">
        <v>1</v>
      </c>
      <c r="G219" s="21">
        <v>0.13</v>
      </c>
      <c r="H219" s="21">
        <v>5.9</v>
      </c>
      <c r="I219" s="21">
        <v>453.85</v>
      </c>
    </row>
    <row r="220" spans="1:9" ht="15" customHeight="1" x14ac:dyDescent="0.3">
      <c r="A220" s="21" t="s">
        <v>613</v>
      </c>
      <c r="B220" s="21">
        <v>2017</v>
      </c>
      <c r="C220" s="21">
        <v>2</v>
      </c>
      <c r="D220" s="21">
        <v>26</v>
      </c>
      <c r="E220" s="21" t="s">
        <v>319</v>
      </c>
      <c r="F220" s="21">
        <v>1</v>
      </c>
      <c r="G220" s="21">
        <v>0.14000000000000001</v>
      </c>
      <c r="H220" s="21">
        <v>6.58</v>
      </c>
      <c r="I220" s="21">
        <v>470</v>
      </c>
    </row>
    <row r="221" spans="1:9" ht="15" customHeight="1" x14ac:dyDescent="0.3">
      <c r="A221" s="21" t="s">
        <v>614</v>
      </c>
      <c r="B221" s="21">
        <v>2017</v>
      </c>
      <c r="C221" s="21">
        <v>2</v>
      </c>
      <c r="D221" s="21">
        <v>27</v>
      </c>
      <c r="E221" s="21" t="s">
        <v>299</v>
      </c>
      <c r="F221" s="21">
        <v>0</v>
      </c>
      <c r="G221" s="21">
        <v>0.18</v>
      </c>
      <c r="H221" s="21">
        <v>8.36</v>
      </c>
      <c r="I221" s="21">
        <v>464.44</v>
      </c>
    </row>
    <row r="222" spans="1:9" ht="15" customHeight="1" x14ac:dyDescent="0.3">
      <c r="A222" s="21" t="s">
        <v>615</v>
      </c>
      <c r="B222" s="21">
        <v>2017</v>
      </c>
      <c r="C222" s="21">
        <v>2</v>
      </c>
      <c r="D222" s="21">
        <v>28</v>
      </c>
      <c r="E222" s="21" t="s">
        <v>303</v>
      </c>
      <c r="F222" s="21">
        <v>0</v>
      </c>
      <c r="G222" s="21">
        <v>0.18</v>
      </c>
      <c r="H222" s="21">
        <v>8.1</v>
      </c>
      <c r="I222" s="21">
        <v>450</v>
      </c>
    </row>
    <row r="223" spans="1:9" ht="15" customHeight="1" x14ac:dyDescent="0.3">
      <c r="A223" s="21" t="s">
        <v>103</v>
      </c>
      <c r="B223" s="21">
        <v>2017</v>
      </c>
      <c r="C223" s="21">
        <v>3</v>
      </c>
      <c r="D223" s="21">
        <v>1</v>
      </c>
      <c r="E223" s="21" t="s">
        <v>307</v>
      </c>
      <c r="F223" s="21">
        <v>0</v>
      </c>
      <c r="G223" s="21">
        <v>0.24</v>
      </c>
      <c r="H223" s="21">
        <v>8.9700000000000006</v>
      </c>
      <c r="I223" s="21">
        <v>373.75</v>
      </c>
    </row>
    <row r="224" spans="1:9" ht="15" customHeight="1" x14ac:dyDescent="0.3">
      <c r="A224" s="21" t="s">
        <v>616</v>
      </c>
      <c r="B224" s="21">
        <v>2017</v>
      </c>
      <c r="C224" s="21">
        <v>3</v>
      </c>
      <c r="D224" s="21">
        <v>2</v>
      </c>
      <c r="E224" s="21" t="s">
        <v>310</v>
      </c>
      <c r="F224" s="21">
        <v>0</v>
      </c>
      <c r="G224" s="21">
        <v>0.23</v>
      </c>
      <c r="H224" s="21">
        <v>8.89</v>
      </c>
      <c r="I224" s="21">
        <v>386.52</v>
      </c>
    </row>
    <row r="225" spans="1:9" ht="15" customHeight="1" x14ac:dyDescent="0.3">
      <c r="A225" s="21" t="s">
        <v>617</v>
      </c>
      <c r="B225" s="21">
        <v>2017</v>
      </c>
      <c r="C225" s="21">
        <v>3</v>
      </c>
      <c r="D225" s="21">
        <v>3</v>
      </c>
      <c r="E225" s="21" t="s">
        <v>313</v>
      </c>
      <c r="F225" s="21">
        <v>0</v>
      </c>
      <c r="G225" s="21">
        <v>0.21</v>
      </c>
      <c r="H225" s="21">
        <v>8.1199999999999992</v>
      </c>
      <c r="I225" s="21">
        <v>386.67</v>
      </c>
    </row>
    <row r="226" spans="1:9" ht="15" customHeight="1" x14ac:dyDescent="0.3">
      <c r="A226" s="21" t="s">
        <v>618</v>
      </c>
      <c r="B226" s="21">
        <v>2017</v>
      </c>
      <c r="C226" s="21">
        <v>3</v>
      </c>
      <c r="D226" s="21">
        <v>4</v>
      </c>
      <c r="E226" s="21" t="s">
        <v>316</v>
      </c>
      <c r="F226" s="21">
        <v>1</v>
      </c>
      <c r="G226" s="21">
        <v>0.17</v>
      </c>
      <c r="H226" s="21">
        <v>6.62</v>
      </c>
      <c r="I226" s="21">
        <v>389.41</v>
      </c>
    </row>
    <row r="227" spans="1:9" ht="15" customHeight="1" x14ac:dyDescent="0.3">
      <c r="A227" s="21" t="s">
        <v>619</v>
      </c>
      <c r="B227" s="21">
        <v>2017</v>
      </c>
      <c r="C227" s="21">
        <v>3</v>
      </c>
      <c r="D227" s="21">
        <v>5</v>
      </c>
      <c r="E227" s="21" t="s">
        <v>319</v>
      </c>
      <c r="F227" s="21">
        <v>1</v>
      </c>
      <c r="G227" s="21">
        <v>0.17</v>
      </c>
      <c r="H227" s="21">
        <v>6.27</v>
      </c>
      <c r="I227" s="21">
        <v>368.82</v>
      </c>
    </row>
    <row r="228" spans="1:9" ht="15" customHeight="1" x14ac:dyDescent="0.3">
      <c r="A228" s="21" t="s">
        <v>620</v>
      </c>
      <c r="B228" s="21">
        <v>2017</v>
      </c>
      <c r="C228" s="21">
        <v>3</v>
      </c>
      <c r="D228" s="21">
        <v>6</v>
      </c>
      <c r="E228" s="21" t="s">
        <v>299</v>
      </c>
      <c r="F228" s="21">
        <v>0</v>
      </c>
      <c r="G228" s="21">
        <v>0.21</v>
      </c>
      <c r="H228" s="21">
        <v>7.91</v>
      </c>
      <c r="I228" s="21">
        <v>376.67</v>
      </c>
    </row>
    <row r="229" spans="1:9" ht="15" customHeight="1" x14ac:dyDescent="0.3">
      <c r="A229" s="21" t="s">
        <v>621</v>
      </c>
      <c r="B229" s="21">
        <v>2017</v>
      </c>
      <c r="C229" s="21">
        <v>3</v>
      </c>
      <c r="D229" s="21">
        <v>7</v>
      </c>
      <c r="E229" s="21" t="s">
        <v>303</v>
      </c>
      <c r="F229" s="21">
        <v>0</v>
      </c>
      <c r="G229" s="21">
        <v>0.2</v>
      </c>
      <c r="H229" s="21">
        <v>7.47</v>
      </c>
      <c r="I229" s="21">
        <v>373.5</v>
      </c>
    </row>
    <row r="230" spans="1:9" ht="15" customHeight="1" x14ac:dyDescent="0.3">
      <c r="A230" s="21" t="s">
        <v>622</v>
      </c>
      <c r="B230" s="21">
        <v>2017</v>
      </c>
      <c r="C230" s="21">
        <v>3</v>
      </c>
      <c r="D230" s="21">
        <v>8</v>
      </c>
      <c r="E230" s="21" t="s">
        <v>307</v>
      </c>
      <c r="F230" s="21">
        <v>0</v>
      </c>
      <c r="G230" s="21">
        <v>0.2</v>
      </c>
      <c r="H230" s="21">
        <v>7.6</v>
      </c>
      <c r="I230" s="21">
        <v>380</v>
      </c>
    </row>
    <row r="231" spans="1:9" ht="15" customHeight="1" x14ac:dyDescent="0.3">
      <c r="A231" s="21" t="s">
        <v>623</v>
      </c>
      <c r="B231" s="21">
        <v>2017</v>
      </c>
      <c r="C231" s="21">
        <v>3</v>
      </c>
      <c r="D231" s="21">
        <v>9</v>
      </c>
      <c r="E231" s="21" t="s">
        <v>310</v>
      </c>
      <c r="F231" s="21">
        <v>0</v>
      </c>
      <c r="G231" s="21">
        <v>0.21</v>
      </c>
      <c r="H231" s="21">
        <v>8.11</v>
      </c>
      <c r="I231" s="21">
        <v>386.19</v>
      </c>
    </row>
    <row r="232" spans="1:9" ht="15" customHeight="1" x14ac:dyDescent="0.3">
      <c r="A232" s="21" t="s">
        <v>624</v>
      </c>
      <c r="B232" s="21">
        <v>2017</v>
      </c>
      <c r="C232" s="21">
        <v>3</v>
      </c>
      <c r="D232" s="21">
        <v>10</v>
      </c>
      <c r="E232" s="21" t="s">
        <v>313</v>
      </c>
      <c r="F232" s="21">
        <v>0</v>
      </c>
      <c r="G232" s="21">
        <v>0.2</v>
      </c>
      <c r="H232" s="21">
        <v>7.76</v>
      </c>
      <c r="I232" s="21">
        <v>388</v>
      </c>
    </row>
    <row r="233" spans="1:9" ht="15" customHeight="1" x14ac:dyDescent="0.3">
      <c r="A233" s="21" t="s">
        <v>625</v>
      </c>
      <c r="B233" s="21">
        <v>2017</v>
      </c>
      <c r="C233" s="21">
        <v>3</v>
      </c>
      <c r="D233" s="21">
        <v>11</v>
      </c>
      <c r="E233" s="21" t="s">
        <v>316</v>
      </c>
      <c r="F233" s="21">
        <v>1</v>
      </c>
      <c r="G233" s="21">
        <v>0.17</v>
      </c>
      <c r="H233" s="21">
        <v>6.6</v>
      </c>
      <c r="I233" s="21">
        <v>388.24</v>
      </c>
    </row>
    <row r="234" spans="1:9" ht="15" customHeight="1" x14ac:dyDescent="0.3">
      <c r="A234" s="21" t="s">
        <v>626</v>
      </c>
      <c r="B234" s="21">
        <v>2017</v>
      </c>
      <c r="C234" s="21">
        <v>3</v>
      </c>
      <c r="D234" s="21">
        <v>12</v>
      </c>
      <c r="E234" s="21" t="s">
        <v>319</v>
      </c>
      <c r="F234" s="21">
        <v>1</v>
      </c>
      <c r="G234" s="21">
        <v>0.16</v>
      </c>
      <c r="H234" s="21">
        <v>6.08</v>
      </c>
      <c r="I234" s="21">
        <v>380</v>
      </c>
    </row>
    <row r="235" spans="1:9" ht="15" customHeight="1" x14ac:dyDescent="0.3">
      <c r="A235" s="21" t="s">
        <v>627</v>
      </c>
      <c r="B235" s="21">
        <v>2017</v>
      </c>
      <c r="C235" s="21">
        <v>3</v>
      </c>
      <c r="D235" s="21">
        <v>13</v>
      </c>
      <c r="E235" s="21" t="s">
        <v>299</v>
      </c>
      <c r="F235" s="21">
        <v>0</v>
      </c>
      <c r="G235" s="21">
        <v>0.21</v>
      </c>
      <c r="H235" s="21">
        <v>7.85</v>
      </c>
      <c r="I235" s="21">
        <v>373.81</v>
      </c>
    </row>
    <row r="236" spans="1:9" ht="15" customHeight="1" x14ac:dyDescent="0.3">
      <c r="A236" s="21" t="s">
        <v>628</v>
      </c>
      <c r="B236" s="21">
        <v>2017</v>
      </c>
      <c r="C236" s="21">
        <v>3</v>
      </c>
      <c r="D236" s="21">
        <v>14</v>
      </c>
      <c r="E236" s="21" t="s">
        <v>303</v>
      </c>
      <c r="F236" s="21">
        <v>0</v>
      </c>
      <c r="G236" s="21">
        <v>0.21</v>
      </c>
      <c r="H236" s="21">
        <v>7.83</v>
      </c>
      <c r="I236" s="21">
        <v>372.86</v>
      </c>
    </row>
    <row r="237" spans="1:9" ht="15" customHeight="1" x14ac:dyDescent="0.3">
      <c r="A237" s="21" t="s">
        <v>629</v>
      </c>
      <c r="B237" s="21">
        <v>2017</v>
      </c>
      <c r="C237" s="21">
        <v>3</v>
      </c>
      <c r="D237" s="21">
        <v>15</v>
      </c>
      <c r="E237" s="21" t="s">
        <v>307</v>
      </c>
      <c r="F237" s="21">
        <v>0</v>
      </c>
      <c r="G237" s="21">
        <v>0.2</v>
      </c>
      <c r="H237" s="21">
        <v>7.6</v>
      </c>
      <c r="I237" s="21">
        <v>380</v>
      </c>
    </row>
    <row r="238" spans="1:9" ht="15" customHeight="1" x14ac:dyDescent="0.3">
      <c r="A238" s="21" t="s">
        <v>630</v>
      </c>
      <c r="B238" s="21">
        <v>2017</v>
      </c>
      <c r="C238" s="21">
        <v>3</v>
      </c>
      <c r="D238" s="21">
        <v>16</v>
      </c>
      <c r="E238" s="21" t="s">
        <v>310</v>
      </c>
      <c r="F238" s="21">
        <v>0</v>
      </c>
      <c r="G238" s="21">
        <v>0.19</v>
      </c>
      <c r="H238" s="21">
        <v>7.34</v>
      </c>
      <c r="I238" s="21">
        <v>386.32</v>
      </c>
    </row>
    <row r="239" spans="1:9" ht="15" customHeight="1" x14ac:dyDescent="0.3">
      <c r="A239" s="21" t="s">
        <v>631</v>
      </c>
      <c r="B239" s="21">
        <v>2017</v>
      </c>
      <c r="C239" s="21">
        <v>3</v>
      </c>
      <c r="D239" s="21">
        <v>17</v>
      </c>
      <c r="E239" s="21" t="s">
        <v>313</v>
      </c>
      <c r="F239" s="21">
        <v>0</v>
      </c>
      <c r="G239" s="21">
        <v>0.21</v>
      </c>
      <c r="H239" s="21">
        <v>8.02</v>
      </c>
      <c r="I239" s="21">
        <v>381.9</v>
      </c>
    </row>
    <row r="240" spans="1:9" ht="15" customHeight="1" x14ac:dyDescent="0.3">
      <c r="A240" s="21" t="s">
        <v>632</v>
      </c>
      <c r="B240" s="21">
        <v>2017</v>
      </c>
      <c r="C240" s="21">
        <v>3</v>
      </c>
      <c r="D240" s="21">
        <v>18</v>
      </c>
      <c r="E240" s="21" t="s">
        <v>316</v>
      </c>
      <c r="F240" s="21">
        <v>1</v>
      </c>
      <c r="G240" s="21">
        <v>0.17</v>
      </c>
      <c r="H240" s="21">
        <v>6.6</v>
      </c>
      <c r="I240" s="21">
        <v>388.24</v>
      </c>
    </row>
    <row r="241" spans="1:9" ht="15" customHeight="1" x14ac:dyDescent="0.3">
      <c r="A241" s="21" t="s">
        <v>633</v>
      </c>
      <c r="B241" s="21">
        <v>2017</v>
      </c>
      <c r="C241" s="21">
        <v>3</v>
      </c>
      <c r="D241" s="21">
        <v>19</v>
      </c>
      <c r="E241" s="21" t="s">
        <v>319</v>
      </c>
      <c r="F241" s="21">
        <v>1</v>
      </c>
      <c r="G241" s="21">
        <v>0.17</v>
      </c>
      <c r="H241" s="21">
        <v>6.28</v>
      </c>
      <c r="I241" s="21">
        <v>369.41</v>
      </c>
    </row>
    <row r="242" spans="1:9" ht="15" customHeight="1" x14ac:dyDescent="0.3">
      <c r="A242" s="21" t="s">
        <v>634</v>
      </c>
      <c r="B242" s="21">
        <v>2017</v>
      </c>
      <c r="C242" s="21">
        <v>3</v>
      </c>
      <c r="D242" s="21">
        <v>20</v>
      </c>
      <c r="E242" s="21" t="s">
        <v>299</v>
      </c>
      <c r="F242" s="21">
        <v>0</v>
      </c>
      <c r="G242" s="21">
        <v>0.21</v>
      </c>
      <c r="H242" s="21">
        <v>8.01</v>
      </c>
      <c r="I242" s="21">
        <v>381.43</v>
      </c>
    </row>
    <row r="243" spans="1:9" ht="15" customHeight="1" x14ac:dyDescent="0.3">
      <c r="A243" s="21" t="s">
        <v>635</v>
      </c>
      <c r="B243" s="21">
        <v>2017</v>
      </c>
      <c r="C243" s="21">
        <v>3</v>
      </c>
      <c r="D243" s="21">
        <v>21</v>
      </c>
      <c r="E243" s="21" t="s">
        <v>303</v>
      </c>
      <c r="F243" s="21">
        <v>0</v>
      </c>
      <c r="G243" s="21">
        <v>0.2</v>
      </c>
      <c r="H243" s="21">
        <v>7.59</v>
      </c>
      <c r="I243" s="21">
        <v>379.5</v>
      </c>
    </row>
    <row r="244" spans="1:9" ht="15" customHeight="1" x14ac:dyDescent="0.3">
      <c r="A244" s="21" t="s">
        <v>636</v>
      </c>
      <c r="B244" s="21">
        <v>2017</v>
      </c>
      <c r="C244" s="21">
        <v>3</v>
      </c>
      <c r="D244" s="21">
        <v>22</v>
      </c>
      <c r="E244" s="21" t="s">
        <v>307</v>
      </c>
      <c r="F244" s="21">
        <v>0</v>
      </c>
      <c r="G244" s="21">
        <v>0.2</v>
      </c>
      <c r="H244" s="21">
        <v>7.43</v>
      </c>
      <c r="I244" s="21">
        <v>371.5</v>
      </c>
    </row>
    <row r="245" spans="1:9" ht="15" customHeight="1" x14ac:dyDescent="0.3">
      <c r="A245" s="21" t="s">
        <v>637</v>
      </c>
      <c r="B245" s="21">
        <v>2017</v>
      </c>
      <c r="C245" s="21">
        <v>3</v>
      </c>
      <c r="D245" s="21">
        <v>23</v>
      </c>
      <c r="E245" s="21" t="s">
        <v>310</v>
      </c>
      <c r="F245" s="21">
        <v>0</v>
      </c>
      <c r="G245" s="21">
        <v>0.21</v>
      </c>
      <c r="H245" s="21">
        <v>8.07</v>
      </c>
      <c r="I245" s="21">
        <v>384.29</v>
      </c>
    </row>
    <row r="246" spans="1:9" ht="15" customHeight="1" x14ac:dyDescent="0.3">
      <c r="A246" s="21" t="s">
        <v>638</v>
      </c>
      <c r="B246" s="21">
        <v>2017</v>
      </c>
      <c r="C246" s="21">
        <v>3</v>
      </c>
      <c r="D246" s="21">
        <v>24</v>
      </c>
      <c r="E246" s="21" t="s">
        <v>313</v>
      </c>
      <c r="F246" s="21">
        <v>0</v>
      </c>
      <c r="G246" s="21">
        <v>0.22</v>
      </c>
      <c r="H246" s="21">
        <v>8.33</v>
      </c>
      <c r="I246" s="21">
        <v>378.64</v>
      </c>
    </row>
    <row r="247" spans="1:9" ht="15" customHeight="1" x14ac:dyDescent="0.3">
      <c r="A247" s="21" t="s">
        <v>639</v>
      </c>
      <c r="B247" s="21">
        <v>2017</v>
      </c>
      <c r="C247" s="21">
        <v>3</v>
      </c>
      <c r="D247" s="21">
        <v>25</v>
      </c>
      <c r="E247" s="21" t="s">
        <v>316</v>
      </c>
      <c r="F247" s="21">
        <v>1</v>
      </c>
      <c r="G247" s="21">
        <v>0.16</v>
      </c>
      <c r="H247" s="21">
        <v>5.98</v>
      </c>
      <c r="I247" s="21">
        <v>373.75</v>
      </c>
    </row>
    <row r="248" spans="1:9" ht="15" customHeight="1" x14ac:dyDescent="0.3">
      <c r="A248" s="21" t="s">
        <v>640</v>
      </c>
      <c r="B248" s="21">
        <v>2017</v>
      </c>
      <c r="C248" s="21">
        <v>3</v>
      </c>
      <c r="D248" s="21">
        <v>26</v>
      </c>
      <c r="E248" s="21" t="s">
        <v>319</v>
      </c>
      <c r="F248" s="21">
        <v>1</v>
      </c>
      <c r="G248" s="21">
        <v>0.17</v>
      </c>
      <c r="H248" s="21">
        <v>6.49</v>
      </c>
      <c r="I248" s="21">
        <v>381.76</v>
      </c>
    </row>
    <row r="249" spans="1:9" ht="15" customHeight="1" x14ac:dyDescent="0.3">
      <c r="A249" s="21" t="s">
        <v>641</v>
      </c>
      <c r="B249" s="21">
        <v>2017</v>
      </c>
      <c r="C249" s="21">
        <v>3</v>
      </c>
      <c r="D249" s="21">
        <v>27</v>
      </c>
      <c r="E249" s="21" t="s">
        <v>299</v>
      </c>
      <c r="F249" s="21">
        <v>0</v>
      </c>
      <c r="G249" s="21">
        <v>0.21</v>
      </c>
      <c r="H249" s="21">
        <v>7.81</v>
      </c>
      <c r="I249" s="21">
        <v>371.9</v>
      </c>
    </row>
    <row r="250" spans="1:9" ht="15" customHeight="1" x14ac:dyDescent="0.3">
      <c r="A250" s="21" t="s">
        <v>642</v>
      </c>
      <c r="B250" s="21">
        <v>2017</v>
      </c>
      <c r="C250" s="21">
        <v>3</v>
      </c>
      <c r="D250" s="21">
        <v>28</v>
      </c>
      <c r="E250" s="21" t="s">
        <v>303</v>
      </c>
      <c r="F250" s="21">
        <v>0</v>
      </c>
      <c r="G250" s="21">
        <v>0.21</v>
      </c>
      <c r="H250" s="21">
        <v>7.77</v>
      </c>
      <c r="I250" s="21">
        <v>370</v>
      </c>
    </row>
    <row r="251" spans="1:9" ht="15" customHeight="1" x14ac:dyDescent="0.3">
      <c r="A251" s="21" t="s">
        <v>643</v>
      </c>
      <c r="B251" s="21">
        <v>2017</v>
      </c>
      <c r="C251" s="21">
        <v>3</v>
      </c>
      <c r="D251" s="21">
        <v>29</v>
      </c>
      <c r="E251" s="21" t="s">
        <v>307</v>
      </c>
      <c r="F251" s="21">
        <v>0</v>
      </c>
      <c r="G251" s="21">
        <v>0.2</v>
      </c>
      <c r="H251" s="21">
        <v>7.4</v>
      </c>
      <c r="I251" s="21">
        <v>370</v>
      </c>
    </row>
    <row r="252" spans="1:9" ht="15" customHeight="1" x14ac:dyDescent="0.3">
      <c r="A252" s="21" t="s">
        <v>644</v>
      </c>
      <c r="B252" s="21">
        <v>2017</v>
      </c>
      <c r="C252" s="21">
        <v>3</v>
      </c>
      <c r="D252" s="21">
        <v>30</v>
      </c>
      <c r="E252" s="21" t="s">
        <v>310</v>
      </c>
      <c r="F252" s="21">
        <v>0</v>
      </c>
      <c r="G252" s="21">
        <v>0.23</v>
      </c>
      <c r="H252" s="21">
        <v>8.69</v>
      </c>
      <c r="I252" s="21">
        <v>377.83</v>
      </c>
    </row>
    <row r="253" spans="1:9" ht="15" customHeight="1" x14ac:dyDescent="0.3">
      <c r="A253" s="21" t="s">
        <v>645</v>
      </c>
      <c r="B253" s="21">
        <v>2017</v>
      </c>
      <c r="C253" s="21">
        <v>3</v>
      </c>
      <c r="D253" s="21">
        <v>31</v>
      </c>
      <c r="E253" s="21" t="s">
        <v>313</v>
      </c>
      <c r="F253" s="21">
        <v>0</v>
      </c>
      <c r="G253" s="21">
        <v>0.25</v>
      </c>
      <c r="H253" s="21">
        <v>9.5500000000000007</v>
      </c>
      <c r="I253" s="21">
        <v>382</v>
      </c>
    </row>
    <row r="254" spans="1:9" ht="15" customHeight="1" x14ac:dyDescent="0.3">
      <c r="A254" s="21" t="s">
        <v>105</v>
      </c>
      <c r="B254" s="21">
        <v>2017</v>
      </c>
      <c r="C254" s="21">
        <v>4</v>
      </c>
      <c r="D254" s="21">
        <v>1</v>
      </c>
      <c r="E254" s="21" t="s">
        <v>316</v>
      </c>
      <c r="F254" s="21">
        <v>1</v>
      </c>
      <c r="G254" s="21">
        <v>0.23</v>
      </c>
      <c r="H254" s="21">
        <v>9.07</v>
      </c>
      <c r="I254" s="21">
        <v>394.35</v>
      </c>
    </row>
    <row r="255" spans="1:9" ht="15" customHeight="1" x14ac:dyDescent="0.3">
      <c r="A255" s="21" t="s">
        <v>646</v>
      </c>
      <c r="B255" s="21">
        <v>2017</v>
      </c>
      <c r="C255" s="21">
        <v>4</v>
      </c>
      <c r="D255" s="21">
        <v>2</v>
      </c>
      <c r="E255" s="21" t="s">
        <v>319</v>
      </c>
      <c r="F255" s="21">
        <v>1</v>
      </c>
      <c r="G255" s="21">
        <v>0.22</v>
      </c>
      <c r="H255" s="21">
        <v>8.42</v>
      </c>
      <c r="I255" s="21">
        <v>382.73</v>
      </c>
    </row>
    <row r="256" spans="1:9" ht="15" customHeight="1" x14ac:dyDescent="0.3">
      <c r="A256" s="21" t="s">
        <v>647</v>
      </c>
      <c r="B256" s="21">
        <v>2017</v>
      </c>
      <c r="C256" s="21">
        <v>4</v>
      </c>
      <c r="D256" s="21">
        <v>3</v>
      </c>
      <c r="E256" s="21" t="s">
        <v>299</v>
      </c>
      <c r="F256" s="21">
        <v>0</v>
      </c>
      <c r="G256" s="21">
        <v>0.24</v>
      </c>
      <c r="H256" s="21">
        <v>9.36</v>
      </c>
      <c r="I256" s="21">
        <v>390</v>
      </c>
    </row>
    <row r="257" spans="1:9" ht="15" customHeight="1" x14ac:dyDescent="0.3">
      <c r="A257" s="21" t="s">
        <v>648</v>
      </c>
      <c r="B257" s="21">
        <v>2017</v>
      </c>
      <c r="C257" s="21">
        <v>4</v>
      </c>
      <c r="D257" s="21">
        <v>4</v>
      </c>
      <c r="E257" s="21" t="s">
        <v>303</v>
      </c>
      <c r="F257" s="21">
        <v>0</v>
      </c>
      <c r="G257" s="21">
        <v>0.23</v>
      </c>
      <c r="H257" s="21">
        <v>8.8699999999999992</v>
      </c>
      <c r="I257" s="21">
        <v>385.65</v>
      </c>
    </row>
    <row r="258" spans="1:9" ht="15" customHeight="1" x14ac:dyDescent="0.3">
      <c r="A258" s="21" t="s">
        <v>649</v>
      </c>
      <c r="B258" s="21">
        <v>2017</v>
      </c>
      <c r="C258" s="21">
        <v>4</v>
      </c>
      <c r="D258" s="21">
        <v>5</v>
      </c>
      <c r="E258" s="21" t="s">
        <v>307</v>
      </c>
      <c r="F258" s="21">
        <v>0</v>
      </c>
      <c r="G258" s="21">
        <v>0.23</v>
      </c>
      <c r="H258" s="21">
        <v>8.82</v>
      </c>
      <c r="I258" s="21">
        <v>383.48</v>
      </c>
    </row>
    <row r="259" spans="1:9" ht="15" customHeight="1" x14ac:dyDescent="0.3">
      <c r="A259" s="21" t="s">
        <v>650</v>
      </c>
      <c r="B259" s="21">
        <v>2017</v>
      </c>
      <c r="C259" s="21">
        <v>4</v>
      </c>
      <c r="D259" s="21">
        <v>6</v>
      </c>
      <c r="E259" s="21" t="s">
        <v>310</v>
      </c>
      <c r="F259" s="21">
        <v>0</v>
      </c>
      <c r="G259" s="21">
        <v>0.24</v>
      </c>
      <c r="H259" s="21">
        <v>9.48</v>
      </c>
      <c r="I259" s="21">
        <v>395</v>
      </c>
    </row>
    <row r="260" spans="1:9" ht="15" customHeight="1" x14ac:dyDescent="0.3">
      <c r="A260" s="21" t="s">
        <v>651</v>
      </c>
      <c r="B260" s="21">
        <v>2017</v>
      </c>
      <c r="C260" s="21">
        <v>4</v>
      </c>
      <c r="D260" s="21">
        <v>7</v>
      </c>
      <c r="E260" s="21" t="s">
        <v>313</v>
      </c>
      <c r="F260" s="21">
        <v>0</v>
      </c>
      <c r="G260" s="21">
        <v>0.25</v>
      </c>
      <c r="H260" s="21">
        <v>9.83</v>
      </c>
      <c r="I260" s="21">
        <v>393.2</v>
      </c>
    </row>
    <row r="261" spans="1:9" ht="15" customHeight="1" x14ac:dyDescent="0.3">
      <c r="A261" s="21" t="s">
        <v>652</v>
      </c>
      <c r="B261" s="21">
        <v>2017</v>
      </c>
      <c r="C261" s="21">
        <v>4</v>
      </c>
      <c r="D261" s="21">
        <v>8</v>
      </c>
      <c r="E261" s="21" t="s">
        <v>316</v>
      </c>
      <c r="F261" s="21">
        <v>1</v>
      </c>
      <c r="G261" s="21">
        <v>0.19</v>
      </c>
      <c r="H261" s="21">
        <v>7.31</v>
      </c>
      <c r="I261" s="21">
        <v>384.74</v>
      </c>
    </row>
    <row r="262" spans="1:9" ht="15" customHeight="1" x14ac:dyDescent="0.3">
      <c r="A262" s="21" t="s">
        <v>653</v>
      </c>
      <c r="B262" s="21">
        <v>2017</v>
      </c>
      <c r="C262" s="21">
        <v>4</v>
      </c>
      <c r="D262" s="21">
        <v>9</v>
      </c>
      <c r="E262" s="21" t="s">
        <v>319</v>
      </c>
      <c r="F262" s="21">
        <v>1</v>
      </c>
      <c r="G262" s="21">
        <v>0.2</v>
      </c>
      <c r="H262" s="21">
        <v>7.9</v>
      </c>
      <c r="I262" s="21">
        <v>395</v>
      </c>
    </row>
    <row r="263" spans="1:9" ht="15" customHeight="1" x14ac:dyDescent="0.3">
      <c r="A263" s="21" t="s">
        <v>654</v>
      </c>
      <c r="B263" s="21">
        <v>2017</v>
      </c>
      <c r="C263" s="21">
        <v>4</v>
      </c>
      <c r="D263" s="21">
        <v>10</v>
      </c>
      <c r="E263" s="21" t="s">
        <v>299</v>
      </c>
      <c r="F263" s="21">
        <v>0</v>
      </c>
      <c r="G263" s="21">
        <v>0.26</v>
      </c>
      <c r="H263" s="21">
        <v>10.02</v>
      </c>
      <c r="I263" s="21">
        <v>385.38</v>
      </c>
    </row>
    <row r="264" spans="1:9" ht="15" customHeight="1" x14ac:dyDescent="0.3">
      <c r="A264" s="21" t="s">
        <v>655</v>
      </c>
      <c r="B264" s="21">
        <v>2017</v>
      </c>
      <c r="C264" s="21">
        <v>4</v>
      </c>
      <c r="D264" s="21">
        <v>11</v>
      </c>
      <c r="E264" s="21" t="s">
        <v>303</v>
      </c>
      <c r="F264" s="21">
        <v>0</v>
      </c>
      <c r="G264" s="21">
        <v>0.24</v>
      </c>
      <c r="H264" s="21">
        <v>9.2799999999999994</v>
      </c>
      <c r="I264" s="21">
        <v>386.67</v>
      </c>
    </row>
    <row r="265" spans="1:9" ht="15" customHeight="1" x14ac:dyDescent="0.3">
      <c r="A265" s="21" t="s">
        <v>656</v>
      </c>
      <c r="B265" s="21">
        <v>2017</v>
      </c>
      <c r="C265" s="21">
        <v>4</v>
      </c>
      <c r="D265" s="21">
        <v>12</v>
      </c>
      <c r="E265" s="21" t="s">
        <v>307</v>
      </c>
      <c r="F265" s="21">
        <v>0</v>
      </c>
      <c r="G265" s="21">
        <v>0.22</v>
      </c>
      <c r="H265" s="21">
        <v>8.59</v>
      </c>
      <c r="I265" s="21">
        <v>390.45</v>
      </c>
    </row>
    <row r="266" spans="1:9" ht="15" customHeight="1" x14ac:dyDescent="0.3">
      <c r="A266" s="21" t="s">
        <v>657</v>
      </c>
      <c r="B266" s="21">
        <v>2017</v>
      </c>
      <c r="C266" s="21">
        <v>4</v>
      </c>
      <c r="D266" s="21">
        <v>13</v>
      </c>
      <c r="E266" s="21" t="s">
        <v>310</v>
      </c>
      <c r="F266" s="21">
        <v>0</v>
      </c>
      <c r="G266" s="21">
        <v>0.23</v>
      </c>
      <c r="H266" s="21">
        <v>8.8699999999999992</v>
      </c>
      <c r="I266" s="21">
        <v>385.65</v>
      </c>
    </row>
    <row r="267" spans="1:9" ht="15" customHeight="1" x14ac:dyDescent="0.3">
      <c r="A267" s="21" t="s">
        <v>658</v>
      </c>
      <c r="B267" s="21">
        <v>2017</v>
      </c>
      <c r="C267" s="21">
        <v>4</v>
      </c>
      <c r="D267" s="21">
        <v>14</v>
      </c>
      <c r="E267" s="21" t="s">
        <v>313</v>
      </c>
      <c r="F267" s="21">
        <v>0</v>
      </c>
      <c r="G267" s="21">
        <v>0.26</v>
      </c>
      <c r="H267" s="21">
        <v>10.06</v>
      </c>
      <c r="I267" s="21">
        <v>386.92</v>
      </c>
    </row>
    <row r="268" spans="1:9" ht="15" customHeight="1" x14ac:dyDescent="0.3">
      <c r="A268" s="21" t="s">
        <v>659</v>
      </c>
      <c r="B268" s="21">
        <v>2017</v>
      </c>
      <c r="C268" s="21">
        <v>4</v>
      </c>
      <c r="D268" s="21">
        <v>15</v>
      </c>
      <c r="E268" s="21" t="s">
        <v>316</v>
      </c>
      <c r="F268" s="21">
        <v>1</v>
      </c>
      <c r="G268" s="21">
        <v>0.19</v>
      </c>
      <c r="H268" s="21">
        <v>7.46</v>
      </c>
      <c r="I268" s="21">
        <v>392.63</v>
      </c>
    </row>
    <row r="269" spans="1:9" ht="15" customHeight="1" x14ac:dyDescent="0.3">
      <c r="A269" s="21" t="s">
        <v>660</v>
      </c>
      <c r="B269" s="21">
        <v>2017</v>
      </c>
      <c r="C269" s="21">
        <v>4</v>
      </c>
      <c r="D269" s="21">
        <v>16</v>
      </c>
      <c r="E269" s="21" t="s">
        <v>319</v>
      </c>
      <c r="F269" s="21">
        <v>1</v>
      </c>
      <c r="G269" s="21">
        <v>0.2</v>
      </c>
      <c r="H269" s="21">
        <v>7.77</v>
      </c>
      <c r="I269" s="21">
        <v>388.5</v>
      </c>
    </row>
    <row r="270" spans="1:9" ht="15" customHeight="1" x14ac:dyDescent="0.3">
      <c r="A270" s="21" t="s">
        <v>661</v>
      </c>
      <c r="B270" s="21">
        <v>2017</v>
      </c>
      <c r="C270" s="21">
        <v>4</v>
      </c>
      <c r="D270" s="21">
        <v>17</v>
      </c>
      <c r="E270" s="21" t="s">
        <v>299</v>
      </c>
      <c r="F270" s="21">
        <v>0</v>
      </c>
      <c r="G270" s="21">
        <v>0.25</v>
      </c>
      <c r="H270" s="21">
        <v>9.66</v>
      </c>
      <c r="I270" s="21">
        <v>386.4</v>
      </c>
    </row>
    <row r="271" spans="1:9" ht="15" customHeight="1" x14ac:dyDescent="0.3">
      <c r="A271" s="21" t="s">
        <v>662</v>
      </c>
      <c r="B271" s="21">
        <v>2017</v>
      </c>
      <c r="C271" s="21">
        <v>4</v>
      </c>
      <c r="D271" s="21">
        <v>18</v>
      </c>
      <c r="E271" s="21" t="s">
        <v>303</v>
      </c>
      <c r="F271" s="21">
        <v>0</v>
      </c>
      <c r="G271" s="21">
        <v>0.22</v>
      </c>
      <c r="H271" s="21">
        <v>8.75</v>
      </c>
      <c r="I271" s="21">
        <v>397.73</v>
      </c>
    </row>
    <row r="272" spans="1:9" ht="15" customHeight="1" x14ac:dyDescent="0.3">
      <c r="A272" s="21" t="s">
        <v>663</v>
      </c>
      <c r="B272" s="21">
        <v>2017</v>
      </c>
      <c r="C272" s="21">
        <v>4</v>
      </c>
      <c r="D272" s="21">
        <v>19</v>
      </c>
      <c r="E272" s="21" t="s">
        <v>307</v>
      </c>
      <c r="F272" s="21">
        <v>0</v>
      </c>
      <c r="G272" s="21">
        <v>0.23</v>
      </c>
      <c r="H272" s="21">
        <v>8.98</v>
      </c>
      <c r="I272" s="21">
        <v>390.43</v>
      </c>
    </row>
    <row r="273" spans="1:9" ht="15" customHeight="1" x14ac:dyDescent="0.3">
      <c r="A273" s="21" t="s">
        <v>664</v>
      </c>
      <c r="B273" s="21">
        <v>2017</v>
      </c>
      <c r="C273" s="21">
        <v>4</v>
      </c>
      <c r="D273" s="21">
        <v>20</v>
      </c>
      <c r="E273" s="21" t="s">
        <v>310</v>
      </c>
      <c r="F273" s="21">
        <v>0</v>
      </c>
      <c r="G273" s="21">
        <v>0.21</v>
      </c>
      <c r="H273" s="21">
        <v>8.1199999999999992</v>
      </c>
      <c r="I273" s="21">
        <v>386.67</v>
      </c>
    </row>
    <row r="274" spans="1:9" ht="15" customHeight="1" x14ac:dyDescent="0.3">
      <c r="A274" s="21" t="s">
        <v>665</v>
      </c>
      <c r="B274" s="21">
        <v>2017</v>
      </c>
      <c r="C274" s="21">
        <v>4</v>
      </c>
      <c r="D274" s="21">
        <v>21</v>
      </c>
      <c r="E274" s="21" t="s">
        <v>313</v>
      </c>
      <c r="F274" s="21">
        <v>0</v>
      </c>
      <c r="G274" s="21">
        <v>0.24</v>
      </c>
      <c r="H274" s="21">
        <v>9.44</v>
      </c>
      <c r="I274" s="21">
        <v>393.33</v>
      </c>
    </row>
    <row r="275" spans="1:9" ht="15" customHeight="1" x14ac:dyDescent="0.3">
      <c r="A275" s="21" t="s">
        <v>666</v>
      </c>
      <c r="B275" s="21">
        <v>2017</v>
      </c>
      <c r="C275" s="21">
        <v>4</v>
      </c>
      <c r="D275" s="21">
        <v>22</v>
      </c>
      <c r="E275" s="21" t="s">
        <v>316</v>
      </c>
      <c r="F275" s="21">
        <v>1</v>
      </c>
      <c r="G275" s="21">
        <v>0.19</v>
      </c>
      <c r="H275" s="21">
        <v>7.58</v>
      </c>
      <c r="I275" s="21">
        <v>398.95</v>
      </c>
    </row>
    <row r="276" spans="1:9" ht="15" customHeight="1" x14ac:dyDescent="0.3">
      <c r="A276" s="21" t="s">
        <v>667</v>
      </c>
      <c r="B276" s="21">
        <v>2017</v>
      </c>
      <c r="C276" s="21">
        <v>4</v>
      </c>
      <c r="D276" s="21">
        <v>23</v>
      </c>
      <c r="E276" s="21" t="s">
        <v>319</v>
      </c>
      <c r="F276" s="21">
        <v>1</v>
      </c>
      <c r="G276" s="21">
        <v>0.19</v>
      </c>
      <c r="H276" s="21">
        <v>7.31</v>
      </c>
      <c r="I276" s="21">
        <v>384.74</v>
      </c>
    </row>
    <row r="277" spans="1:9" ht="15" customHeight="1" x14ac:dyDescent="0.3">
      <c r="A277" s="21" t="s">
        <v>668</v>
      </c>
      <c r="B277" s="21">
        <v>2017</v>
      </c>
      <c r="C277" s="21">
        <v>4</v>
      </c>
      <c r="D277" s="21">
        <v>24</v>
      </c>
      <c r="E277" s="21" t="s">
        <v>299</v>
      </c>
      <c r="F277" s="21">
        <v>0</v>
      </c>
      <c r="G277" s="21">
        <v>0.25</v>
      </c>
      <c r="H277" s="21">
        <v>9.89</v>
      </c>
      <c r="I277" s="21">
        <v>395.6</v>
      </c>
    </row>
    <row r="278" spans="1:9" ht="15" customHeight="1" x14ac:dyDescent="0.3">
      <c r="A278" s="21" t="s">
        <v>669</v>
      </c>
      <c r="B278" s="21">
        <v>2017</v>
      </c>
      <c r="C278" s="21">
        <v>4</v>
      </c>
      <c r="D278" s="21">
        <v>25</v>
      </c>
      <c r="E278" s="21" t="s">
        <v>303</v>
      </c>
      <c r="F278" s="21">
        <v>0</v>
      </c>
      <c r="G278" s="21">
        <v>0.22</v>
      </c>
      <c r="H278" s="21">
        <v>8.61</v>
      </c>
      <c r="I278" s="21">
        <v>391.36</v>
      </c>
    </row>
    <row r="279" spans="1:9" ht="15" customHeight="1" x14ac:dyDescent="0.3">
      <c r="A279" s="21" t="s">
        <v>670</v>
      </c>
      <c r="B279" s="21">
        <v>2017</v>
      </c>
      <c r="C279" s="21">
        <v>4</v>
      </c>
      <c r="D279" s="21">
        <v>26</v>
      </c>
      <c r="E279" s="21" t="s">
        <v>307</v>
      </c>
      <c r="F279" s="21">
        <v>0</v>
      </c>
      <c r="G279" s="21">
        <v>0.23</v>
      </c>
      <c r="H279" s="21">
        <v>8.8800000000000008</v>
      </c>
      <c r="I279" s="21">
        <v>386.09</v>
      </c>
    </row>
    <row r="280" spans="1:9" ht="15" customHeight="1" x14ac:dyDescent="0.3">
      <c r="A280" s="21" t="s">
        <v>671</v>
      </c>
      <c r="B280" s="21">
        <v>2017</v>
      </c>
      <c r="C280" s="21">
        <v>4</v>
      </c>
      <c r="D280" s="21">
        <v>27</v>
      </c>
      <c r="E280" s="21" t="s">
        <v>310</v>
      </c>
      <c r="F280" s="21">
        <v>0</v>
      </c>
      <c r="G280" s="21">
        <v>0.23</v>
      </c>
      <c r="H280" s="21">
        <v>9.0399999999999991</v>
      </c>
      <c r="I280" s="21">
        <v>393.04</v>
      </c>
    </row>
    <row r="281" spans="1:9" ht="15" customHeight="1" x14ac:dyDescent="0.3">
      <c r="A281" s="21" t="s">
        <v>672</v>
      </c>
      <c r="B281" s="21">
        <v>2017</v>
      </c>
      <c r="C281" s="21">
        <v>4</v>
      </c>
      <c r="D281" s="21">
        <v>28</v>
      </c>
      <c r="E281" s="21" t="s">
        <v>313</v>
      </c>
      <c r="F281" s="21">
        <v>0</v>
      </c>
      <c r="G281" s="21">
        <v>0.26</v>
      </c>
      <c r="H281" s="21">
        <v>10.11</v>
      </c>
      <c r="I281" s="21">
        <v>388.85</v>
      </c>
    </row>
    <row r="282" spans="1:9" ht="15" customHeight="1" x14ac:dyDescent="0.3">
      <c r="A282" s="21" t="s">
        <v>673</v>
      </c>
      <c r="B282" s="21">
        <v>2017</v>
      </c>
      <c r="C282" s="21">
        <v>4</v>
      </c>
      <c r="D282" s="21">
        <v>29</v>
      </c>
      <c r="E282" s="21" t="s">
        <v>316</v>
      </c>
      <c r="F282" s="21">
        <v>1</v>
      </c>
      <c r="G282" s="21">
        <v>0.21</v>
      </c>
      <c r="H282" s="21">
        <v>8.35</v>
      </c>
      <c r="I282" s="21">
        <v>397.62</v>
      </c>
    </row>
    <row r="283" spans="1:9" ht="15" customHeight="1" x14ac:dyDescent="0.3">
      <c r="A283" s="21" t="s">
        <v>674</v>
      </c>
      <c r="B283" s="21">
        <v>2017</v>
      </c>
      <c r="C283" s="21">
        <v>4</v>
      </c>
      <c r="D283" s="21">
        <v>30</v>
      </c>
      <c r="E283" s="21" t="s">
        <v>319</v>
      </c>
      <c r="F283" s="21">
        <v>1</v>
      </c>
      <c r="G283" s="21">
        <v>0.23</v>
      </c>
      <c r="H283" s="21">
        <v>9.16</v>
      </c>
      <c r="I283" s="21">
        <v>398.26</v>
      </c>
    </row>
    <row r="284" spans="1:9" ht="15" customHeight="1" x14ac:dyDescent="0.3">
      <c r="A284" s="21" t="s">
        <v>107</v>
      </c>
      <c r="B284" s="21">
        <v>2017</v>
      </c>
      <c r="C284" s="21">
        <v>5</v>
      </c>
      <c r="D284" s="21">
        <v>1</v>
      </c>
      <c r="E284" s="21" t="s">
        <v>299</v>
      </c>
      <c r="F284" s="21">
        <v>0</v>
      </c>
      <c r="G284" s="21">
        <v>0.36</v>
      </c>
      <c r="H284" s="21">
        <v>15.59</v>
      </c>
      <c r="I284" s="21">
        <v>433.06</v>
      </c>
    </row>
    <row r="285" spans="1:9" ht="15" customHeight="1" x14ac:dyDescent="0.3">
      <c r="A285" s="21" t="s">
        <v>675</v>
      </c>
      <c r="B285" s="21">
        <v>2017</v>
      </c>
      <c r="C285" s="21">
        <v>5</v>
      </c>
      <c r="D285" s="21">
        <v>2</v>
      </c>
      <c r="E285" s="21" t="s">
        <v>303</v>
      </c>
      <c r="F285" s="21">
        <v>0</v>
      </c>
      <c r="G285" s="21">
        <v>0.33</v>
      </c>
      <c r="H285" s="21">
        <v>14.4</v>
      </c>
      <c r="I285" s="21">
        <v>436.36</v>
      </c>
    </row>
    <row r="286" spans="1:9" ht="15" customHeight="1" x14ac:dyDescent="0.3">
      <c r="A286" s="21" t="s">
        <v>676</v>
      </c>
      <c r="B286" s="21">
        <v>2017</v>
      </c>
      <c r="C286" s="21">
        <v>5</v>
      </c>
      <c r="D286" s="21">
        <v>3</v>
      </c>
      <c r="E286" s="21" t="s">
        <v>307</v>
      </c>
      <c r="F286" s="21">
        <v>0</v>
      </c>
      <c r="G286" s="21">
        <v>0.3</v>
      </c>
      <c r="H286" s="21">
        <v>13.08</v>
      </c>
      <c r="I286" s="21">
        <v>436</v>
      </c>
    </row>
    <row r="287" spans="1:9" ht="15" customHeight="1" x14ac:dyDescent="0.3">
      <c r="A287" s="21" t="s">
        <v>677</v>
      </c>
      <c r="B287" s="21">
        <v>2017</v>
      </c>
      <c r="C287" s="21">
        <v>5</v>
      </c>
      <c r="D287" s="21">
        <v>4</v>
      </c>
      <c r="E287" s="21" t="s">
        <v>310</v>
      </c>
      <c r="F287" s="21">
        <v>0</v>
      </c>
      <c r="G287" s="21">
        <v>0.3</v>
      </c>
      <c r="H287" s="21">
        <v>12.98</v>
      </c>
      <c r="I287" s="21">
        <v>432.67</v>
      </c>
    </row>
    <row r="288" spans="1:9" ht="15" customHeight="1" x14ac:dyDescent="0.3">
      <c r="A288" s="21" t="s">
        <v>678</v>
      </c>
      <c r="B288" s="21">
        <v>2017</v>
      </c>
      <c r="C288" s="21">
        <v>5</v>
      </c>
      <c r="D288" s="21">
        <v>5</v>
      </c>
      <c r="E288" s="21" t="s">
        <v>313</v>
      </c>
      <c r="F288" s="21">
        <v>0</v>
      </c>
      <c r="G288" s="21">
        <v>0.32</v>
      </c>
      <c r="H288" s="21">
        <v>13.7</v>
      </c>
      <c r="I288" s="21">
        <v>428.12</v>
      </c>
    </row>
    <row r="289" spans="1:9" ht="15" customHeight="1" x14ac:dyDescent="0.3">
      <c r="A289" s="21" t="s">
        <v>679</v>
      </c>
      <c r="B289" s="21">
        <v>2017</v>
      </c>
      <c r="C289" s="21">
        <v>5</v>
      </c>
      <c r="D289" s="21">
        <v>6</v>
      </c>
      <c r="E289" s="21" t="s">
        <v>316</v>
      </c>
      <c r="F289" s="21">
        <v>1</v>
      </c>
      <c r="G289" s="21">
        <v>0.26</v>
      </c>
      <c r="H289" s="21">
        <v>10.99</v>
      </c>
      <c r="I289" s="21">
        <v>422.69</v>
      </c>
    </row>
    <row r="290" spans="1:9" ht="15" customHeight="1" x14ac:dyDescent="0.3">
      <c r="A290" s="21" t="s">
        <v>680</v>
      </c>
      <c r="B290" s="21">
        <v>2017</v>
      </c>
      <c r="C290" s="21">
        <v>5</v>
      </c>
      <c r="D290" s="21">
        <v>7</v>
      </c>
      <c r="E290" s="21" t="s">
        <v>319</v>
      </c>
      <c r="F290" s="21">
        <v>1</v>
      </c>
      <c r="G290" s="21">
        <v>0.25</v>
      </c>
      <c r="H290" s="21">
        <v>10.82</v>
      </c>
      <c r="I290" s="21">
        <v>432.8</v>
      </c>
    </row>
    <row r="291" spans="1:9" ht="15" customHeight="1" x14ac:dyDescent="0.3">
      <c r="A291" s="21" t="s">
        <v>681</v>
      </c>
      <c r="B291" s="21">
        <v>2017</v>
      </c>
      <c r="C291" s="21">
        <v>5</v>
      </c>
      <c r="D291" s="21">
        <v>8</v>
      </c>
      <c r="E291" s="21" t="s">
        <v>299</v>
      </c>
      <c r="F291" s="21">
        <v>0</v>
      </c>
      <c r="G291" s="21">
        <v>0.32</v>
      </c>
      <c r="H291" s="21">
        <v>13.59</v>
      </c>
      <c r="I291" s="21">
        <v>424.69</v>
      </c>
    </row>
    <row r="292" spans="1:9" ht="15" customHeight="1" x14ac:dyDescent="0.3">
      <c r="A292" s="21" t="s">
        <v>682</v>
      </c>
      <c r="B292" s="21">
        <v>2017</v>
      </c>
      <c r="C292" s="21">
        <v>5</v>
      </c>
      <c r="D292" s="21">
        <v>9</v>
      </c>
      <c r="E292" s="21" t="s">
        <v>303</v>
      </c>
      <c r="F292" s="21">
        <v>0</v>
      </c>
      <c r="G292" s="21">
        <v>0.31</v>
      </c>
      <c r="H292" s="21">
        <v>13.16</v>
      </c>
      <c r="I292" s="21">
        <v>424.52</v>
      </c>
    </row>
    <row r="293" spans="1:9" ht="15" customHeight="1" x14ac:dyDescent="0.3">
      <c r="A293" s="21" t="s">
        <v>683</v>
      </c>
      <c r="B293" s="21">
        <v>2017</v>
      </c>
      <c r="C293" s="21">
        <v>5</v>
      </c>
      <c r="D293" s="21">
        <v>10</v>
      </c>
      <c r="E293" s="21" t="s">
        <v>307</v>
      </c>
      <c r="F293" s="21">
        <v>0</v>
      </c>
      <c r="G293" s="21">
        <v>0.31</v>
      </c>
      <c r="H293" s="21">
        <v>13.52</v>
      </c>
      <c r="I293" s="21">
        <v>436.13</v>
      </c>
    </row>
    <row r="294" spans="1:9" ht="15" customHeight="1" x14ac:dyDescent="0.3">
      <c r="A294" s="21" t="s">
        <v>684</v>
      </c>
      <c r="B294" s="21">
        <v>2017</v>
      </c>
      <c r="C294" s="21">
        <v>5</v>
      </c>
      <c r="D294" s="21">
        <v>11</v>
      </c>
      <c r="E294" s="21" t="s">
        <v>310</v>
      </c>
      <c r="F294" s="21">
        <v>0</v>
      </c>
      <c r="G294" s="21">
        <v>0.28999999999999998</v>
      </c>
      <c r="H294" s="21">
        <v>12.42</v>
      </c>
      <c r="I294" s="21">
        <v>428.28</v>
      </c>
    </row>
    <row r="295" spans="1:9" ht="15" customHeight="1" x14ac:dyDescent="0.3">
      <c r="A295" s="21" t="s">
        <v>685</v>
      </c>
      <c r="B295" s="21">
        <v>2017</v>
      </c>
      <c r="C295" s="21">
        <v>5</v>
      </c>
      <c r="D295" s="21">
        <v>12</v>
      </c>
      <c r="E295" s="21" t="s">
        <v>313</v>
      </c>
      <c r="F295" s="21">
        <v>0</v>
      </c>
      <c r="G295" s="21">
        <v>0.34</v>
      </c>
      <c r="H295" s="21">
        <v>14.76</v>
      </c>
      <c r="I295" s="21">
        <v>434.12</v>
      </c>
    </row>
    <row r="296" spans="1:9" ht="15" customHeight="1" x14ac:dyDescent="0.3">
      <c r="A296" s="21" t="s">
        <v>686</v>
      </c>
      <c r="B296" s="21">
        <v>2017</v>
      </c>
      <c r="C296" s="21">
        <v>5</v>
      </c>
      <c r="D296" s="21">
        <v>13</v>
      </c>
      <c r="E296" s="21" t="s">
        <v>316</v>
      </c>
      <c r="F296" s="21">
        <v>1</v>
      </c>
      <c r="G296" s="21">
        <v>0.24</v>
      </c>
      <c r="H296" s="21">
        <v>10.210000000000001</v>
      </c>
      <c r="I296" s="21">
        <v>425.42</v>
      </c>
    </row>
    <row r="297" spans="1:9" ht="15" customHeight="1" x14ac:dyDescent="0.3">
      <c r="A297" s="21" t="s">
        <v>687</v>
      </c>
      <c r="B297" s="21">
        <v>2017</v>
      </c>
      <c r="C297" s="21">
        <v>5</v>
      </c>
      <c r="D297" s="21">
        <v>14</v>
      </c>
      <c r="E297" s="21" t="s">
        <v>319</v>
      </c>
      <c r="F297" s="21">
        <v>1</v>
      </c>
      <c r="G297" s="21">
        <v>0.25</v>
      </c>
      <c r="H297" s="21">
        <v>10.91</v>
      </c>
      <c r="I297" s="21">
        <v>436.4</v>
      </c>
    </row>
    <row r="298" spans="1:9" ht="15" customHeight="1" x14ac:dyDescent="0.3">
      <c r="A298" s="21" t="s">
        <v>688</v>
      </c>
      <c r="B298" s="21">
        <v>2017</v>
      </c>
      <c r="C298" s="21">
        <v>5</v>
      </c>
      <c r="D298" s="21">
        <v>15</v>
      </c>
      <c r="E298" s="21" t="s">
        <v>299</v>
      </c>
      <c r="F298" s="21">
        <v>0</v>
      </c>
      <c r="G298" s="21">
        <v>0.32</v>
      </c>
      <c r="H298" s="21">
        <v>13.78</v>
      </c>
      <c r="I298" s="21">
        <v>430.62</v>
      </c>
    </row>
    <row r="299" spans="1:9" ht="15" customHeight="1" x14ac:dyDescent="0.3">
      <c r="A299" s="21" t="s">
        <v>689</v>
      </c>
      <c r="B299" s="21">
        <v>2017</v>
      </c>
      <c r="C299" s="21">
        <v>5</v>
      </c>
      <c r="D299" s="21">
        <v>16</v>
      </c>
      <c r="E299" s="21" t="s">
        <v>303</v>
      </c>
      <c r="F299" s="21">
        <v>0</v>
      </c>
      <c r="G299" s="21">
        <v>0.3</v>
      </c>
      <c r="H299" s="21">
        <v>13.01</v>
      </c>
      <c r="I299" s="21">
        <v>433.67</v>
      </c>
    </row>
    <row r="300" spans="1:9" ht="15" customHeight="1" x14ac:dyDescent="0.3">
      <c r="A300" s="21" t="s">
        <v>690</v>
      </c>
      <c r="B300" s="21">
        <v>2017</v>
      </c>
      <c r="C300" s="21">
        <v>5</v>
      </c>
      <c r="D300" s="21">
        <v>17</v>
      </c>
      <c r="E300" s="21" t="s">
        <v>307</v>
      </c>
      <c r="F300" s="21">
        <v>0</v>
      </c>
      <c r="G300" s="21">
        <v>0.28999999999999998</v>
      </c>
      <c r="H300" s="21">
        <v>12.66</v>
      </c>
      <c r="I300" s="21">
        <v>436.55</v>
      </c>
    </row>
    <row r="301" spans="1:9" ht="15" customHeight="1" x14ac:dyDescent="0.3">
      <c r="A301" s="21" t="s">
        <v>691</v>
      </c>
      <c r="B301" s="21">
        <v>2017</v>
      </c>
      <c r="C301" s="21">
        <v>5</v>
      </c>
      <c r="D301" s="21">
        <v>18</v>
      </c>
      <c r="E301" s="21" t="s">
        <v>310</v>
      </c>
      <c r="F301" s="21">
        <v>0</v>
      </c>
      <c r="G301" s="21">
        <v>0.3</v>
      </c>
      <c r="H301" s="21">
        <v>12.82</v>
      </c>
      <c r="I301" s="21">
        <v>427.33</v>
      </c>
    </row>
    <row r="302" spans="1:9" ht="15" customHeight="1" x14ac:dyDescent="0.3">
      <c r="A302" s="21" t="s">
        <v>692</v>
      </c>
      <c r="B302" s="21">
        <v>2017</v>
      </c>
      <c r="C302" s="21">
        <v>5</v>
      </c>
      <c r="D302" s="21">
        <v>19</v>
      </c>
      <c r="E302" s="21" t="s">
        <v>313</v>
      </c>
      <c r="F302" s="21">
        <v>0</v>
      </c>
      <c r="G302" s="21">
        <v>0.32</v>
      </c>
      <c r="H302" s="21">
        <v>13.74</v>
      </c>
      <c r="I302" s="21">
        <v>429.38</v>
      </c>
    </row>
    <row r="303" spans="1:9" ht="15" customHeight="1" x14ac:dyDescent="0.3">
      <c r="A303" s="21" t="s">
        <v>693</v>
      </c>
      <c r="B303" s="21">
        <v>2017</v>
      </c>
      <c r="C303" s="21">
        <v>5</v>
      </c>
      <c r="D303" s="21">
        <v>20</v>
      </c>
      <c r="E303" s="21" t="s">
        <v>316</v>
      </c>
      <c r="F303" s="21">
        <v>1</v>
      </c>
      <c r="G303" s="21">
        <v>0.25</v>
      </c>
      <c r="H303" s="21">
        <v>10.74</v>
      </c>
      <c r="I303" s="21">
        <v>429.6</v>
      </c>
    </row>
    <row r="304" spans="1:9" ht="15" customHeight="1" x14ac:dyDescent="0.3">
      <c r="A304" s="21" t="s">
        <v>694</v>
      </c>
      <c r="B304" s="21">
        <v>2017</v>
      </c>
      <c r="C304" s="21">
        <v>5</v>
      </c>
      <c r="D304" s="21">
        <v>21</v>
      </c>
      <c r="E304" s="21" t="s">
        <v>319</v>
      </c>
      <c r="F304" s="21">
        <v>1</v>
      </c>
      <c r="G304" s="21">
        <v>0.26</v>
      </c>
      <c r="H304" s="21">
        <v>11.3</v>
      </c>
      <c r="I304" s="21">
        <v>434.62</v>
      </c>
    </row>
    <row r="305" spans="1:9" ht="15" customHeight="1" x14ac:dyDescent="0.3">
      <c r="A305" s="21" t="s">
        <v>695</v>
      </c>
      <c r="B305" s="21">
        <v>2017</v>
      </c>
      <c r="C305" s="21">
        <v>5</v>
      </c>
      <c r="D305" s="21">
        <v>22</v>
      </c>
      <c r="E305" s="21" t="s">
        <v>299</v>
      </c>
      <c r="F305" s="21">
        <v>0</v>
      </c>
      <c r="G305" s="21">
        <v>0.32</v>
      </c>
      <c r="H305" s="21">
        <v>13.69</v>
      </c>
      <c r="I305" s="21">
        <v>427.81</v>
      </c>
    </row>
    <row r="306" spans="1:9" ht="15" customHeight="1" x14ac:dyDescent="0.3">
      <c r="A306" s="21" t="s">
        <v>696</v>
      </c>
      <c r="B306" s="21">
        <v>2017</v>
      </c>
      <c r="C306" s="21">
        <v>5</v>
      </c>
      <c r="D306" s="21">
        <v>23</v>
      </c>
      <c r="E306" s="21" t="s">
        <v>303</v>
      </c>
      <c r="F306" s="21">
        <v>0</v>
      </c>
      <c r="G306" s="21">
        <v>0.28999999999999998</v>
      </c>
      <c r="H306" s="21">
        <v>12.64</v>
      </c>
      <c r="I306" s="21">
        <v>435.86</v>
      </c>
    </row>
    <row r="307" spans="1:9" ht="15" customHeight="1" x14ac:dyDescent="0.3">
      <c r="A307" s="21" t="s">
        <v>697</v>
      </c>
      <c r="B307" s="21">
        <v>2017</v>
      </c>
      <c r="C307" s="21">
        <v>5</v>
      </c>
      <c r="D307" s="21">
        <v>24</v>
      </c>
      <c r="E307" s="21" t="s">
        <v>307</v>
      </c>
      <c r="F307" s="21">
        <v>0</v>
      </c>
      <c r="G307" s="21">
        <v>0.31</v>
      </c>
      <c r="H307" s="21">
        <v>13.25</v>
      </c>
      <c r="I307" s="21">
        <v>427.42</v>
      </c>
    </row>
    <row r="308" spans="1:9" ht="15" customHeight="1" x14ac:dyDescent="0.3">
      <c r="A308" s="21" t="s">
        <v>698</v>
      </c>
      <c r="B308" s="21">
        <v>2017</v>
      </c>
      <c r="C308" s="21">
        <v>5</v>
      </c>
      <c r="D308" s="21">
        <v>25</v>
      </c>
      <c r="E308" s="21" t="s">
        <v>310</v>
      </c>
      <c r="F308" s="21">
        <v>0</v>
      </c>
      <c r="G308" s="21">
        <v>0.3</v>
      </c>
      <c r="H308" s="21">
        <v>13.02</v>
      </c>
      <c r="I308" s="21">
        <v>434</v>
      </c>
    </row>
    <row r="309" spans="1:9" ht="15" customHeight="1" x14ac:dyDescent="0.3">
      <c r="A309" s="21" t="s">
        <v>699</v>
      </c>
      <c r="B309" s="21">
        <v>2017</v>
      </c>
      <c r="C309" s="21">
        <v>5</v>
      </c>
      <c r="D309" s="21">
        <v>26</v>
      </c>
      <c r="E309" s="21" t="s">
        <v>313</v>
      </c>
      <c r="F309" s="21">
        <v>0</v>
      </c>
      <c r="G309" s="21">
        <v>0.33</v>
      </c>
      <c r="H309" s="21">
        <v>14.25</v>
      </c>
      <c r="I309" s="21">
        <v>431.82</v>
      </c>
    </row>
    <row r="310" spans="1:9" ht="15" customHeight="1" x14ac:dyDescent="0.3">
      <c r="A310" s="21" t="s">
        <v>700</v>
      </c>
      <c r="B310" s="21">
        <v>2017</v>
      </c>
      <c r="C310" s="21">
        <v>5</v>
      </c>
      <c r="D310" s="21">
        <v>27</v>
      </c>
      <c r="E310" s="21" t="s">
        <v>316</v>
      </c>
      <c r="F310" s="21">
        <v>1</v>
      </c>
      <c r="G310" s="21">
        <v>0.26</v>
      </c>
      <c r="H310" s="21">
        <v>11.21</v>
      </c>
      <c r="I310" s="21">
        <v>431.15</v>
      </c>
    </row>
    <row r="311" spans="1:9" ht="15" customHeight="1" x14ac:dyDescent="0.3">
      <c r="A311" s="21" t="s">
        <v>701</v>
      </c>
      <c r="B311" s="21">
        <v>2017</v>
      </c>
      <c r="C311" s="21">
        <v>5</v>
      </c>
      <c r="D311" s="21">
        <v>28</v>
      </c>
      <c r="E311" s="21" t="s">
        <v>319</v>
      </c>
      <c r="F311" s="21">
        <v>1</v>
      </c>
      <c r="G311" s="21">
        <v>0.25</v>
      </c>
      <c r="H311" s="21">
        <v>10.65</v>
      </c>
      <c r="I311" s="21">
        <v>426</v>
      </c>
    </row>
    <row r="312" spans="1:9" ht="15" customHeight="1" x14ac:dyDescent="0.3">
      <c r="A312" s="21" t="s">
        <v>702</v>
      </c>
      <c r="B312" s="21">
        <v>2017</v>
      </c>
      <c r="C312" s="21">
        <v>5</v>
      </c>
      <c r="D312" s="21">
        <v>29</v>
      </c>
      <c r="E312" s="21" t="s">
        <v>299</v>
      </c>
      <c r="F312" s="21">
        <v>0</v>
      </c>
      <c r="G312" s="21">
        <v>0.31</v>
      </c>
      <c r="H312" s="21">
        <v>13.33</v>
      </c>
      <c r="I312" s="21">
        <v>430</v>
      </c>
    </row>
    <row r="313" spans="1:9" ht="15" customHeight="1" x14ac:dyDescent="0.3">
      <c r="A313" s="21" t="s">
        <v>703</v>
      </c>
      <c r="B313" s="21">
        <v>2017</v>
      </c>
      <c r="C313" s="21">
        <v>5</v>
      </c>
      <c r="D313" s="21">
        <v>30</v>
      </c>
      <c r="E313" s="21" t="s">
        <v>303</v>
      </c>
      <c r="F313" s="21">
        <v>0</v>
      </c>
      <c r="G313" s="21">
        <v>0.35</v>
      </c>
      <c r="H313" s="21">
        <v>15.17</v>
      </c>
      <c r="I313" s="21">
        <v>433.43</v>
      </c>
    </row>
    <row r="314" spans="1:9" ht="15" customHeight="1" x14ac:dyDescent="0.3">
      <c r="A314" s="21" t="s">
        <v>704</v>
      </c>
      <c r="B314" s="21">
        <v>2017</v>
      </c>
      <c r="C314" s="21">
        <v>5</v>
      </c>
      <c r="D314" s="21">
        <v>31</v>
      </c>
      <c r="E314" s="21" t="s">
        <v>307</v>
      </c>
      <c r="F314" s="21">
        <v>0</v>
      </c>
      <c r="G314" s="21">
        <v>0.35</v>
      </c>
      <c r="H314" s="21">
        <v>15.11</v>
      </c>
      <c r="I314" s="21">
        <v>431.71</v>
      </c>
    </row>
    <row r="315" spans="1:9" ht="15" customHeight="1" x14ac:dyDescent="0.3">
      <c r="A315" s="21" t="s">
        <v>108</v>
      </c>
      <c r="B315" s="21">
        <v>2017</v>
      </c>
      <c r="C315" s="21">
        <v>6</v>
      </c>
      <c r="D315" s="21">
        <v>1</v>
      </c>
      <c r="E315" s="21" t="s">
        <v>310</v>
      </c>
      <c r="F315" s="21">
        <v>0</v>
      </c>
      <c r="G315" s="21">
        <v>0.39</v>
      </c>
      <c r="H315" s="21">
        <v>17.239999999999998</v>
      </c>
      <c r="I315" s="21">
        <v>442.05</v>
      </c>
    </row>
    <row r="316" spans="1:9" ht="15" customHeight="1" x14ac:dyDescent="0.3">
      <c r="A316" s="21" t="s">
        <v>705</v>
      </c>
      <c r="B316" s="21">
        <v>2017</v>
      </c>
      <c r="C316" s="21">
        <v>6</v>
      </c>
      <c r="D316" s="21">
        <v>2</v>
      </c>
      <c r="E316" s="21" t="s">
        <v>313</v>
      </c>
      <c r="F316" s="21">
        <v>0</v>
      </c>
      <c r="G316" s="21">
        <v>0.42</v>
      </c>
      <c r="H316" s="21">
        <v>18.690000000000001</v>
      </c>
      <c r="I316" s="21">
        <v>445</v>
      </c>
    </row>
    <row r="317" spans="1:9" ht="15" customHeight="1" x14ac:dyDescent="0.3">
      <c r="A317" s="21" t="s">
        <v>706</v>
      </c>
      <c r="B317" s="21">
        <v>2017</v>
      </c>
      <c r="C317" s="21">
        <v>6</v>
      </c>
      <c r="D317" s="21">
        <v>3</v>
      </c>
      <c r="E317" s="21" t="s">
        <v>316</v>
      </c>
      <c r="F317" s="21">
        <v>1</v>
      </c>
      <c r="G317" s="21">
        <v>0.3</v>
      </c>
      <c r="H317" s="21">
        <v>13.32</v>
      </c>
      <c r="I317" s="21">
        <v>444</v>
      </c>
    </row>
    <row r="318" spans="1:9" ht="15" customHeight="1" x14ac:dyDescent="0.3">
      <c r="A318" s="21" t="s">
        <v>707</v>
      </c>
      <c r="B318" s="21">
        <v>2017</v>
      </c>
      <c r="C318" s="21">
        <v>6</v>
      </c>
      <c r="D318" s="21">
        <v>4</v>
      </c>
      <c r="E318" s="21" t="s">
        <v>319</v>
      </c>
      <c r="F318" s="21">
        <v>1</v>
      </c>
      <c r="G318" s="21">
        <v>0.28000000000000003</v>
      </c>
      <c r="H318" s="21">
        <v>12.48</v>
      </c>
      <c r="I318" s="21">
        <v>445.71</v>
      </c>
    </row>
    <row r="319" spans="1:9" ht="15" customHeight="1" x14ac:dyDescent="0.3">
      <c r="A319" s="21" t="s">
        <v>708</v>
      </c>
      <c r="B319" s="21">
        <v>2017</v>
      </c>
      <c r="C319" s="21">
        <v>6</v>
      </c>
      <c r="D319" s="21">
        <v>5</v>
      </c>
      <c r="E319" s="21" t="s">
        <v>299</v>
      </c>
      <c r="F319" s="21">
        <v>0</v>
      </c>
      <c r="G319" s="21">
        <v>0.36</v>
      </c>
      <c r="H319" s="21">
        <v>16</v>
      </c>
      <c r="I319" s="21">
        <v>444.44</v>
      </c>
    </row>
    <row r="320" spans="1:9" ht="15" customHeight="1" x14ac:dyDescent="0.3">
      <c r="A320" s="21" t="s">
        <v>709</v>
      </c>
      <c r="B320" s="21">
        <v>2017</v>
      </c>
      <c r="C320" s="21">
        <v>6</v>
      </c>
      <c r="D320" s="21">
        <v>6</v>
      </c>
      <c r="E320" s="21" t="s">
        <v>303</v>
      </c>
      <c r="F320" s="21">
        <v>0</v>
      </c>
      <c r="G320" s="21">
        <v>0.34</v>
      </c>
      <c r="H320" s="21">
        <v>14.91</v>
      </c>
      <c r="I320" s="21">
        <v>438.53</v>
      </c>
    </row>
    <row r="321" spans="1:9" ht="15" customHeight="1" x14ac:dyDescent="0.3">
      <c r="A321" s="21" t="s">
        <v>710</v>
      </c>
      <c r="B321" s="21">
        <v>2017</v>
      </c>
      <c r="C321" s="21">
        <v>6</v>
      </c>
      <c r="D321" s="21">
        <v>7</v>
      </c>
      <c r="E321" s="21" t="s">
        <v>307</v>
      </c>
      <c r="F321" s="21">
        <v>0</v>
      </c>
      <c r="G321" s="21">
        <v>0.34</v>
      </c>
      <c r="H321" s="21">
        <v>14.9</v>
      </c>
      <c r="I321" s="21">
        <v>438.24</v>
      </c>
    </row>
    <row r="322" spans="1:9" ht="15" customHeight="1" x14ac:dyDescent="0.3">
      <c r="A322" s="21" t="s">
        <v>711</v>
      </c>
      <c r="B322" s="21">
        <v>2017</v>
      </c>
      <c r="C322" s="21">
        <v>6</v>
      </c>
      <c r="D322" s="21">
        <v>8</v>
      </c>
      <c r="E322" s="21" t="s">
        <v>310</v>
      </c>
      <c r="F322" s="21">
        <v>0</v>
      </c>
      <c r="G322" s="21">
        <v>0.35</v>
      </c>
      <c r="H322" s="21">
        <v>15.49</v>
      </c>
      <c r="I322" s="21">
        <v>442.57</v>
      </c>
    </row>
    <row r="323" spans="1:9" ht="15" customHeight="1" x14ac:dyDescent="0.3">
      <c r="A323" s="21" t="s">
        <v>712</v>
      </c>
      <c r="B323" s="21">
        <v>2017</v>
      </c>
      <c r="C323" s="21">
        <v>6</v>
      </c>
      <c r="D323" s="21">
        <v>9</v>
      </c>
      <c r="E323" s="21" t="s">
        <v>313</v>
      </c>
      <c r="F323" s="21">
        <v>0</v>
      </c>
      <c r="G323" s="21">
        <v>0.38</v>
      </c>
      <c r="H323" s="21">
        <v>16.57</v>
      </c>
      <c r="I323" s="21">
        <v>436.05</v>
      </c>
    </row>
    <row r="324" spans="1:9" ht="15" customHeight="1" x14ac:dyDescent="0.3">
      <c r="A324" s="21" t="s">
        <v>713</v>
      </c>
      <c r="B324" s="21">
        <v>2017</v>
      </c>
      <c r="C324" s="21">
        <v>6</v>
      </c>
      <c r="D324" s="21">
        <v>10</v>
      </c>
      <c r="E324" s="21" t="s">
        <v>316</v>
      </c>
      <c r="F324" s="21">
        <v>1</v>
      </c>
      <c r="G324" s="21">
        <v>0.3</v>
      </c>
      <c r="H324" s="21">
        <v>13.12</v>
      </c>
      <c r="I324" s="21">
        <v>437.33</v>
      </c>
    </row>
    <row r="325" spans="1:9" ht="15" customHeight="1" x14ac:dyDescent="0.3">
      <c r="A325" s="21" t="s">
        <v>714</v>
      </c>
      <c r="B325" s="21">
        <v>2017</v>
      </c>
      <c r="C325" s="21">
        <v>6</v>
      </c>
      <c r="D325" s="21">
        <v>11</v>
      </c>
      <c r="E325" s="21" t="s">
        <v>319</v>
      </c>
      <c r="F325" s="21">
        <v>1</v>
      </c>
      <c r="G325" s="21">
        <v>0.3</v>
      </c>
      <c r="H325" s="21">
        <v>13.34</v>
      </c>
      <c r="I325" s="21">
        <v>444.67</v>
      </c>
    </row>
    <row r="326" spans="1:9" ht="15" customHeight="1" x14ac:dyDescent="0.3">
      <c r="A326" s="21" t="s">
        <v>715</v>
      </c>
      <c r="B326" s="21">
        <v>2017</v>
      </c>
      <c r="C326" s="21">
        <v>6</v>
      </c>
      <c r="D326" s="21">
        <v>12</v>
      </c>
      <c r="E326" s="21" t="s">
        <v>299</v>
      </c>
      <c r="F326" s="21">
        <v>0</v>
      </c>
      <c r="G326" s="21">
        <v>0.36</v>
      </c>
      <c r="H326" s="21">
        <v>15.76</v>
      </c>
      <c r="I326" s="21">
        <v>437.78</v>
      </c>
    </row>
    <row r="327" spans="1:9" ht="15" customHeight="1" x14ac:dyDescent="0.3">
      <c r="A327" s="21" t="s">
        <v>716</v>
      </c>
      <c r="B327" s="21">
        <v>2017</v>
      </c>
      <c r="C327" s="21">
        <v>6</v>
      </c>
      <c r="D327" s="21">
        <v>13</v>
      </c>
      <c r="E327" s="21" t="s">
        <v>303</v>
      </c>
      <c r="F327" s="21">
        <v>0</v>
      </c>
      <c r="G327" s="21">
        <v>0.35</v>
      </c>
      <c r="H327" s="21">
        <v>15.31</v>
      </c>
      <c r="I327" s="21">
        <v>437.43</v>
      </c>
    </row>
    <row r="328" spans="1:9" ht="15" customHeight="1" x14ac:dyDescent="0.3">
      <c r="A328" s="21" t="s">
        <v>717</v>
      </c>
      <c r="B328" s="21">
        <v>2017</v>
      </c>
      <c r="C328" s="21">
        <v>6</v>
      </c>
      <c r="D328" s="21">
        <v>14</v>
      </c>
      <c r="E328" s="21" t="s">
        <v>307</v>
      </c>
      <c r="F328" s="21">
        <v>0</v>
      </c>
      <c r="G328" s="21">
        <v>0.34</v>
      </c>
      <c r="H328" s="21">
        <v>14.86</v>
      </c>
      <c r="I328" s="21">
        <v>437.06</v>
      </c>
    </row>
    <row r="329" spans="1:9" ht="15" customHeight="1" x14ac:dyDescent="0.3">
      <c r="A329" s="21" t="s">
        <v>718</v>
      </c>
      <c r="B329" s="21">
        <v>2017</v>
      </c>
      <c r="C329" s="21">
        <v>6</v>
      </c>
      <c r="D329" s="21">
        <v>15</v>
      </c>
      <c r="E329" s="21" t="s">
        <v>310</v>
      </c>
      <c r="F329" s="21">
        <v>0</v>
      </c>
      <c r="G329" s="21">
        <v>0.34</v>
      </c>
      <c r="H329" s="21">
        <v>15.15</v>
      </c>
      <c r="I329" s="21">
        <v>445.59</v>
      </c>
    </row>
    <row r="330" spans="1:9" ht="15" customHeight="1" x14ac:dyDescent="0.3">
      <c r="A330" s="21" t="s">
        <v>719</v>
      </c>
      <c r="B330" s="21">
        <v>2017</v>
      </c>
      <c r="C330" s="21">
        <v>6</v>
      </c>
      <c r="D330" s="21">
        <v>16</v>
      </c>
      <c r="E330" s="21" t="s">
        <v>313</v>
      </c>
      <c r="F330" s="21">
        <v>0</v>
      </c>
      <c r="G330" s="21">
        <v>0.37</v>
      </c>
      <c r="H330" s="21">
        <v>16.14</v>
      </c>
      <c r="I330" s="21">
        <v>436.22</v>
      </c>
    </row>
    <row r="331" spans="1:9" ht="15" customHeight="1" x14ac:dyDescent="0.3">
      <c r="A331" s="21" t="s">
        <v>720</v>
      </c>
      <c r="B331" s="21">
        <v>2017</v>
      </c>
      <c r="C331" s="21">
        <v>6</v>
      </c>
      <c r="D331" s="21">
        <v>17</v>
      </c>
      <c r="E331" s="21" t="s">
        <v>316</v>
      </c>
      <c r="F331" s="21">
        <v>1</v>
      </c>
      <c r="G331" s="21">
        <v>0.28999999999999998</v>
      </c>
      <c r="H331" s="21">
        <v>12.79</v>
      </c>
      <c r="I331" s="21">
        <v>441.03</v>
      </c>
    </row>
    <row r="332" spans="1:9" ht="15" customHeight="1" x14ac:dyDescent="0.3">
      <c r="A332" s="21" t="s">
        <v>721</v>
      </c>
      <c r="B332" s="21">
        <v>2017</v>
      </c>
      <c r="C332" s="21">
        <v>6</v>
      </c>
      <c r="D332" s="21">
        <v>18</v>
      </c>
      <c r="E332" s="21" t="s">
        <v>319</v>
      </c>
      <c r="F332" s="21">
        <v>1</v>
      </c>
      <c r="G332" s="21">
        <v>0.3</v>
      </c>
      <c r="H332" s="21">
        <v>13.02</v>
      </c>
      <c r="I332" s="21">
        <v>434</v>
      </c>
    </row>
    <row r="333" spans="1:9" ht="15" customHeight="1" x14ac:dyDescent="0.3">
      <c r="A333" s="21" t="s">
        <v>722</v>
      </c>
      <c r="B333" s="21">
        <v>2017</v>
      </c>
      <c r="C333" s="21">
        <v>6</v>
      </c>
      <c r="D333" s="21">
        <v>19</v>
      </c>
      <c r="E333" s="21" t="s">
        <v>299</v>
      </c>
      <c r="F333" s="21">
        <v>0</v>
      </c>
      <c r="G333" s="21">
        <v>0.35</v>
      </c>
      <c r="H333" s="21">
        <v>15.38</v>
      </c>
      <c r="I333" s="21">
        <v>439.43</v>
      </c>
    </row>
    <row r="334" spans="1:9" ht="15" customHeight="1" x14ac:dyDescent="0.3">
      <c r="A334" s="21" t="s">
        <v>723</v>
      </c>
      <c r="B334" s="21">
        <v>2017</v>
      </c>
      <c r="C334" s="21">
        <v>6</v>
      </c>
      <c r="D334" s="21">
        <v>20</v>
      </c>
      <c r="E334" s="21" t="s">
        <v>303</v>
      </c>
      <c r="F334" s="21">
        <v>0</v>
      </c>
      <c r="G334" s="21">
        <v>0.36</v>
      </c>
      <c r="H334" s="21">
        <v>15.94</v>
      </c>
      <c r="I334" s="21">
        <v>442.78</v>
      </c>
    </row>
    <row r="335" spans="1:9" ht="15" customHeight="1" x14ac:dyDescent="0.3">
      <c r="A335" s="21" t="s">
        <v>724</v>
      </c>
      <c r="B335" s="21">
        <v>2017</v>
      </c>
      <c r="C335" s="21">
        <v>6</v>
      </c>
      <c r="D335" s="21">
        <v>21</v>
      </c>
      <c r="E335" s="21" t="s">
        <v>307</v>
      </c>
      <c r="F335" s="21">
        <v>0</v>
      </c>
      <c r="G335" s="21">
        <v>0.33</v>
      </c>
      <c r="H335" s="21">
        <v>14.55</v>
      </c>
      <c r="I335" s="21">
        <v>440.91</v>
      </c>
    </row>
    <row r="336" spans="1:9" ht="15" customHeight="1" x14ac:dyDescent="0.3">
      <c r="A336" s="21" t="s">
        <v>725</v>
      </c>
      <c r="B336" s="21">
        <v>2017</v>
      </c>
      <c r="C336" s="21">
        <v>6</v>
      </c>
      <c r="D336" s="21">
        <v>22</v>
      </c>
      <c r="E336" s="21" t="s">
        <v>310</v>
      </c>
      <c r="F336" s="21">
        <v>0</v>
      </c>
      <c r="G336" s="21">
        <v>0.33</v>
      </c>
      <c r="H336" s="21">
        <v>14.45</v>
      </c>
      <c r="I336" s="21">
        <v>437.88</v>
      </c>
    </row>
    <row r="337" spans="1:9" ht="15" customHeight="1" x14ac:dyDescent="0.3">
      <c r="A337" s="21" t="s">
        <v>726</v>
      </c>
      <c r="B337" s="21">
        <v>2017</v>
      </c>
      <c r="C337" s="21">
        <v>6</v>
      </c>
      <c r="D337" s="21">
        <v>23</v>
      </c>
      <c r="E337" s="21" t="s">
        <v>313</v>
      </c>
      <c r="F337" s="21">
        <v>0</v>
      </c>
      <c r="G337" s="21">
        <v>0.38</v>
      </c>
      <c r="H337" s="21">
        <v>16.72</v>
      </c>
      <c r="I337" s="21">
        <v>440</v>
      </c>
    </row>
    <row r="338" spans="1:9" ht="15" customHeight="1" x14ac:dyDescent="0.3">
      <c r="A338" s="21" t="s">
        <v>727</v>
      </c>
      <c r="B338" s="21">
        <v>2017</v>
      </c>
      <c r="C338" s="21">
        <v>6</v>
      </c>
      <c r="D338" s="21">
        <v>24</v>
      </c>
      <c r="E338" s="21" t="s">
        <v>316</v>
      </c>
      <c r="F338" s="21">
        <v>1</v>
      </c>
      <c r="G338" s="21">
        <v>0.3</v>
      </c>
      <c r="H338" s="21">
        <v>13.11</v>
      </c>
      <c r="I338" s="21">
        <v>437</v>
      </c>
    </row>
    <row r="339" spans="1:9" ht="15" customHeight="1" x14ac:dyDescent="0.3">
      <c r="A339" s="21" t="s">
        <v>728</v>
      </c>
      <c r="B339" s="21">
        <v>2017</v>
      </c>
      <c r="C339" s="21">
        <v>6</v>
      </c>
      <c r="D339" s="21">
        <v>25</v>
      </c>
      <c r="E339" s="21" t="s">
        <v>319</v>
      </c>
      <c r="F339" s="21">
        <v>1</v>
      </c>
      <c r="G339" s="21">
        <v>0.3</v>
      </c>
      <c r="H339" s="21">
        <v>13.03</v>
      </c>
      <c r="I339" s="21">
        <v>434.33</v>
      </c>
    </row>
    <row r="340" spans="1:9" ht="15" customHeight="1" x14ac:dyDescent="0.3">
      <c r="A340" s="21" t="s">
        <v>729</v>
      </c>
      <c r="B340" s="21">
        <v>2017</v>
      </c>
      <c r="C340" s="21">
        <v>6</v>
      </c>
      <c r="D340" s="21">
        <v>26</v>
      </c>
      <c r="E340" s="21" t="s">
        <v>299</v>
      </c>
      <c r="F340" s="21">
        <v>0</v>
      </c>
      <c r="G340" s="21">
        <v>0.36</v>
      </c>
      <c r="H340" s="21">
        <v>16.03</v>
      </c>
      <c r="I340" s="21">
        <v>445.28</v>
      </c>
    </row>
    <row r="341" spans="1:9" ht="15" customHeight="1" x14ac:dyDescent="0.3">
      <c r="A341" s="21" t="s">
        <v>730</v>
      </c>
      <c r="B341" s="21">
        <v>2017</v>
      </c>
      <c r="C341" s="21">
        <v>6</v>
      </c>
      <c r="D341" s="21">
        <v>27</v>
      </c>
      <c r="E341" s="21" t="s">
        <v>303</v>
      </c>
      <c r="F341" s="21">
        <v>0</v>
      </c>
      <c r="G341" s="21">
        <v>0.34</v>
      </c>
      <c r="H341" s="21">
        <v>14.99</v>
      </c>
      <c r="I341" s="21">
        <v>440.88</v>
      </c>
    </row>
    <row r="342" spans="1:9" ht="15" customHeight="1" x14ac:dyDescent="0.3">
      <c r="A342" s="21" t="s">
        <v>731</v>
      </c>
      <c r="B342" s="21">
        <v>2017</v>
      </c>
      <c r="C342" s="21">
        <v>6</v>
      </c>
      <c r="D342" s="21">
        <v>28</v>
      </c>
      <c r="E342" s="21" t="s">
        <v>307</v>
      </c>
      <c r="F342" s="21">
        <v>0</v>
      </c>
      <c r="G342" s="21">
        <v>0.33</v>
      </c>
      <c r="H342" s="21">
        <v>14.6</v>
      </c>
      <c r="I342" s="21">
        <v>442.42</v>
      </c>
    </row>
    <row r="343" spans="1:9" ht="15" customHeight="1" x14ac:dyDescent="0.3">
      <c r="A343" s="21" t="s">
        <v>732</v>
      </c>
      <c r="B343" s="21">
        <v>2017</v>
      </c>
      <c r="C343" s="21">
        <v>6</v>
      </c>
      <c r="D343" s="21">
        <v>29</v>
      </c>
      <c r="E343" s="21" t="s">
        <v>310</v>
      </c>
      <c r="F343" s="21">
        <v>0</v>
      </c>
      <c r="G343" s="21">
        <v>0.39</v>
      </c>
      <c r="H343" s="21">
        <v>17.29</v>
      </c>
      <c r="I343" s="21">
        <v>443.33</v>
      </c>
    </row>
    <row r="344" spans="1:9" ht="15" customHeight="1" x14ac:dyDescent="0.3">
      <c r="A344" s="21" t="s">
        <v>733</v>
      </c>
      <c r="B344" s="21">
        <v>2017</v>
      </c>
      <c r="C344" s="21">
        <v>6</v>
      </c>
      <c r="D344" s="21">
        <v>30</v>
      </c>
      <c r="E344" s="21" t="s">
        <v>313</v>
      </c>
      <c r="F344" s="21">
        <v>0</v>
      </c>
      <c r="G344" s="21">
        <v>0.41</v>
      </c>
      <c r="H344" s="21">
        <v>18.28</v>
      </c>
      <c r="I344" s="21">
        <v>445.85</v>
      </c>
    </row>
    <row r="345" spans="1:9" ht="15" customHeight="1" x14ac:dyDescent="0.3">
      <c r="A345" s="21" t="s">
        <v>109</v>
      </c>
      <c r="B345" s="21">
        <v>2017</v>
      </c>
      <c r="C345" s="21">
        <v>7</v>
      </c>
      <c r="D345" s="21">
        <v>1</v>
      </c>
      <c r="E345" s="21" t="s">
        <v>316</v>
      </c>
      <c r="F345" s="21">
        <v>1</v>
      </c>
      <c r="G345" s="21">
        <v>0.54</v>
      </c>
      <c r="H345" s="21">
        <v>17.61</v>
      </c>
      <c r="I345" s="21">
        <v>326.11</v>
      </c>
    </row>
    <row r="346" spans="1:9" ht="15" customHeight="1" x14ac:dyDescent="0.3">
      <c r="A346" s="21" t="s">
        <v>734</v>
      </c>
      <c r="B346" s="21">
        <v>2017</v>
      </c>
      <c r="C346" s="21">
        <v>7</v>
      </c>
      <c r="D346" s="21">
        <v>2</v>
      </c>
      <c r="E346" s="21" t="s">
        <v>319</v>
      </c>
      <c r="F346" s="21">
        <v>1</v>
      </c>
      <c r="G346" s="21">
        <v>0.52</v>
      </c>
      <c r="H346" s="21">
        <v>16.940000000000001</v>
      </c>
      <c r="I346" s="21">
        <v>325.77</v>
      </c>
    </row>
    <row r="347" spans="1:9" ht="15" customHeight="1" x14ac:dyDescent="0.3">
      <c r="A347" s="21" t="s">
        <v>735</v>
      </c>
      <c r="B347" s="21">
        <v>2017</v>
      </c>
      <c r="C347" s="21">
        <v>7</v>
      </c>
      <c r="D347" s="21">
        <v>3</v>
      </c>
      <c r="E347" s="21" t="s">
        <v>299</v>
      </c>
      <c r="F347" s="21">
        <v>0</v>
      </c>
      <c r="G347" s="21">
        <v>0.55000000000000004</v>
      </c>
      <c r="H347" s="21">
        <v>17.86</v>
      </c>
      <c r="I347" s="21">
        <v>324.73</v>
      </c>
    </row>
    <row r="348" spans="1:9" ht="15" customHeight="1" x14ac:dyDescent="0.3">
      <c r="A348" s="21" t="s">
        <v>736</v>
      </c>
      <c r="B348" s="21">
        <v>2017</v>
      </c>
      <c r="C348" s="21">
        <v>7</v>
      </c>
      <c r="D348" s="21">
        <v>4</v>
      </c>
      <c r="E348" s="21" t="s">
        <v>303</v>
      </c>
      <c r="F348" s="21">
        <v>0</v>
      </c>
      <c r="G348" s="21">
        <v>0.53</v>
      </c>
      <c r="H348" s="21">
        <v>17.25</v>
      </c>
      <c r="I348" s="21">
        <v>325.47000000000003</v>
      </c>
    </row>
    <row r="349" spans="1:9" ht="15" customHeight="1" x14ac:dyDescent="0.3">
      <c r="A349" s="21" t="s">
        <v>737</v>
      </c>
      <c r="B349" s="21">
        <v>2017</v>
      </c>
      <c r="C349" s="21">
        <v>7</v>
      </c>
      <c r="D349" s="21">
        <v>5</v>
      </c>
      <c r="E349" s="21" t="s">
        <v>307</v>
      </c>
      <c r="F349" s="21">
        <v>0</v>
      </c>
      <c r="G349" s="21">
        <v>0.54</v>
      </c>
      <c r="H349" s="21">
        <v>17.64</v>
      </c>
      <c r="I349" s="21">
        <v>326.67</v>
      </c>
    </row>
    <row r="350" spans="1:9" ht="15" customHeight="1" x14ac:dyDescent="0.3">
      <c r="A350" s="21" t="s">
        <v>738</v>
      </c>
      <c r="B350" s="21">
        <v>2017</v>
      </c>
      <c r="C350" s="21">
        <v>7</v>
      </c>
      <c r="D350" s="21">
        <v>6</v>
      </c>
      <c r="E350" s="21" t="s">
        <v>310</v>
      </c>
      <c r="F350" s="21">
        <v>0</v>
      </c>
      <c r="G350" s="21">
        <v>0.53</v>
      </c>
      <c r="H350" s="21">
        <v>17.12</v>
      </c>
      <c r="I350" s="21">
        <v>323.02</v>
      </c>
    </row>
    <row r="351" spans="1:9" ht="15" customHeight="1" x14ac:dyDescent="0.3">
      <c r="A351" s="21" t="s">
        <v>739</v>
      </c>
      <c r="B351" s="21">
        <v>2017</v>
      </c>
      <c r="C351" s="21">
        <v>7</v>
      </c>
      <c r="D351" s="21">
        <v>7</v>
      </c>
      <c r="E351" s="21" t="s">
        <v>313</v>
      </c>
      <c r="F351" s="21">
        <v>0</v>
      </c>
      <c r="G351" s="21">
        <v>0.56999999999999995</v>
      </c>
      <c r="H351" s="21">
        <v>18.38</v>
      </c>
      <c r="I351" s="21">
        <v>322.45999999999998</v>
      </c>
    </row>
    <row r="352" spans="1:9" ht="15" customHeight="1" x14ac:dyDescent="0.3">
      <c r="A352" s="21" t="s">
        <v>740</v>
      </c>
      <c r="B352" s="21">
        <v>2017</v>
      </c>
      <c r="C352" s="21">
        <v>7</v>
      </c>
      <c r="D352" s="21">
        <v>8</v>
      </c>
      <c r="E352" s="21" t="s">
        <v>316</v>
      </c>
      <c r="F352" s="21">
        <v>1</v>
      </c>
      <c r="G352" s="21">
        <v>0.46</v>
      </c>
      <c r="H352" s="21">
        <v>14.93</v>
      </c>
      <c r="I352" s="21">
        <v>324.57</v>
      </c>
    </row>
    <row r="353" spans="1:9" ht="15" customHeight="1" x14ac:dyDescent="0.3">
      <c r="A353" s="21" t="s">
        <v>741</v>
      </c>
      <c r="B353" s="21">
        <v>2017</v>
      </c>
      <c r="C353" s="21">
        <v>7</v>
      </c>
      <c r="D353" s="21">
        <v>9</v>
      </c>
      <c r="E353" s="21" t="s">
        <v>319</v>
      </c>
      <c r="F353" s="21">
        <v>1</v>
      </c>
      <c r="G353" s="21">
        <v>0.46</v>
      </c>
      <c r="H353" s="21">
        <v>14.93</v>
      </c>
      <c r="I353" s="21">
        <v>324.57</v>
      </c>
    </row>
    <row r="354" spans="1:9" ht="15" customHeight="1" x14ac:dyDescent="0.3">
      <c r="A354" s="21" t="s">
        <v>742</v>
      </c>
      <c r="B354" s="21">
        <v>2017</v>
      </c>
      <c r="C354" s="21">
        <v>7</v>
      </c>
      <c r="D354" s="21">
        <v>10</v>
      </c>
      <c r="E354" s="21" t="s">
        <v>299</v>
      </c>
      <c r="F354" s="21">
        <v>0</v>
      </c>
      <c r="G354" s="21">
        <v>0.55000000000000004</v>
      </c>
      <c r="H354" s="21">
        <v>18.03</v>
      </c>
      <c r="I354" s="21">
        <v>327.82</v>
      </c>
    </row>
    <row r="355" spans="1:9" ht="15" customHeight="1" x14ac:dyDescent="0.3">
      <c r="A355" s="21" t="s">
        <v>743</v>
      </c>
      <c r="B355" s="21">
        <v>2017</v>
      </c>
      <c r="C355" s="21">
        <v>7</v>
      </c>
      <c r="D355" s="21">
        <v>11</v>
      </c>
      <c r="E355" s="21" t="s">
        <v>303</v>
      </c>
      <c r="F355" s="21">
        <v>0</v>
      </c>
      <c r="G355" s="21">
        <v>0.53</v>
      </c>
      <c r="H355" s="21">
        <v>17.170000000000002</v>
      </c>
      <c r="I355" s="21">
        <v>323.95999999999998</v>
      </c>
    </row>
    <row r="356" spans="1:9" ht="15" customHeight="1" x14ac:dyDescent="0.3">
      <c r="A356" s="21" t="s">
        <v>744</v>
      </c>
      <c r="B356" s="21">
        <v>2017</v>
      </c>
      <c r="C356" s="21">
        <v>7</v>
      </c>
      <c r="D356" s="21">
        <v>12</v>
      </c>
      <c r="E356" s="21" t="s">
        <v>307</v>
      </c>
      <c r="F356" s="21">
        <v>0</v>
      </c>
      <c r="G356" s="21">
        <v>0.54</v>
      </c>
      <c r="H356" s="21">
        <v>17.54</v>
      </c>
      <c r="I356" s="21">
        <v>324.81</v>
      </c>
    </row>
    <row r="357" spans="1:9" ht="15" customHeight="1" x14ac:dyDescent="0.3">
      <c r="A357" s="21" t="s">
        <v>745</v>
      </c>
      <c r="B357" s="21">
        <v>2017</v>
      </c>
      <c r="C357" s="21">
        <v>7</v>
      </c>
      <c r="D357" s="21">
        <v>13</v>
      </c>
      <c r="E357" s="21" t="s">
        <v>310</v>
      </c>
      <c r="F357" s="21">
        <v>0</v>
      </c>
      <c r="G357" s="21">
        <v>0.51</v>
      </c>
      <c r="H357" s="21">
        <v>16.66</v>
      </c>
      <c r="I357" s="21">
        <v>326.67</v>
      </c>
    </row>
    <row r="358" spans="1:9" ht="15" customHeight="1" x14ac:dyDescent="0.3">
      <c r="A358" s="21" t="s">
        <v>746</v>
      </c>
      <c r="B358" s="21">
        <v>2017</v>
      </c>
      <c r="C358" s="21">
        <v>7</v>
      </c>
      <c r="D358" s="21">
        <v>14</v>
      </c>
      <c r="E358" s="21" t="s">
        <v>313</v>
      </c>
      <c r="F358" s="21">
        <v>0</v>
      </c>
      <c r="G358" s="21">
        <v>0.56000000000000005</v>
      </c>
      <c r="H358" s="21">
        <v>18.079999999999998</v>
      </c>
      <c r="I358" s="21">
        <v>322.86</v>
      </c>
    </row>
    <row r="359" spans="1:9" ht="15" customHeight="1" x14ac:dyDescent="0.3">
      <c r="A359" s="21" t="s">
        <v>747</v>
      </c>
      <c r="B359" s="21">
        <v>2017</v>
      </c>
      <c r="C359" s="21">
        <v>7</v>
      </c>
      <c r="D359" s="21">
        <v>15</v>
      </c>
      <c r="E359" s="21" t="s">
        <v>316</v>
      </c>
      <c r="F359" s="21">
        <v>1</v>
      </c>
      <c r="G359" s="21">
        <v>0.44</v>
      </c>
      <c r="H359" s="21">
        <v>14.43</v>
      </c>
      <c r="I359" s="21">
        <v>327.95</v>
      </c>
    </row>
    <row r="360" spans="1:9" ht="15" customHeight="1" x14ac:dyDescent="0.3">
      <c r="A360" s="21" t="s">
        <v>748</v>
      </c>
      <c r="B360" s="21">
        <v>2017</v>
      </c>
      <c r="C360" s="21">
        <v>7</v>
      </c>
      <c r="D360" s="21">
        <v>16</v>
      </c>
      <c r="E360" s="21" t="s">
        <v>319</v>
      </c>
      <c r="F360" s="21">
        <v>1</v>
      </c>
      <c r="G360" s="21">
        <v>0.45</v>
      </c>
      <c r="H360" s="21">
        <v>14.69</v>
      </c>
      <c r="I360" s="21">
        <v>326.44</v>
      </c>
    </row>
    <row r="361" spans="1:9" ht="15" customHeight="1" x14ac:dyDescent="0.3">
      <c r="A361" s="21" t="s">
        <v>749</v>
      </c>
      <c r="B361" s="21">
        <v>2017</v>
      </c>
      <c r="C361" s="21">
        <v>7</v>
      </c>
      <c r="D361" s="21">
        <v>17</v>
      </c>
      <c r="E361" s="21" t="s">
        <v>299</v>
      </c>
      <c r="F361" s="21">
        <v>0</v>
      </c>
      <c r="G361" s="21">
        <v>0.56999999999999995</v>
      </c>
      <c r="H361" s="21">
        <v>18.45</v>
      </c>
      <c r="I361" s="21">
        <v>323.68</v>
      </c>
    </row>
    <row r="362" spans="1:9" ht="15" customHeight="1" x14ac:dyDescent="0.3">
      <c r="A362" s="21" t="s">
        <v>750</v>
      </c>
      <c r="B362" s="21">
        <v>2017</v>
      </c>
      <c r="C362" s="21">
        <v>7</v>
      </c>
      <c r="D362" s="21">
        <v>18</v>
      </c>
      <c r="E362" s="21" t="s">
        <v>303</v>
      </c>
      <c r="F362" s="21">
        <v>0</v>
      </c>
      <c r="G362" s="21">
        <v>0.56000000000000005</v>
      </c>
      <c r="H362" s="21">
        <v>18.190000000000001</v>
      </c>
      <c r="I362" s="21">
        <v>324.82</v>
      </c>
    </row>
    <row r="363" spans="1:9" ht="15" customHeight="1" x14ac:dyDescent="0.3">
      <c r="A363" s="21" t="s">
        <v>751</v>
      </c>
      <c r="B363" s="21">
        <v>2017</v>
      </c>
      <c r="C363" s="21">
        <v>7</v>
      </c>
      <c r="D363" s="21">
        <v>19</v>
      </c>
      <c r="E363" s="21" t="s">
        <v>307</v>
      </c>
      <c r="F363" s="21">
        <v>0</v>
      </c>
      <c r="G363" s="21">
        <v>0.55000000000000004</v>
      </c>
      <c r="H363" s="21">
        <v>17.87</v>
      </c>
      <c r="I363" s="21">
        <v>324.91000000000003</v>
      </c>
    </row>
    <row r="364" spans="1:9" ht="15" customHeight="1" x14ac:dyDescent="0.3">
      <c r="A364" s="21" t="s">
        <v>752</v>
      </c>
      <c r="B364" s="21">
        <v>2017</v>
      </c>
      <c r="C364" s="21">
        <v>7</v>
      </c>
      <c r="D364" s="21">
        <v>20</v>
      </c>
      <c r="E364" s="21" t="s">
        <v>310</v>
      </c>
      <c r="F364" s="21">
        <v>0</v>
      </c>
      <c r="G364" s="21">
        <v>0.53</v>
      </c>
      <c r="H364" s="21">
        <v>17.34</v>
      </c>
      <c r="I364" s="21">
        <v>327.17</v>
      </c>
    </row>
    <row r="365" spans="1:9" ht="15" customHeight="1" x14ac:dyDescent="0.3">
      <c r="A365" s="21" t="s">
        <v>753</v>
      </c>
      <c r="B365" s="21">
        <v>2017</v>
      </c>
      <c r="C365" s="21">
        <v>7</v>
      </c>
      <c r="D365" s="21">
        <v>21</v>
      </c>
      <c r="E365" s="21" t="s">
        <v>313</v>
      </c>
      <c r="F365" s="21">
        <v>0</v>
      </c>
      <c r="G365" s="21">
        <v>0.57999999999999996</v>
      </c>
      <c r="H365" s="21">
        <v>18.8</v>
      </c>
      <c r="I365" s="21">
        <v>324.14</v>
      </c>
    </row>
    <row r="366" spans="1:9" ht="15" customHeight="1" x14ac:dyDescent="0.3">
      <c r="A366" s="21" t="s">
        <v>754</v>
      </c>
      <c r="B366" s="21">
        <v>2017</v>
      </c>
      <c r="C366" s="21">
        <v>7</v>
      </c>
      <c r="D366" s="21">
        <v>22</v>
      </c>
      <c r="E366" s="21" t="s">
        <v>316</v>
      </c>
      <c r="F366" s="21">
        <v>1</v>
      </c>
      <c r="G366" s="21">
        <v>0.44</v>
      </c>
      <c r="H366" s="21">
        <v>14.28</v>
      </c>
      <c r="I366" s="21">
        <v>324.55</v>
      </c>
    </row>
    <row r="367" spans="1:9" ht="15" customHeight="1" x14ac:dyDescent="0.3">
      <c r="A367" s="21" t="s">
        <v>755</v>
      </c>
      <c r="B367" s="21">
        <v>2017</v>
      </c>
      <c r="C367" s="21">
        <v>7</v>
      </c>
      <c r="D367" s="21">
        <v>23</v>
      </c>
      <c r="E367" s="21" t="s">
        <v>319</v>
      </c>
      <c r="F367" s="21">
        <v>1</v>
      </c>
      <c r="G367" s="21">
        <v>0.45</v>
      </c>
      <c r="H367" s="21">
        <v>14.8</v>
      </c>
      <c r="I367" s="21">
        <v>328.89</v>
      </c>
    </row>
    <row r="368" spans="1:9" ht="15" customHeight="1" x14ac:dyDescent="0.3">
      <c r="A368" s="21" t="s">
        <v>756</v>
      </c>
      <c r="B368" s="21">
        <v>2017</v>
      </c>
      <c r="C368" s="21">
        <v>7</v>
      </c>
      <c r="D368" s="21">
        <v>24</v>
      </c>
      <c r="E368" s="21" t="s">
        <v>299</v>
      </c>
      <c r="F368" s="21">
        <v>0</v>
      </c>
      <c r="G368" s="21">
        <v>0.56000000000000005</v>
      </c>
      <c r="H368" s="21">
        <v>18.14</v>
      </c>
      <c r="I368" s="21">
        <v>323.93</v>
      </c>
    </row>
    <row r="369" spans="1:9" ht="15" customHeight="1" x14ac:dyDescent="0.3">
      <c r="A369" s="21" t="s">
        <v>757</v>
      </c>
      <c r="B369" s="21">
        <v>2017</v>
      </c>
      <c r="C369" s="21">
        <v>7</v>
      </c>
      <c r="D369" s="21">
        <v>25</v>
      </c>
      <c r="E369" s="21" t="s">
        <v>303</v>
      </c>
      <c r="F369" s="21">
        <v>0</v>
      </c>
      <c r="G369" s="21">
        <v>0.54</v>
      </c>
      <c r="H369" s="21">
        <v>17.59</v>
      </c>
      <c r="I369" s="21">
        <v>325.74</v>
      </c>
    </row>
    <row r="370" spans="1:9" ht="15" customHeight="1" x14ac:dyDescent="0.3">
      <c r="A370" s="21" t="s">
        <v>758</v>
      </c>
      <c r="B370" s="21">
        <v>2017</v>
      </c>
      <c r="C370" s="21">
        <v>7</v>
      </c>
      <c r="D370" s="21">
        <v>26</v>
      </c>
      <c r="E370" s="21" t="s">
        <v>307</v>
      </c>
      <c r="F370" s="21">
        <v>0</v>
      </c>
      <c r="G370" s="21">
        <v>0.52</v>
      </c>
      <c r="H370" s="21">
        <v>16.989999999999998</v>
      </c>
      <c r="I370" s="21">
        <v>326.73</v>
      </c>
    </row>
    <row r="371" spans="1:9" ht="15" customHeight="1" x14ac:dyDescent="0.3">
      <c r="A371" s="21" t="s">
        <v>759</v>
      </c>
      <c r="B371" s="21">
        <v>2017</v>
      </c>
      <c r="C371" s="21">
        <v>7</v>
      </c>
      <c r="D371" s="21">
        <v>27</v>
      </c>
      <c r="E371" s="21" t="s">
        <v>310</v>
      </c>
      <c r="F371" s="21">
        <v>0</v>
      </c>
      <c r="G371" s="21">
        <v>0.54</v>
      </c>
      <c r="H371" s="21">
        <v>17.690000000000001</v>
      </c>
      <c r="I371" s="21">
        <v>327.58999999999997</v>
      </c>
    </row>
    <row r="372" spans="1:9" ht="15" customHeight="1" x14ac:dyDescent="0.3">
      <c r="A372" s="21" t="s">
        <v>760</v>
      </c>
      <c r="B372" s="21">
        <v>2017</v>
      </c>
      <c r="C372" s="21">
        <v>7</v>
      </c>
      <c r="D372" s="21">
        <v>28</v>
      </c>
      <c r="E372" s="21" t="s">
        <v>313</v>
      </c>
      <c r="F372" s="21">
        <v>0</v>
      </c>
      <c r="G372" s="21">
        <v>0.6</v>
      </c>
      <c r="H372" s="21">
        <v>19.61</v>
      </c>
      <c r="I372" s="21">
        <v>326.83</v>
      </c>
    </row>
    <row r="373" spans="1:9" ht="15" customHeight="1" x14ac:dyDescent="0.3">
      <c r="A373" s="21" t="s">
        <v>761</v>
      </c>
      <c r="B373" s="21">
        <v>2017</v>
      </c>
      <c r="C373" s="21">
        <v>7</v>
      </c>
      <c r="D373" s="21">
        <v>29</v>
      </c>
      <c r="E373" s="21" t="s">
        <v>316</v>
      </c>
      <c r="F373" s="21">
        <v>1</v>
      </c>
      <c r="G373" s="21">
        <v>0.45</v>
      </c>
      <c r="H373" s="21">
        <v>14.75</v>
      </c>
      <c r="I373" s="21">
        <v>327.78</v>
      </c>
    </row>
    <row r="374" spans="1:9" ht="15" customHeight="1" x14ac:dyDescent="0.3">
      <c r="A374" s="21" t="s">
        <v>762</v>
      </c>
      <c r="B374" s="21">
        <v>2017</v>
      </c>
      <c r="C374" s="21">
        <v>7</v>
      </c>
      <c r="D374" s="21">
        <v>30</v>
      </c>
      <c r="E374" s="21" t="s">
        <v>319</v>
      </c>
      <c r="F374" s="21">
        <v>1</v>
      </c>
      <c r="G374" s="21">
        <v>0.53</v>
      </c>
      <c r="H374" s="21">
        <v>17.27</v>
      </c>
      <c r="I374" s="21">
        <v>325.85000000000002</v>
      </c>
    </row>
    <row r="375" spans="1:9" ht="15" customHeight="1" x14ac:dyDescent="0.3">
      <c r="A375" s="21" t="s">
        <v>763</v>
      </c>
      <c r="B375" s="21">
        <v>2017</v>
      </c>
      <c r="C375" s="21">
        <v>7</v>
      </c>
      <c r="D375" s="21">
        <v>31</v>
      </c>
      <c r="E375" s="21" t="s">
        <v>299</v>
      </c>
      <c r="F375" s="21">
        <v>0</v>
      </c>
      <c r="G375" s="21">
        <v>0.66</v>
      </c>
      <c r="H375" s="21">
        <v>21.45</v>
      </c>
      <c r="I375" s="21">
        <v>325</v>
      </c>
    </row>
    <row r="376" spans="1:9" ht="15" customHeight="1" x14ac:dyDescent="0.3">
      <c r="A376" s="21" t="s">
        <v>110</v>
      </c>
      <c r="B376" s="21">
        <v>2017</v>
      </c>
      <c r="C376" s="21">
        <v>8</v>
      </c>
      <c r="D376" s="21">
        <v>1</v>
      </c>
      <c r="E376" s="21" t="s">
        <v>303</v>
      </c>
      <c r="F376" s="21">
        <v>0</v>
      </c>
      <c r="G376" s="21">
        <v>1.1299999999999999</v>
      </c>
      <c r="H376" s="21">
        <v>38.85</v>
      </c>
      <c r="I376" s="21">
        <v>343.81</v>
      </c>
    </row>
    <row r="377" spans="1:9" ht="15" customHeight="1" x14ac:dyDescent="0.3">
      <c r="A377" s="21" t="s">
        <v>764</v>
      </c>
      <c r="B377" s="21">
        <v>2017</v>
      </c>
      <c r="C377" s="21">
        <v>8</v>
      </c>
      <c r="D377" s="21">
        <v>2</v>
      </c>
      <c r="E377" s="21" t="s">
        <v>307</v>
      </c>
      <c r="F377" s="21">
        <v>0</v>
      </c>
      <c r="G377" s="21">
        <v>1.1499999999999999</v>
      </c>
      <c r="H377" s="21">
        <v>39.590000000000003</v>
      </c>
      <c r="I377" s="21">
        <v>344.26</v>
      </c>
    </row>
    <row r="378" spans="1:9" ht="15" customHeight="1" x14ac:dyDescent="0.3">
      <c r="A378" s="21" t="s">
        <v>765</v>
      </c>
      <c r="B378" s="21">
        <v>2017</v>
      </c>
      <c r="C378" s="21">
        <v>8</v>
      </c>
      <c r="D378" s="21">
        <v>3</v>
      </c>
      <c r="E378" s="21" t="s">
        <v>310</v>
      </c>
      <c r="F378" s="21">
        <v>0</v>
      </c>
      <c r="G378" s="21">
        <v>0.99</v>
      </c>
      <c r="H378" s="21">
        <v>34.21</v>
      </c>
      <c r="I378" s="21">
        <v>345.56</v>
      </c>
    </row>
    <row r="379" spans="1:9" ht="15" customHeight="1" x14ac:dyDescent="0.3">
      <c r="A379" s="21" t="s">
        <v>766</v>
      </c>
      <c r="B379" s="21">
        <v>2017</v>
      </c>
      <c r="C379" s="21">
        <v>8</v>
      </c>
      <c r="D379" s="21">
        <v>4</v>
      </c>
      <c r="E379" s="21" t="s">
        <v>313</v>
      </c>
      <c r="F379" s="21">
        <v>0</v>
      </c>
      <c r="G379" s="21">
        <v>1.08</v>
      </c>
      <c r="H379" s="21">
        <v>37.03</v>
      </c>
      <c r="I379" s="21">
        <v>342.87</v>
      </c>
    </row>
    <row r="380" spans="1:9" ht="15" customHeight="1" x14ac:dyDescent="0.3">
      <c r="A380" s="21" t="s">
        <v>767</v>
      </c>
      <c r="B380" s="21">
        <v>2017</v>
      </c>
      <c r="C380" s="21">
        <v>8</v>
      </c>
      <c r="D380" s="21">
        <v>5</v>
      </c>
      <c r="E380" s="21" t="s">
        <v>316</v>
      </c>
      <c r="F380" s="21">
        <v>1</v>
      </c>
      <c r="G380" s="21">
        <v>0.82</v>
      </c>
      <c r="H380" s="21">
        <v>28.27</v>
      </c>
      <c r="I380" s="21">
        <v>344.76</v>
      </c>
    </row>
    <row r="381" spans="1:9" ht="15" customHeight="1" x14ac:dyDescent="0.3">
      <c r="A381" s="21" t="s">
        <v>768</v>
      </c>
      <c r="B381" s="21">
        <v>2017</v>
      </c>
      <c r="C381" s="21">
        <v>8</v>
      </c>
      <c r="D381" s="21">
        <v>6</v>
      </c>
      <c r="E381" s="21" t="s">
        <v>319</v>
      </c>
      <c r="F381" s="21">
        <v>1</v>
      </c>
      <c r="G381" s="21">
        <v>0.85</v>
      </c>
      <c r="H381" s="21">
        <v>29.09</v>
      </c>
      <c r="I381" s="21">
        <v>342.24</v>
      </c>
    </row>
    <row r="382" spans="1:9" ht="15" customHeight="1" x14ac:dyDescent="0.3">
      <c r="A382" s="21" t="s">
        <v>769</v>
      </c>
      <c r="B382" s="21">
        <v>2017</v>
      </c>
      <c r="C382" s="21">
        <v>8</v>
      </c>
      <c r="D382" s="21">
        <v>7</v>
      </c>
      <c r="E382" s="21" t="s">
        <v>299</v>
      </c>
      <c r="F382" s="21">
        <v>0</v>
      </c>
      <c r="G382" s="21">
        <v>1.06</v>
      </c>
      <c r="H382" s="21">
        <v>36.409999999999997</v>
      </c>
      <c r="I382" s="21">
        <v>343.49</v>
      </c>
    </row>
    <row r="383" spans="1:9" ht="15" customHeight="1" x14ac:dyDescent="0.3">
      <c r="A383" s="21" t="s">
        <v>770</v>
      </c>
      <c r="B383" s="21">
        <v>2017</v>
      </c>
      <c r="C383" s="21">
        <v>8</v>
      </c>
      <c r="D383" s="21">
        <v>8</v>
      </c>
      <c r="E383" s="21" t="s">
        <v>303</v>
      </c>
      <c r="F383" s="21">
        <v>0</v>
      </c>
      <c r="G383" s="21">
        <v>1.04</v>
      </c>
      <c r="H383" s="21">
        <v>35.68</v>
      </c>
      <c r="I383" s="21">
        <v>343.08</v>
      </c>
    </row>
    <row r="384" spans="1:9" ht="15" customHeight="1" x14ac:dyDescent="0.3">
      <c r="A384" s="21" t="s">
        <v>771</v>
      </c>
      <c r="B384" s="21">
        <v>2017</v>
      </c>
      <c r="C384" s="21">
        <v>8</v>
      </c>
      <c r="D384" s="21">
        <v>9</v>
      </c>
      <c r="E384" s="21" t="s">
        <v>307</v>
      </c>
      <c r="F384" s="21">
        <v>0</v>
      </c>
      <c r="G384" s="21">
        <v>1.02</v>
      </c>
      <c r="H384" s="21">
        <v>35.18</v>
      </c>
      <c r="I384" s="21">
        <v>344.9</v>
      </c>
    </row>
    <row r="385" spans="1:9" ht="15" customHeight="1" x14ac:dyDescent="0.3">
      <c r="A385" s="21" t="s">
        <v>772</v>
      </c>
      <c r="B385" s="21">
        <v>2017</v>
      </c>
      <c r="C385" s="21">
        <v>8</v>
      </c>
      <c r="D385" s="21">
        <v>10</v>
      </c>
      <c r="E385" s="21" t="s">
        <v>310</v>
      </c>
      <c r="F385" s="21">
        <v>0</v>
      </c>
      <c r="G385" s="21">
        <v>1.06</v>
      </c>
      <c r="H385" s="21">
        <v>36.4</v>
      </c>
      <c r="I385" s="21">
        <v>343.4</v>
      </c>
    </row>
    <row r="386" spans="1:9" ht="15" customHeight="1" x14ac:dyDescent="0.3">
      <c r="A386" s="21" t="s">
        <v>773</v>
      </c>
      <c r="B386" s="21">
        <v>2017</v>
      </c>
      <c r="C386" s="21">
        <v>8</v>
      </c>
      <c r="D386" s="21">
        <v>11</v>
      </c>
      <c r="E386" s="21" t="s">
        <v>313</v>
      </c>
      <c r="F386" s="21">
        <v>0</v>
      </c>
      <c r="G386" s="21">
        <v>1.05</v>
      </c>
      <c r="H386" s="21">
        <v>36.14</v>
      </c>
      <c r="I386" s="21">
        <v>344.19</v>
      </c>
    </row>
    <row r="387" spans="1:9" ht="15" customHeight="1" x14ac:dyDescent="0.3">
      <c r="A387" s="21" t="s">
        <v>774</v>
      </c>
      <c r="B387" s="21">
        <v>2017</v>
      </c>
      <c r="C387" s="21">
        <v>8</v>
      </c>
      <c r="D387" s="21">
        <v>12</v>
      </c>
      <c r="E387" s="21" t="s">
        <v>316</v>
      </c>
      <c r="F387" s="21">
        <v>1</v>
      </c>
      <c r="G387" s="21">
        <v>0.87</v>
      </c>
      <c r="H387" s="21">
        <v>29.96</v>
      </c>
      <c r="I387" s="21">
        <v>344.37</v>
      </c>
    </row>
    <row r="388" spans="1:9" ht="15" customHeight="1" x14ac:dyDescent="0.3">
      <c r="A388" s="21" t="s">
        <v>775</v>
      </c>
      <c r="B388" s="21">
        <v>2017</v>
      </c>
      <c r="C388" s="21">
        <v>8</v>
      </c>
      <c r="D388" s="21">
        <v>13</v>
      </c>
      <c r="E388" s="21" t="s">
        <v>319</v>
      </c>
      <c r="F388" s="21">
        <v>1</v>
      </c>
      <c r="G388" s="21">
        <v>0.85</v>
      </c>
      <c r="H388" s="21">
        <v>29.25</v>
      </c>
      <c r="I388" s="21">
        <v>344.12</v>
      </c>
    </row>
    <row r="389" spans="1:9" ht="15" customHeight="1" x14ac:dyDescent="0.3">
      <c r="A389" s="21" t="s">
        <v>776</v>
      </c>
      <c r="B389" s="21">
        <v>2017</v>
      </c>
      <c r="C389" s="21">
        <v>8</v>
      </c>
      <c r="D389" s="21">
        <v>14</v>
      </c>
      <c r="E389" s="21" t="s">
        <v>299</v>
      </c>
      <c r="F389" s="21">
        <v>0</v>
      </c>
      <c r="G389" s="21">
        <v>1.1100000000000001</v>
      </c>
      <c r="H389" s="21">
        <v>38.15</v>
      </c>
      <c r="I389" s="21">
        <v>343.69</v>
      </c>
    </row>
    <row r="390" spans="1:9" ht="15" customHeight="1" x14ac:dyDescent="0.3">
      <c r="A390" s="21" t="s">
        <v>777</v>
      </c>
      <c r="B390" s="21">
        <v>2017</v>
      </c>
      <c r="C390" s="21">
        <v>8</v>
      </c>
      <c r="D390" s="21">
        <v>15</v>
      </c>
      <c r="E390" s="21" t="s">
        <v>303</v>
      </c>
      <c r="F390" s="21">
        <v>0</v>
      </c>
      <c r="G390" s="21">
        <v>0.97</v>
      </c>
      <c r="H390" s="21">
        <v>33.36</v>
      </c>
      <c r="I390" s="21">
        <v>343.92</v>
      </c>
    </row>
    <row r="391" spans="1:9" ht="15" customHeight="1" x14ac:dyDescent="0.3">
      <c r="A391" s="21" t="s">
        <v>778</v>
      </c>
      <c r="B391" s="21">
        <v>2017</v>
      </c>
      <c r="C391" s="21">
        <v>8</v>
      </c>
      <c r="D391" s="21">
        <v>16</v>
      </c>
      <c r="E391" s="21" t="s">
        <v>307</v>
      </c>
      <c r="F391" s="21">
        <v>0</v>
      </c>
      <c r="G391" s="21">
        <v>0.97</v>
      </c>
      <c r="H391" s="21">
        <v>33.33</v>
      </c>
      <c r="I391" s="21">
        <v>343.61</v>
      </c>
    </row>
    <row r="392" spans="1:9" ht="15" customHeight="1" x14ac:dyDescent="0.3">
      <c r="A392" s="21" t="s">
        <v>779</v>
      </c>
      <c r="B392" s="21">
        <v>2017</v>
      </c>
      <c r="C392" s="21">
        <v>8</v>
      </c>
      <c r="D392" s="21">
        <v>17</v>
      </c>
      <c r="E392" s="21" t="s">
        <v>310</v>
      </c>
      <c r="F392" s="21">
        <v>0</v>
      </c>
      <c r="G392" s="21">
        <v>0.98</v>
      </c>
      <c r="H392" s="21">
        <v>33.58</v>
      </c>
      <c r="I392" s="21">
        <v>342.65</v>
      </c>
    </row>
    <row r="393" spans="1:9" ht="15" customHeight="1" x14ac:dyDescent="0.3">
      <c r="A393" s="21" t="s">
        <v>780</v>
      </c>
      <c r="B393" s="21">
        <v>2017</v>
      </c>
      <c r="C393" s="21">
        <v>8</v>
      </c>
      <c r="D393" s="21">
        <v>18</v>
      </c>
      <c r="E393" s="21" t="s">
        <v>313</v>
      </c>
      <c r="F393" s="21">
        <v>0</v>
      </c>
      <c r="G393" s="21">
        <v>1.01</v>
      </c>
      <c r="H393" s="21">
        <v>34.75</v>
      </c>
      <c r="I393" s="21">
        <v>344.06</v>
      </c>
    </row>
    <row r="394" spans="1:9" ht="15" customHeight="1" x14ac:dyDescent="0.3">
      <c r="A394" s="21" t="s">
        <v>781</v>
      </c>
      <c r="B394" s="21">
        <v>2017</v>
      </c>
      <c r="C394" s="21">
        <v>8</v>
      </c>
      <c r="D394" s="21">
        <v>19</v>
      </c>
      <c r="E394" s="21" t="s">
        <v>316</v>
      </c>
      <c r="F394" s="21">
        <v>1</v>
      </c>
      <c r="G394" s="21">
        <v>0.83</v>
      </c>
      <c r="H394" s="21">
        <v>28.53</v>
      </c>
      <c r="I394" s="21">
        <v>343.73</v>
      </c>
    </row>
    <row r="395" spans="1:9" ht="15" customHeight="1" x14ac:dyDescent="0.3">
      <c r="A395" s="21" t="s">
        <v>782</v>
      </c>
      <c r="B395" s="21">
        <v>2017</v>
      </c>
      <c r="C395" s="21">
        <v>8</v>
      </c>
      <c r="D395" s="21">
        <v>20</v>
      </c>
      <c r="E395" s="21" t="s">
        <v>319</v>
      </c>
      <c r="F395" s="21">
        <v>1</v>
      </c>
      <c r="G395" s="21">
        <v>0.82</v>
      </c>
      <c r="H395" s="21">
        <v>28.29</v>
      </c>
      <c r="I395" s="21">
        <v>345</v>
      </c>
    </row>
    <row r="396" spans="1:9" ht="15" customHeight="1" x14ac:dyDescent="0.3">
      <c r="A396" s="21" t="s">
        <v>783</v>
      </c>
      <c r="B396" s="21">
        <v>2017</v>
      </c>
      <c r="C396" s="21">
        <v>8</v>
      </c>
      <c r="D396" s="21">
        <v>21</v>
      </c>
      <c r="E396" s="21" t="s">
        <v>299</v>
      </c>
      <c r="F396" s="21">
        <v>0</v>
      </c>
      <c r="G396" s="21">
        <v>1.05</v>
      </c>
      <c r="H396" s="21">
        <v>36.06</v>
      </c>
      <c r="I396" s="21">
        <v>343.43</v>
      </c>
    </row>
    <row r="397" spans="1:9" ht="15" customHeight="1" x14ac:dyDescent="0.3">
      <c r="A397" s="21" t="s">
        <v>784</v>
      </c>
      <c r="B397" s="21">
        <v>2017</v>
      </c>
      <c r="C397" s="21">
        <v>8</v>
      </c>
      <c r="D397" s="21">
        <v>22</v>
      </c>
      <c r="E397" s="21" t="s">
        <v>303</v>
      </c>
      <c r="F397" s="21">
        <v>0</v>
      </c>
      <c r="G397" s="21">
        <v>1</v>
      </c>
      <c r="H397" s="21">
        <v>34.54</v>
      </c>
      <c r="I397" s="21">
        <v>345.4</v>
      </c>
    </row>
    <row r="398" spans="1:9" ht="15" customHeight="1" x14ac:dyDescent="0.3">
      <c r="A398" s="21" t="s">
        <v>785</v>
      </c>
      <c r="B398" s="21">
        <v>2017</v>
      </c>
      <c r="C398" s="21">
        <v>8</v>
      </c>
      <c r="D398" s="21">
        <v>23</v>
      </c>
      <c r="E398" s="21" t="s">
        <v>307</v>
      </c>
      <c r="F398" s="21">
        <v>0</v>
      </c>
      <c r="G398" s="21">
        <v>1.05</v>
      </c>
      <c r="H398" s="21">
        <v>36.119999999999997</v>
      </c>
      <c r="I398" s="21">
        <v>344</v>
      </c>
    </row>
    <row r="399" spans="1:9" ht="15" customHeight="1" x14ac:dyDescent="0.3">
      <c r="A399" s="21" t="s">
        <v>786</v>
      </c>
      <c r="B399" s="21">
        <v>2017</v>
      </c>
      <c r="C399" s="21">
        <v>8</v>
      </c>
      <c r="D399" s="21">
        <v>24</v>
      </c>
      <c r="E399" s="21" t="s">
        <v>310</v>
      </c>
      <c r="F399" s="21">
        <v>0</v>
      </c>
      <c r="G399" s="21">
        <v>1.02</v>
      </c>
      <c r="H399" s="21">
        <v>35.17</v>
      </c>
      <c r="I399" s="21">
        <v>344.8</v>
      </c>
    </row>
    <row r="400" spans="1:9" ht="15" customHeight="1" x14ac:dyDescent="0.3">
      <c r="A400" s="21" t="s">
        <v>787</v>
      </c>
      <c r="B400" s="21">
        <v>2017</v>
      </c>
      <c r="C400" s="21">
        <v>8</v>
      </c>
      <c r="D400" s="21">
        <v>25</v>
      </c>
      <c r="E400" s="21" t="s">
        <v>313</v>
      </c>
      <c r="F400" s="21">
        <v>0</v>
      </c>
      <c r="G400" s="21">
        <v>1.06</v>
      </c>
      <c r="H400" s="21">
        <v>36.340000000000003</v>
      </c>
      <c r="I400" s="21">
        <v>342.83</v>
      </c>
    </row>
    <row r="401" spans="1:9" ht="15" customHeight="1" x14ac:dyDescent="0.3">
      <c r="A401" s="21" t="s">
        <v>788</v>
      </c>
      <c r="B401" s="21">
        <v>2017</v>
      </c>
      <c r="C401" s="21">
        <v>8</v>
      </c>
      <c r="D401" s="21">
        <v>26</v>
      </c>
      <c r="E401" s="21" t="s">
        <v>316</v>
      </c>
      <c r="F401" s="21">
        <v>1</v>
      </c>
      <c r="G401" s="21">
        <v>0.82</v>
      </c>
      <c r="H401" s="21">
        <v>28.14</v>
      </c>
      <c r="I401" s="21">
        <v>343.17</v>
      </c>
    </row>
    <row r="402" spans="1:9" ht="15" customHeight="1" x14ac:dyDescent="0.3">
      <c r="A402" s="21" t="s">
        <v>789</v>
      </c>
      <c r="B402" s="21">
        <v>2017</v>
      </c>
      <c r="C402" s="21">
        <v>8</v>
      </c>
      <c r="D402" s="21">
        <v>27</v>
      </c>
      <c r="E402" s="21" t="s">
        <v>319</v>
      </c>
      <c r="F402" s="21">
        <v>1</v>
      </c>
      <c r="G402" s="21">
        <v>0.86</v>
      </c>
      <c r="H402" s="21">
        <v>29.57</v>
      </c>
      <c r="I402" s="21">
        <v>343.84</v>
      </c>
    </row>
    <row r="403" spans="1:9" ht="15" customHeight="1" x14ac:dyDescent="0.3">
      <c r="A403" s="21" t="s">
        <v>790</v>
      </c>
      <c r="B403" s="21">
        <v>2017</v>
      </c>
      <c r="C403" s="21">
        <v>8</v>
      </c>
      <c r="D403" s="21">
        <v>28</v>
      </c>
      <c r="E403" s="21" t="s">
        <v>299</v>
      </c>
      <c r="F403" s="21">
        <v>0</v>
      </c>
      <c r="G403" s="21">
        <v>1</v>
      </c>
      <c r="H403" s="21">
        <v>34.549999999999997</v>
      </c>
      <c r="I403" s="21">
        <v>345.5</v>
      </c>
    </row>
    <row r="404" spans="1:9" ht="15" customHeight="1" x14ac:dyDescent="0.3">
      <c r="A404" s="21" t="s">
        <v>791</v>
      </c>
      <c r="B404" s="21">
        <v>2017</v>
      </c>
      <c r="C404" s="21">
        <v>8</v>
      </c>
      <c r="D404" s="21">
        <v>29</v>
      </c>
      <c r="E404" s="21" t="s">
        <v>303</v>
      </c>
      <c r="F404" s="21">
        <v>0</v>
      </c>
      <c r="G404" s="21">
        <v>1.05</v>
      </c>
      <c r="H404" s="21">
        <v>36.07</v>
      </c>
      <c r="I404" s="21">
        <v>343.52</v>
      </c>
    </row>
    <row r="405" spans="1:9" ht="15" customHeight="1" x14ac:dyDescent="0.3">
      <c r="A405" s="21" t="s">
        <v>792</v>
      </c>
      <c r="B405" s="21">
        <v>2017</v>
      </c>
      <c r="C405" s="21">
        <v>8</v>
      </c>
      <c r="D405" s="21">
        <v>30</v>
      </c>
      <c r="E405" s="21" t="s">
        <v>307</v>
      </c>
      <c r="F405" s="21">
        <v>0</v>
      </c>
      <c r="G405" s="21">
        <v>1.18</v>
      </c>
      <c r="H405" s="21">
        <v>40.71</v>
      </c>
      <c r="I405" s="21">
        <v>345</v>
      </c>
    </row>
    <row r="406" spans="1:9" ht="15" customHeight="1" x14ac:dyDescent="0.3">
      <c r="A406" s="21" t="s">
        <v>793</v>
      </c>
      <c r="B406" s="21">
        <v>2017</v>
      </c>
      <c r="C406" s="21">
        <v>8</v>
      </c>
      <c r="D406" s="21">
        <v>31</v>
      </c>
      <c r="E406" s="21" t="s">
        <v>310</v>
      </c>
      <c r="F406" s="21">
        <v>0</v>
      </c>
      <c r="G406" s="21">
        <v>1.1299999999999999</v>
      </c>
      <c r="H406" s="21">
        <v>38.770000000000003</v>
      </c>
      <c r="I406" s="21">
        <v>343.1</v>
      </c>
    </row>
    <row r="407" spans="1:9" ht="15" customHeight="1" x14ac:dyDescent="0.3">
      <c r="A407" s="21" t="s">
        <v>111</v>
      </c>
      <c r="B407" s="21">
        <v>2017</v>
      </c>
      <c r="C407" s="21">
        <v>9</v>
      </c>
      <c r="D407" s="21">
        <v>1</v>
      </c>
      <c r="E407" s="21" t="s">
        <v>313</v>
      </c>
      <c r="F407" s="21">
        <v>0</v>
      </c>
      <c r="G407" s="21">
        <v>2.09</v>
      </c>
      <c r="H407" s="21">
        <v>77.400000000000006</v>
      </c>
      <c r="I407" s="21">
        <v>370.33</v>
      </c>
    </row>
    <row r="408" spans="1:9" ht="15" customHeight="1" x14ac:dyDescent="0.3">
      <c r="A408" s="21" t="s">
        <v>794</v>
      </c>
      <c r="B408" s="21">
        <v>2017</v>
      </c>
      <c r="C408" s="21">
        <v>9</v>
      </c>
      <c r="D408" s="21">
        <v>2</v>
      </c>
      <c r="E408" s="21" t="s">
        <v>316</v>
      </c>
      <c r="F408" s="21">
        <v>1</v>
      </c>
      <c r="G408" s="21">
        <v>1.81</v>
      </c>
      <c r="H408" s="21">
        <v>67.02</v>
      </c>
      <c r="I408" s="21">
        <v>370.28</v>
      </c>
    </row>
    <row r="409" spans="1:9" ht="15" customHeight="1" x14ac:dyDescent="0.3">
      <c r="A409" s="21" t="s">
        <v>795</v>
      </c>
      <c r="B409" s="21">
        <v>2017</v>
      </c>
      <c r="C409" s="21">
        <v>9</v>
      </c>
      <c r="D409" s="21">
        <v>3</v>
      </c>
      <c r="E409" s="21" t="s">
        <v>319</v>
      </c>
      <c r="F409" s="21">
        <v>1</v>
      </c>
      <c r="G409" s="21">
        <v>1.49</v>
      </c>
      <c r="H409" s="21">
        <v>55.39</v>
      </c>
      <c r="I409" s="21">
        <v>371.74</v>
      </c>
    </row>
    <row r="410" spans="1:9" ht="15" customHeight="1" x14ac:dyDescent="0.3">
      <c r="A410" s="21" t="s">
        <v>796</v>
      </c>
      <c r="B410" s="21">
        <v>2017</v>
      </c>
      <c r="C410" s="21">
        <v>9</v>
      </c>
      <c r="D410" s="21">
        <v>4</v>
      </c>
      <c r="E410" s="21" t="s">
        <v>299</v>
      </c>
      <c r="F410" s="21">
        <v>0</v>
      </c>
      <c r="G410" s="21">
        <v>1.92</v>
      </c>
      <c r="H410" s="21">
        <v>71.13</v>
      </c>
      <c r="I410" s="21">
        <v>370.47</v>
      </c>
    </row>
    <row r="411" spans="1:9" ht="15" customHeight="1" x14ac:dyDescent="0.3">
      <c r="A411" s="21" t="s">
        <v>797</v>
      </c>
      <c r="B411" s="21">
        <v>2017</v>
      </c>
      <c r="C411" s="21">
        <v>9</v>
      </c>
      <c r="D411" s="21">
        <v>5</v>
      </c>
      <c r="E411" s="21" t="s">
        <v>303</v>
      </c>
      <c r="F411" s="21">
        <v>0</v>
      </c>
      <c r="G411" s="21">
        <v>1.68</v>
      </c>
      <c r="H411" s="21">
        <v>62.3</v>
      </c>
      <c r="I411" s="21">
        <v>370.83</v>
      </c>
    </row>
    <row r="412" spans="1:9" ht="15" customHeight="1" x14ac:dyDescent="0.3">
      <c r="A412" s="21" t="s">
        <v>798</v>
      </c>
      <c r="B412" s="21">
        <v>2017</v>
      </c>
      <c r="C412" s="21">
        <v>9</v>
      </c>
      <c r="D412" s="21">
        <v>6</v>
      </c>
      <c r="E412" s="21" t="s">
        <v>307</v>
      </c>
      <c r="F412" s="21">
        <v>0</v>
      </c>
      <c r="G412" s="21">
        <v>1.73</v>
      </c>
      <c r="H412" s="21">
        <v>64.260000000000005</v>
      </c>
      <c r="I412" s="21">
        <v>371.45</v>
      </c>
    </row>
    <row r="413" spans="1:9" ht="15" customHeight="1" x14ac:dyDescent="0.3">
      <c r="A413" s="21" t="s">
        <v>799</v>
      </c>
      <c r="B413" s="21">
        <v>2017</v>
      </c>
      <c r="C413" s="21">
        <v>9</v>
      </c>
      <c r="D413" s="21">
        <v>7</v>
      </c>
      <c r="E413" s="21" t="s">
        <v>310</v>
      </c>
      <c r="F413" s="21">
        <v>0</v>
      </c>
      <c r="G413" s="21">
        <v>1.76</v>
      </c>
      <c r="H413" s="21">
        <v>65.44</v>
      </c>
      <c r="I413" s="21">
        <v>371.82</v>
      </c>
    </row>
    <row r="414" spans="1:9" ht="15" customHeight="1" x14ac:dyDescent="0.3">
      <c r="A414" s="21" t="s">
        <v>800</v>
      </c>
      <c r="B414" s="21">
        <v>2017</v>
      </c>
      <c r="C414" s="21">
        <v>9</v>
      </c>
      <c r="D414" s="21">
        <v>8</v>
      </c>
      <c r="E414" s="21" t="s">
        <v>313</v>
      </c>
      <c r="F414" s="21">
        <v>0</v>
      </c>
      <c r="G414" s="21">
        <v>1.91</v>
      </c>
      <c r="H414" s="21">
        <v>70.760000000000005</v>
      </c>
      <c r="I414" s="21">
        <v>370.47</v>
      </c>
    </row>
    <row r="415" spans="1:9" ht="15" customHeight="1" x14ac:dyDescent="0.3">
      <c r="A415" s="21" t="s">
        <v>801</v>
      </c>
      <c r="B415" s="21">
        <v>2017</v>
      </c>
      <c r="C415" s="21">
        <v>9</v>
      </c>
      <c r="D415" s="21">
        <v>9</v>
      </c>
      <c r="E415" s="21" t="s">
        <v>316</v>
      </c>
      <c r="F415" s="21">
        <v>1</v>
      </c>
      <c r="G415" s="21">
        <v>1.48</v>
      </c>
      <c r="H415" s="21">
        <v>54.73</v>
      </c>
      <c r="I415" s="21">
        <v>369.8</v>
      </c>
    </row>
    <row r="416" spans="1:9" ht="15" customHeight="1" x14ac:dyDescent="0.3">
      <c r="A416" s="21" t="s">
        <v>802</v>
      </c>
      <c r="B416" s="21">
        <v>2017</v>
      </c>
      <c r="C416" s="21">
        <v>9</v>
      </c>
      <c r="D416" s="21">
        <v>10</v>
      </c>
      <c r="E416" s="21" t="s">
        <v>319</v>
      </c>
      <c r="F416" s="21">
        <v>1</v>
      </c>
      <c r="G416" s="21">
        <v>1.53</v>
      </c>
      <c r="H416" s="21">
        <v>56.84</v>
      </c>
      <c r="I416" s="21">
        <v>371.5</v>
      </c>
    </row>
    <row r="417" spans="1:9" ht="15" customHeight="1" x14ac:dyDescent="0.3">
      <c r="A417" s="21" t="s">
        <v>803</v>
      </c>
      <c r="B417" s="21">
        <v>2017</v>
      </c>
      <c r="C417" s="21">
        <v>9</v>
      </c>
      <c r="D417" s="21">
        <v>11</v>
      </c>
      <c r="E417" s="21" t="s">
        <v>299</v>
      </c>
      <c r="F417" s="21">
        <v>0</v>
      </c>
      <c r="G417" s="21">
        <v>1.8</v>
      </c>
      <c r="H417" s="21">
        <v>66.61</v>
      </c>
      <c r="I417" s="21">
        <v>370.06</v>
      </c>
    </row>
    <row r="418" spans="1:9" ht="15" customHeight="1" x14ac:dyDescent="0.3">
      <c r="A418" s="21" t="s">
        <v>804</v>
      </c>
      <c r="B418" s="21">
        <v>2017</v>
      </c>
      <c r="C418" s="21">
        <v>9</v>
      </c>
      <c r="D418" s="21">
        <v>12</v>
      </c>
      <c r="E418" s="21" t="s">
        <v>303</v>
      </c>
      <c r="F418" s="21">
        <v>0</v>
      </c>
      <c r="G418" s="21">
        <v>1.76</v>
      </c>
      <c r="H418" s="21">
        <v>65.150000000000006</v>
      </c>
      <c r="I418" s="21">
        <v>370.17</v>
      </c>
    </row>
    <row r="419" spans="1:9" ht="15" customHeight="1" x14ac:dyDescent="0.3">
      <c r="A419" s="21" t="s">
        <v>805</v>
      </c>
      <c r="B419" s="21">
        <v>2017</v>
      </c>
      <c r="C419" s="21">
        <v>9</v>
      </c>
      <c r="D419" s="21">
        <v>13</v>
      </c>
      <c r="E419" s="21" t="s">
        <v>307</v>
      </c>
      <c r="F419" s="21">
        <v>0</v>
      </c>
      <c r="G419" s="21">
        <v>1.77</v>
      </c>
      <c r="H419" s="21">
        <v>65.67</v>
      </c>
      <c r="I419" s="21">
        <v>371.02</v>
      </c>
    </row>
    <row r="420" spans="1:9" ht="15" customHeight="1" x14ac:dyDescent="0.3">
      <c r="A420" s="21" t="s">
        <v>806</v>
      </c>
      <c r="B420" s="21">
        <v>2017</v>
      </c>
      <c r="C420" s="21">
        <v>9</v>
      </c>
      <c r="D420" s="21">
        <v>14</v>
      </c>
      <c r="E420" s="21" t="s">
        <v>310</v>
      </c>
      <c r="F420" s="21">
        <v>0</v>
      </c>
      <c r="G420" s="21">
        <v>1.79</v>
      </c>
      <c r="H420" s="21">
        <v>66.44</v>
      </c>
      <c r="I420" s="21">
        <v>371.17</v>
      </c>
    </row>
    <row r="421" spans="1:9" ht="15" customHeight="1" x14ac:dyDescent="0.3">
      <c r="A421" s="21" t="s">
        <v>807</v>
      </c>
      <c r="B421" s="21">
        <v>2017</v>
      </c>
      <c r="C421" s="21">
        <v>9</v>
      </c>
      <c r="D421" s="21">
        <v>15</v>
      </c>
      <c r="E421" s="21" t="s">
        <v>313</v>
      </c>
      <c r="F421" s="21">
        <v>0</v>
      </c>
      <c r="G421" s="21">
        <v>1.94</v>
      </c>
      <c r="H421" s="21">
        <v>72.06</v>
      </c>
      <c r="I421" s="21">
        <v>371.44</v>
      </c>
    </row>
    <row r="422" spans="1:9" ht="15" customHeight="1" x14ac:dyDescent="0.3">
      <c r="A422" s="21" t="s">
        <v>808</v>
      </c>
      <c r="B422" s="21">
        <v>2017</v>
      </c>
      <c r="C422" s="21">
        <v>9</v>
      </c>
      <c r="D422" s="21">
        <v>16</v>
      </c>
      <c r="E422" s="21" t="s">
        <v>316</v>
      </c>
      <c r="F422" s="21">
        <v>1</v>
      </c>
      <c r="G422" s="21">
        <v>1.44</v>
      </c>
      <c r="H422" s="21">
        <v>53.41</v>
      </c>
      <c r="I422" s="21">
        <v>370.9</v>
      </c>
    </row>
    <row r="423" spans="1:9" ht="15" customHeight="1" x14ac:dyDescent="0.3">
      <c r="A423" s="21" t="s">
        <v>809</v>
      </c>
      <c r="B423" s="21">
        <v>2017</v>
      </c>
      <c r="C423" s="21">
        <v>9</v>
      </c>
      <c r="D423" s="21">
        <v>17</v>
      </c>
      <c r="E423" s="21" t="s">
        <v>319</v>
      </c>
      <c r="F423" s="21">
        <v>1</v>
      </c>
      <c r="G423" s="21">
        <v>1.42</v>
      </c>
      <c r="H423" s="21">
        <v>52.61</v>
      </c>
      <c r="I423" s="21">
        <v>370.49</v>
      </c>
    </row>
    <row r="424" spans="1:9" ht="15" customHeight="1" x14ac:dyDescent="0.3">
      <c r="A424" s="21" t="s">
        <v>810</v>
      </c>
      <c r="B424" s="21">
        <v>2017</v>
      </c>
      <c r="C424" s="21">
        <v>9</v>
      </c>
      <c r="D424" s="21">
        <v>18</v>
      </c>
      <c r="E424" s="21" t="s">
        <v>299</v>
      </c>
      <c r="F424" s="21">
        <v>0</v>
      </c>
      <c r="G424" s="21">
        <v>1.92</v>
      </c>
      <c r="H424" s="21">
        <v>71.209999999999994</v>
      </c>
      <c r="I424" s="21">
        <v>370.89</v>
      </c>
    </row>
    <row r="425" spans="1:9" ht="15" customHeight="1" x14ac:dyDescent="0.3">
      <c r="A425" s="21" t="s">
        <v>811</v>
      </c>
      <c r="B425" s="21">
        <v>2017</v>
      </c>
      <c r="C425" s="21">
        <v>9</v>
      </c>
      <c r="D425" s="21">
        <v>19</v>
      </c>
      <c r="E425" s="21" t="s">
        <v>303</v>
      </c>
      <c r="F425" s="21">
        <v>0</v>
      </c>
      <c r="G425" s="21">
        <v>1.78</v>
      </c>
      <c r="H425" s="21">
        <v>66.09</v>
      </c>
      <c r="I425" s="21">
        <v>371.29</v>
      </c>
    </row>
    <row r="426" spans="1:9" ht="15" customHeight="1" x14ac:dyDescent="0.3">
      <c r="A426" s="21" t="s">
        <v>812</v>
      </c>
      <c r="B426" s="21">
        <v>2017</v>
      </c>
      <c r="C426" s="21">
        <v>9</v>
      </c>
      <c r="D426" s="21">
        <v>20</v>
      </c>
      <c r="E426" s="21" t="s">
        <v>307</v>
      </c>
      <c r="F426" s="21">
        <v>0</v>
      </c>
      <c r="G426" s="21">
        <v>1.72</v>
      </c>
      <c r="H426" s="21">
        <v>63.96</v>
      </c>
      <c r="I426" s="21">
        <v>371.86</v>
      </c>
    </row>
    <row r="427" spans="1:9" ht="15" customHeight="1" x14ac:dyDescent="0.3">
      <c r="A427" s="21" t="s">
        <v>813</v>
      </c>
      <c r="B427" s="21">
        <v>2017</v>
      </c>
      <c r="C427" s="21">
        <v>9</v>
      </c>
      <c r="D427" s="21">
        <v>21</v>
      </c>
      <c r="E427" s="21" t="s">
        <v>310</v>
      </c>
      <c r="F427" s="21">
        <v>0</v>
      </c>
      <c r="G427" s="21">
        <v>1.85</v>
      </c>
      <c r="H427" s="21">
        <v>68.48</v>
      </c>
      <c r="I427" s="21">
        <v>370.16</v>
      </c>
    </row>
    <row r="428" spans="1:9" ht="15" customHeight="1" x14ac:dyDescent="0.3">
      <c r="A428" s="21" t="s">
        <v>814</v>
      </c>
      <c r="B428" s="21">
        <v>2017</v>
      </c>
      <c r="C428" s="21">
        <v>9</v>
      </c>
      <c r="D428" s="21">
        <v>22</v>
      </c>
      <c r="E428" s="21" t="s">
        <v>313</v>
      </c>
      <c r="F428" s="21">
        <v>0</v>
      </c>
      <c r="G428" s="21">
        <v>1.91</v>
      </c>
      <c r="H428" s="21">
        <v>70.900000000000006</v>
      </c>
      <c r="I428" s="21">
        <v>371.2</v>
      </c>
    </row>
    <row r="429" spans="1:9" ht="15" customHeight="1" x14ac:dyDescent="0.3">
      <c r="A429" s="21" t="s">
        <v>815</v>
      </c>
      <c r="B429" s="21">
        <v>2017</v>
      </c>
      <c r="C429" s="21">
        <v>9</v>
      </c>
      <c r="D429" s="21">
        <v>23</v>
      </c>
      <c r="E429" s="21" t="s">
        <v>316</v>
      </c>
      <c r="F429" s="21">
        <v>1</v>
      </c>
      <c r="G429" s="21">
        <v>1.56</v>
      </c>
      <c r="H429" s="21">
        <v>57.93</v>
      </c>
      <c r="I429" s="21">
        <v>371.35</v>
      </c>
    </row>
    <row r="430" spans="1:9" ht="15" customHeight="1" x14ac:dyDescent="0.3">
      <c r="A430" s="21" t="s">
        <v>816</v>
      </c>
      <c r="B430" s="21">
        <v>2017</v>
      </c>
      <c r="C430" s="21">
        <v>9</v>
      </c>
      <c r="D430" s="21">
        <v>24</v>
      </c>
      <c r="E430" s="21" t="s">
        <v>319</v>
      </c>
      <c r="F430" s="21">
        <v>1</v>
      </c>
      <c r="G430" s="21">
        <v>1.5</v>
      </c>
      <c r="H430" s="21">
        <v>55.75</v>
      </c>
      <c r="I430" s="21">
        <v>371.67</v>
      </c>
    </row>
    <row r="431" spans="1:9" ht="15" customHeight="1" x14ac:dyDescent="0.3">
      <c r="A431" s="21" t="s">
        <v>817</v>
      </c>
      <c r="B431" s="21">
        <v>2017</v>
      </c>
      <c r="C431" s="21">
        <v>9</v>
      </c>
      <c r="D431" s="21">
        <v>25</v>
      </c>
      <c r="E431" s="21" t="s">
        <v>299</v>
      </c>
      <c r="F431" s="21">
        <v>0</v>
      </c>
      <c r="G431" s="21">
        <v>1.96</v>
      </c>
      <c r="H431" s="21">
        <v>72.75</v>
      </c>
      <c r="I431" s="21">
        <v>371.17</v>
      </c>
    </row>
    <row r="432" spans="1:9" ht="15" customHeight="1" x14ac:dyDescent="0.3">
      <c r="A432" s="21" t="s">
        <v>818</v>
      </c>
      <c r="B432" s="21">
        <v>2017</v>
      </c>
      <c r="C432" s="21">
        <v>9</v>
      </c>
      <c r="D432" s="21">
        <v>26</v>
      </c>
      <c r="E432" s="21" t="s">
        <v>303</v>
      </c>
      <c r="F432" s="21">
        <v>0</v>
      </c>
      <c r="G432" s="21">
        <v>1.86</v>
      </c>
      <c r="H432" s="21">
        <v>68.88</v>
      </c>
      <c r="I432" s="21">
        <v>370.32</v>
      </c>
    </row>
    <row r="433" spans="1:9" ht="15" customHeight="1" x14ac:dyDescent="0.3">
      <c r="A433" s="21" t="s">
        <v>819</v>
      </c>
      <c r="B433" s="21">
        <v>2017</v>
      </c>
      <c r="C433" s="21">
        <v>9</v>
      </c>
      <c r="D433" s="21">
        <v>27</v>
      </c>
      <c r="E433" s="21" t="s">
        <v>307</v>
      </c>
      <c r="F433" s="21">
        <v>0</v>
      </c>
      <c r="G433" s="21">
        <v>1.75</v>
      </c>
      <c r="H433" s="21">
        <v>64.94</v>
      </c>
      <c r="I433" s="21">
        <v>371.09</v>
      </c>
    </row>
    <row r="434" spans="1:9" ht="15" customHeight="1" x14ac:dyDescent="0.3">
      <c r="A434" s="21" t="s">
        <v>820</v>
      </c>
      <c r="B434" s="21">
        <v>2017</v>
      </c>
      <c r="C434" s="21">
        <v>9</v>
      </c>
      <c r="D434" s="21">
        <v>28</v>
      </c>
      <c r="E434" s="21" t="s">
        <v>310</v>
      </c>
      <c r="F434" s="21">
        <v>0</v>
      </c>
      <c r="G434" s="21">
        <v>1.81</v>
      </c>
      <c r="H434" s="21">
        <v>67.34</v>
      </c>
      <c r="I434" s="21">
        <v>372.04</v>
      </c>
    </row>
    <row r="435" spans="1:9" ht="15" customHeight="1" x14ac:dyDescent="0.3">
      <c r="A435" s="21" t="s">
        <v>821</v>
      </c>
      <c r="B435" s="21">
        <v>2017</v>
      </c>
      <c r="C435" s="21">
        <v>9</v>
      </c>
      <c r="D435" s="21">
        <v>29</v>
      </c>
      <c r="E435" s="21" t="s">
        <v>313</v>
      </c>
      <c r="F435" s="21">
        <v>0</v>
      </c>
      <c r="G435" s="21">
        <v>2.23</v>
      </c>
      <c r="H435" s="21">
        <v>82.73</v>
      </c>
      <c r="I435" s="21">
        <v>370.99</v>
      </c>
    </row>
    <row r="436" spans="1:9" ht="15" customHeight="1" x14ac:dyDescent="0.3">
      <c r="A436" s="21" t="s">
        <v>822</v>
      </c>
      <c r="B436" s="21">
        <v>2017</v>
      </c>
      <c r="C436" s="21">
        <v>9</v>
      </c>
      <c r="D436" s="21">
        <v>30</v>
      </c>
      <c r="E436" s="21" t="s">
        <v>316</v>
      </c>
      <c r="F436" s="21">
        <v>1</v>
      </c>
      <c r="G436" s="21">
        <v>1.81</v>
      </c>
      <c r="H436" s="21">
        <v>67.05</v>
      </c>
      <c r="I436" s="21">
        <v>370.44</v>
      </c>
    </row>
    <row r="437" spans="1:9" ht="15" customHeight="1" x14ac:dyDescent="0.3">
      <c r="A437" s="21" t="s">
        <v>112</v>
      </c>
      <c r="B437" s="21">
        <v>2017</v>
      </c>
      <c r="C437" s="21">
        <v>10</v>
      </c>
      <c r="D437" s="21">
        <v>1</v>
      </c>
      <c r="E437" s="21" t="s">
        <v>319</v>
      </c>
      <c r="F437" s="21">
        <v>1</v>
      </c>
      <c r="G437" s="21">
        <v>2.34</v>
      </c>
      <c r="H437" s="21">
        <v>82.54</v>
      </c>
      <c r="I437" s="21">
        <v>352.74</v>
      </c>
    </row>
    <row r="438" spans="1:9" ht="15" customHeight="1" x14ac:dyDescent="0.3">
      <c r="A438" s="21" t="s">
        <v>823</v>
      </c>
      <c r="B438" s="21">
        <v>2017</v>
      </c>
      <c r="C438" s="21">
        <v>10</v>
      </c>
      <c r="D438" s="21">
        <v>2</v>
      </c>
      <c r="E438" s="21" t="s">
        <v>299</v>
      </c>
      <c r="F438" s="21">
        <v>0</v>
      </c>
      <c r="G438" s="21">
        <v>3.05</v>
      </c>
      <c r="H438" s="21">
        <v>107.63</v>
      </c>
      <c r="I438" s="21">
        <v>352.89</v>
      </c>
    </row>
    <row r="439" spans="1:9" ht="15" customHeight="1" x14ac:dyDescent="0.3">
      <c r="A439" s="21" t="s">
        <v>824</v>
      </c>
      <c r="B439" s="21">
        <v>2017</v>
      </c>
      <c r="C439" s="21">
        <v>10</v>
      </c>
      <c r="D439" s="21">
        <v>3</v>
      </c>
      <c r="E439" s="21" t="s">
        <v>303</v>
      </c>
      <c r="F439" s="21">
        <v>0</v>
      </c>
      <c r="G439" s="21">
        <v>2.56</v>
      </c>
      <c r="H439" s="21">
        <v>90.2</v>
      </c>
      <c r="I439" s="21">
        <v>352.34</v>
      </c>
    </row>
    <row r="440" spans="1:9" ht="15" customHeight="1" x14ac:dyDescent="0.3">
      <c r="A440" s="21" t="s">
        <v>825</v>
      </c>
      <c r="B440" s="21">
        <v>2017</v>
      </c>
      <c r="C440" s="21">
        <v>10</v>
      </c>
      <c r="D440" s="21">
        <v>4</v>
      </c>
      <c r="E440" s="21" t="s">
        <v>307</v>
      </c>
      <c r="F440" s="21">
        <v>0</v>
      </c>
      <c r="G440" s="21">
        <v>2.35</v>
      </c>
      <c r="H440" s="21">
        <v>82.81</v>
      </c>
      <c r="I440" s="21">
        <v>352.38</v>
      </c>
    </row>
    <row r="441" spans="1:9" ht="15" customHeight="1" x14ac:dyDescent="0.3">
      <c r="A441" s="21" t="s">
        <v>826</v>
      </c>
      <c r="B441" s="21">
        <v>2017</v>
      </c>
      <c r="C441" s="21">
        <v>10</v>
      </c>
      <c r="D441" s="21">
        <v>5</v>
      </c>
      <c r="E441" s="21" t="s">
        <v>310</v>
      </c>
      <c r="F441" s="21">
        <v>0</v>
      </c>
      <c r="G441" s="21">
        <v>2.39</v>
      </c>
      <c r="H441" s="21">
        <v>84.32</v>
      </c>
      <c r="I441" s="21">
        <v>352.8</v>
      </c>
    </row>
    <row r="442" spans="1:9" ht="15" customHeight="1" x14ac:dyDescent="0.3">
      <c r="A442" s="21" t="s">
        <v>827</v>
      </c>
      <c r="B442" s="21">
        <v>2017</v>
      </c>
      <c r="C442" s="21">
        <v>10</v>
      </c>
      <c r="D442" s="21">
        <v>6</v>
      </c>
      <c r="E442" s="21" t="s">
        <v>313</v>
      </c>
      <c r="F442" s="21">
        <v>0</v>
      </c>
      <c r="G442" s="21">
        <v>2.52</v>
      </c>
      <c r="H442" s="21">
        <v>89.06</v>
      </c>
      <c r="I442" s="21">
        <v>353.41</v>
      </c>
    </row>
    <row r="443" spans="1:9" ht="15" customHeight="1" x14ac:dyDescent="0.3">
      <c r="A443" s="21" t="s">
        <v>828</v>
      </c>
      <c r="B443" s="21">
        <v>2017</v>
      </c>
      <c r="C443" s="21">
        <v>10</v>
      </c>
      <c r="D443" s="21">
        <v>7</v>
      </c>
      <c r="E443" s="21" t="s">
        <v>316</v>
      </c>
      <c r="F443" s="21">
        <v>1</v>
      </c>
      <c r="G443" s="21">
        <v>2.09</v>
      </c>
      <c r="H443" s="21">
        <v>73.599999999999994</v>
      </c>
      <c r="I443" s="21">
        <v>352.15</v>
      </c>
    </row>
    <row r="444" spans="1:9" ht="15" customHeight="1" x14ac:dyDescent="0.3">
      <c r="A444" s="21" t="s">
        <v>829</v>
      </c>
      <c r="B444" s="21">
        <v>2017</v>
      </c>
      <c r="C444" s="21">
        <v>10</v>
      </c>
      <c r="D444" s="21">
        <v>8</v>
      </c>
      <c r="E444" s="21" t="s">
        <v>319</v>
      </c>
      <c r="F444" s="21">
        <v>1</v>
      </c>
      <c r="G444" s="21">
        <v>2.16</v>
      </c>
      <c r="H444" s="21">
        <v>76.19</v>
      </c>
      <c r="I444" s="21">
        <v>352.73</v>
      </c>
    </row>
    <row r="445" spans="1:9" ht="15" customHeight="1" x14ac:dyDescent="0.3">
      <c r="A445" s="21" t="s">
        <v>830</v>
      </c>
      <c r="B445" s="21">
        <v>2017</v>
      </c>
      <c r="C445" s="21">
        <v>10</v>
      </c>
      <c r="D445" s="21">
        <v>9</v>
      </c>
      <c r="E445" s="21" t="s">
        <v>299</v>
      </c>
      <c r="F445" s="21">
        <v>0</v>
      </c>
      <c r="G445" s="21">
        <v>2.71</v>
      </c>
      <c r="H445" s="21">
        <v>95.73</v>
      </c>
      <c r="I445" s="21">
        <v>353.25</v>
      </c>
    </row>
    <row r="446" spans="1:9" ht="15" customHeight="1" x14ac:dyDescent="0.3">
      <c r="A446" s="21" t="s">
        <v>831</v>
      </c>
      <c r="B446" s="21">
        <v>2017</v>
      </c>
      <c r="C446" s="21">
        <v>10</v>
      </c>
      <c r="D446" s="21">
        <v>10</v>
      </c>
      <c r="E446" s="21" t="s">
        <v>303</v>
      </c>
      <c r="F446" s="21">
        <v>0</v>
      </c>
      <c r="G446" s="21">
        <v>2.48</v>
      </c>
      <c r="H446" s="21">
        <v>87.61</v>
      </c>
      <c r="I446" s="21">
        <v>353.27</v>
      </c>
    </row>
    <row r="447" spans="1:9" ht="15" customHeight="1" x14ac:dyDescent="0.3">
      <c r="A447" s="21" t="s">
        <v>832</v>
      </c>
      <c r="B447" s="21">
        <v>2017</v>
      </c>
      <c r="C447" s="21">
        <v>10</v>
      </c>
      <c r="D447" s="21">
        <v>11</v>
      </c>
      <c r="E447" s="21" t="s">
        <v>307</v>
      </c>
      <c r="F447" s="21">
        <v>0</v>
      </c>
      <c r="G447" s="21">
        <v>2.6</v>
      </c>
      <c r="H447" s="21">
        <v>91.69</v>
      </c>
      <c r="I447" s="21">
        <v>352.65</v>
      </c>
    </row>
    <row r="448" spans="1:9" ht="15" customHeight="1" x14ac:dyDescent="0.3">
      <c r="A448" s="21" t="s">
        <v>833</v>
      </c>
      <c r="B448" s="21">
        <v>2017</v>
      </c>
      <c r="C448" s="21">
        <v>10</v>
      </c>
      <c r="D448" s="21">
        <v>12</v>
      </c>
      <c r="E448" s="21" t="s">
        <v>310</v>
      </c>
      <c r="F448" s="21">
        <v>0</v>
      </c>
      <c r="G448" s="21">
        <v>2.37</v>
      </c>
      <c r="H448" s="21">
        <v>83.8</v>
      </c>
      <c r="I448" s="21">
        <v>353.59</v>
      </c>
    </row>
    <row r="449" spans="1:9" ht="15" customHeight="1" x14ac:dyDescent="0.3">
      <c r="A449" s="21" t="s">
        <v>834</v>
      </c>
      <c r="B449" s="21">
        <v>2017</v>
      </c>
      <c r="C449" s="21">
        <v>10</v>
      </c>
      <c r="D449" s="21">
        <v>13</v>
      </c>
      <c r="E449" s="21" t="s">
        <v>313</v>
      </c>
      <c r="F449" s="21">
        <v>0</v>
      </c>
      <c r="G449" s="21">
        <v>2.5499999999999998</v>
      </c>
      <c r="H449" s="21">
        <v>89.95</v>
      </c>
      <c r="I449" s="21">
        <v>352.75</v>
      </c>
    </row>
    <row r="450" spans="1:9" ht="15" customHeight="1" x14ac:dyDescent="0.3">
      <c r="A450" s="21" t="s">
        <v>835</v>
      </c>
      <c r="B450" s="21">
        <v>2017</v>
      </c>
      <c r="C450" s="21">
        <v>10</v>
      </c>
      <c r="D450" s="21">
        <v>14</v>
      </c>
      <c r="E450" s="21" t="s">
        <v>316</v>
      </c>
      <c r="F450" s="21">
        <v>1</v>
      </c>
      <c r="G450" s="21">
        <v>2.1</v>
      </c>
      <c r="H450" s="21">
        <v>74.16</v>
      </c>
      <c r="I450" s="21">
        <v>353.14</v>
      </c>
    </row>
    <row r="451" spans="1:9" ht="15" customHeight="1" x14ac:dyDescent="0.3">
      <c r="A451" s="21" t="s">
        <v>836</v>
      </c>
      <c r="B451" s="21">
        <v>2017</v>
      </c>
      <c r="C451" s="21">
        <v>10</v>
      </c>
      <c r="D451" s="21">
        <v>15</v>
      </c>
      <c r="E451" s="21" t="s">
        <v>319</v>
      </c>
      <c r="F451" s="21">
        <v>1</v>
      </c>
      <c r="G451" s="21">
        <v>2.35</v>
      </c>
      <c r="H451" s="21">
        <v>82.85</v>
      </c>
      <c r="I451" s="21">
        <v>352.55</v>
      </c>
    </row>
    <row r="452" spans="1:9" ht="15" customHeight="1" x14ac:dyDescent="0.3">
      <c r="A452" s="21" t="s">
        <v>837</v>
      </c>
      <c r="B452" s="21">
        <v>2017</v>
      </c>
      <c r="C452" s="21">
        <v>10</v>
      </c>
      <c r="D452" s="21">
        <v>16</v>
      </c>
      <c r="E452" s="21" t="s">
        <v>299</v>
      </c>
      <c r="F452" s="21">
        <v>0</v>
      </c>
      <c r="G452" s="21">
        <v>2.86</v>
      </c>
      <c r="H452" s="21">
        <v>100.88</v>
      </c>
      <c r="I452" s="21">
        <v>352.73</v>
      </c>
    </row>
    <row r="453" spans="1:9" ht="15" customHeight="1" x14ac:dyDescent="0.3">
      <c r="A453" s="21" t="s">
        <v>838</v>
      </c>
      <c r="B453" s="21">
        <v>2017</v>
      </c>
      <c r="C453" s="21">
        <v>10</v>
      </c>
      <c r="D453" s="21">
        <v>17</v>
      </c>
      <c r="E453" s="21" t="s">
        <v>303</v>
      </c>
      <c r="F453" s="21">
        <v>0</v>
      </c>
      <c r="G453" s="21">
        <v>2.56</v>
      </c>
      <c r="H453" s="21">
        <v>90.2</v>
      </c>
      <c r="I453" s="21">
        <v>352.34</v>
      </c>
    </row>
    <row r="454" spans="1:9" ht="15" customHeight="1" x14ac:dyDescent="0.3">
      <c r="A454" s="21" t="s">
        <v>839</v>
      </c>
      <c r="B454" s="21">
        <v>2017</v>
      </c>
      <c r="C454" s="21">
        <v>10</v>
      </c>
      <c r="D454" s="21">
        <v>18</v>
      </c>
      <c r="E454" s="21" t="s">
        <v>307</v>
      </c>
      <c r="F454" s="21">
        <v>0</v>
      </c>
      <c r="G454" s="21">
        <v>2.72</v>
      </c>
      <c r="H454" s="21">
        <v>95.9</v>
      </c>
      <c r="I454" s="21">
        <v>352.57</v>
      </c>
    </row>
    <row r="455" spans="1:9" ht="15" customHeight="1" x14ac:dyDescent="0.3">
      <c r="A455" s="21" t="s">
        <v>840</v>
      </c>
      <c r="B455" s="21">
        <v>2017</v>
      </c>
      <c r="C455" s="21">
        <v>10</v>
      </c>
      <c r="D455" s="21">
        <v>19</v>
      </c>
      <c r="E455" s="21" t="s">
        <v>310</v>
      </c>
      <c r="F455" s="21">
        <v>0</v>
      </c>
      <c r="G455" s="21">
        <v>2.62</v>
      </c>
      <c r="H455" s="21">
        <v>92.4</v>
      </c>
      <c r="I455" s="21">
        <v>352.67</v>
      </c>
    </row>
    <row r="456" spans="1:9" ht="15" customHeight="1" x14ac:dyDescent="0.3">
      <c r="A456" s="21" t="s">
        <v>841</v>
      </c>
      <c r="B456" s="21">
        <v>2017</v>
      </c>
      <c r="C456" s="21">
        <v>10</v>
      </c>
      <c r="D456" s="21">
        <v>20</v>
      </c>
      <c r="E456" s="21" t="s">
        <v>313</v>
      </c>
      <c r="F456" s="21">
        <v>0</v>
      </c>
      <c r="G456" s="21">
        <v>3</v>
      </c>
      <c r="H456" s="21">
        <v>105.79</v>
      </c>
      <c r="I456" s="21">
        <v>352.63</v>
      </c>
    </row>
    <row r="457" spans="1:9" ht="15" customHeight="1" x14ac:dyDescent="0.3">
      <c r="A457" s="21" t="s">
        <v>842</v>
      </c>
      <c r="B457" s="21">
        <v>2017</v>
      </c>
      <c r="C457" s="21">
        <v>10</v>
      </c>
      <c r="D457" s="21">
        <v>21</v>
      </c>
      <c r="E457" s="21" t="s">
        <v>316</v>
      </c>
      <c r="F457" s="21">
        <v>1</v>
      </c>
      <c r="G457" s="21">
        <v>2.35</v>
      </c>
      <c r="H457" s="21">
        <v>82.79</v>
      </c>
      <c r="I457" s="21">
        <v>352.3</v>
      </c>
    </row>
    <row r="458" spans="1:9" ht="15" customHeight="1" x14ac:dyDescent="0.3">
      <c r="A458" s="21" t="s">
        <v>843</v>
      </c>
      <c r="B458" s="21">
        <v>2017</v>
      </c>
      <c r="C458" s="21">
        <v>10</v>
      </c>
      <c r="D458" s="21">
        <v>22</v>
      </c>
      <c r="E458" s="21" t="s">
        <v>319</v>
      </c>
      <c r="F458" s="21">
        <v>1</v>
      </c>
      <c r="G458" s="21">
        <v>2.2400000000000002</v>
      </c>
      <c r="H458" s="21">
        <v>79.03</v>
      </c>
      <c r="I458" s="21">
        <v>352.81</v>
      </c>
    </row>
    <row r="459" spans="1:9" ht="15" customHeight="1" x14ac:dyDescent="0.3">
      <c r="A459" s="21" t="s">
        <v>844</v>
      </c>
      <c r="B459" s="21">
        <v>2017</v>
      </c>
      <c r="C459" s="21">
        <v>10</v>
      </c>
      <c r="D459" s="21">
        <v>23</v>
      </c>
      <c r="E459" s="21" t="s">
        <v>299</v>
      </c>
      <c r="F459" s="21">
        <v>0</v>
      </c>
      <c r="G459" s="21">
        <v>2.82</v>
      </c>
      <c r="H459" s="21">
        <v>99.49</v>
      </c>
      <c r="I459" s="21">
        <v>352.8</v>
      </c>
    </row>
    <row r="460" spans="1:9" ht="15" customHeight="1" x14ac:dyDescent="0.3">
      <c r="A460" s="21" t="s">
        <v>845</v>
      </c>
      <c r="B460" s="21">
        <v>2017</v>
      </c>
      <c r="C460" s="21">
        <v>10</v>
      </c>
      <c r="D460" s="21">
        <v>24</v>
      </c>
      <c r="E460" s="21" t="s">
        <v>303</v>
      </c>
      <c r="F460" s="21">
        <v>0</v>
      </c>
      <c r="G460" s="21">
        <v>2.64</v>
      </c>
      <c r="H460" s="21">
        <v>93.11</v>
      </c>
      <c r="I460" s="21">
        <v>352.69</v>
      </c>
    </row>
    <row r="461" spans="1:9" ht="15" customHeight="1" x14ac:dyDescent="0.3">
      <c r="A461" s="21" t="s">
        <v>846</v>
      </c>
      <c r="B461" s="21">
        <v>2017</v>
      </c>
      <c r="C461" s="21">
        <v>10</v>
      </c>
      <c r="D461" s="21">
        <v>25</v>
      </c>
      <c r="E461" s="21" t="s">
        <v>307</v>
      </c>
      <c r="F461" s="21">
        <v>0</v>
      </c>
      <c r="G461" s="21">
        <v>2.72</v>
      </c>
      <c r="H461" s="21">
        <v>95.98</v>
      </c>
      <c r="I461" s="21">
        <v>352.87</v>
      </c>
    </row>
    <row r="462" spans="1:9" ht="15" customHeight="1" x14ac:dyDescent="0.3">
      <c r="A462" s="21" t="s">
        <v>847</v>
      </c>
      <c r="B462" s="21">
        <v>2017</v>
      </c>
      <c r="C462" s="21">
        <v>10</v>
      </c>
      <c r="D462" s="21">
        <v>26</v>
      </c>
      <c r="E462" s="21" t="s">
        <v>310</v>
      </c>
      <c r="F462" s="21">
        <v>0</v>
      </c>
      <c r="G462" s="21">
        <v>2.5499999999999998</v>
      </c>
      <c r="H462" s="21">
        <v>89.92</v>
      </c>
      <c r="I462" s="21">
        <v>352.63</v>
      </c>
    </row>
    <row r="463" spans="1:9" ht="15" customHeight="1" x14ac:dyDescent="0.3">
      <c r="A463" s="21" t="s">
        <v>848</v>
      </c>
      <c r="B463" s="21">
        <v>2017</v>
      </c>
      <c r="C463" s="21">
        <v>10</v>
      </c>
      <c r="D463" s="21">
        <v>27</v>
      </c>
      <c r="E463" s="21" t="s">
        <v>313</v>
      </c>
      <c r="F463" s="21">
        <v>0</v>
      </c>
      <c r="G463" s="21">
        <v>2.6</v>
      </c>
      <c r="H463" s="21">
        <v>91.83</v>
      </c>
      <c r="I463" s="21">
        <v>353.19</v>
      </c>
    </row>
    <row r="464" spans="1:9" ht="15" customHeight="1" x14ac:dyDescent="0.3">
      <c r="A464" s="21" t="s">
        <v>849</v>
      </c>
      <c r="B464" s="21">
        <v>2017</v>
      </c>
      <c r="C464" s="21">
        <v>10</v>
      </c>
      <c r="D464" s="21">
        <v>28</v>
      </c>
      <c r="E464" s="21" t="s">
        <v>316</v>
      </c>
      <c r="F464" s="21">
        <v>1</v>
      </c>
      <c r="G464" s="21">
        <v>2.14</v>
      </c>
      <c r="H464" s="21">
        <v>75.63</v>
      </c>
      <c r="I464" s="21">
        <v>353.41</v>
      </c>
    </row>
    <row r="465" spans="1:9" ht="15" customHeight="1" x14ac:dyDescent="0.3">
      <c r="A465" s="21" t="s">
        <v>850</v>
      </c>
      <c r="B465" s="21">
        <v>2017</v>
      </c>
      <c r="C465" s="21">
        <v>10</v>
      </c>
      <c r="D465" s="21">
        <v>29</v>
      </c>
      <c r="E465" s="21" t="s">
        <v>319</v>
      </c>
      <c r="F465" s="21">
        <v>1</v>
      </c>
      <c r="G465" s="21">
        <v>2.0699999999999998</v>
      </c>
      <c r="H465" s="21">
        <v>72.92</v>
      </c>
      <c r="I465" s="21">
        <v>352.27</v>
      </c>
    </row>
    <row r="466" spans="1:9" ht="15" customHeight="1" x14ac:dyDescent="0.3">
      <c r="A466" s="21" t="s">
        <v>851</v>
      </c>
      <c r="B466" s="21">
        <v>2017</v>
      </c>
      <c r="C466" s="21">
        <v>10</v>
      </c>
      <c r="D466" s="21">
        <v>30</v>
      </c>
      <c r="E466" s="21" t="s">
        <v>299</v>
      </c>
      <c r="F466" s="21">
        <v>0</v>
      </c>
      <c r="G466" s="21">
        <v>2.92</v>
      </c>
      <c r="H466" s="21">
        <v>103.17</v>
      </c>
      <c r="I466" s="21">
        <v>353.32</v>
      </c>
    </row>
    <row r="467" spans="1:9" ht="15" customHeight="1" x14ac:dyDescent="0.3">
      <c r="A467" s="21" t="s">
        <v>852</v>
      </c>
      <c r="B467" s="21">
        <v>2017</v>
      </c>
      <c r="C467" s="21">
        <v>10</v>
      </c>
      <c r="D467" s="21">
        <v>31</v>
      </c>
      <c r="E467" s="21" t="s">
        <v>303</v>
      </c>
      <c r="F467" s="21">
        <v>0</v>
      </c>
      <c r="G467" s="21">
        <v>2.84</v>
      </c>
      <c r="H467" s="21">
        <v>100.21</v>
      </c>
      <c r="I467" s="21">
        <v>352.85</v>
      </c>
    </row>
    <row r="468" spans="1:9" ht="15" customHeight="1" x14ac:dyDescent="0.3">
      <c r="A468" s="21" t="s">
        <v>113</v>
      </c>
      <c r="B468" s="21">
        <v>2017</v>
      </c>
      <c r="C468" s="21">
        <v>11</v>
      </c>
      <c r="D468" s="21">
        <v>1</v>
      </c>
      <c r="E468" s="21" t="s">
        <v>307</v>
      </c>
      <c r="F468" s="21">
        <v>0</v>
      </c>
      <c r="G468" s="21">
        <v>3.89</v>
      </c>
      <c r="H468" s="21">
        <v>145.75</v>
      </c>
      <c r="I468" s="21">
        <v>374.68</v>
      </c>
    </row>
    <row r="469" spans="1:9" ht="15" customHeight="1" x14ac:dyDescent="0.3">
      <c r="A469" s="21" t="s">
        <v>853</v>
      </c>
      <c r="B469" s="21">
        <v>2017</v>
      </c>
      <c r="C469" s="21">
        <v>11</v>
      </c>
      <c r="D469" s="21">
        <v>2</v>
      </c>
      <c r="E469" s="21" t="s">
        <v>310</v>
      </c>
      <c r="F469" s="21">
        <v>0</v>
      </c>
      <c r="G469" s="21">
        <v>3.95</v>
      </c>
      <c r="H469" s="21">
        <v>147.91999999999999</v>
      </c>
      <c r="I469" s="21">
        <v>374.48</v>
      </c>
    </row>
    <row r="470" spans="1:9" ht="15" customHeight="1" x14ac:dyDescent="0.3">
      <c r="A470" s="21" t="s">
        <v>854</v>
      </c>
      <c r="B470" s="21">
        <v>2017</v>
      </c>
      <c r="C470" s="21">
        <v>11</v>
      </c>
      <c r="D470" s="21">
        <v>3</v>
      </c>
      <c r="E470" s="21" t="s">
        <v>313</v>
      </c>
      <c r="F470" s="21">
        <v>0</v>
      </c>
      <c r="G470" s="21">
        <v>3.65</v>
      </c>
      <c r="H470" s="21">
        <v>136.56</v>
      </c>
      <c r="I470" s="21">
        <v>374.14</v>
      </c>
    </row>
    <row r="471" spans="1:9" ht="15" customHeight="1" x14ac:dyDescent="0.3">
      <c r="A471" s="21" t="s">
        <v>855</v>
      </c>
      <c r="B471" s="21">
        <v>2017</v>
      </c>
      <c r="C471" s="21">
        <v>11</v>
      </c>
      <c r="D471" s="21">
        <v>4</v>
      </c>
      <c r="E471" s="21" t="s">
        <v>316</v>
      </c>
      <c r="F471" s="21">
        <v>1</v>
      </c>
      <c r="G471" s="21">
        <v>3.18</v>
      </c>
      <c r="H471" s="21">
        <v>118.89</v>
      </c>
      <c r="I471" s="21">
        <v>373.87</v>
      </c>
    </row>
    <row r="472" spans="1:9" ht="15" customHeight="1" x14ac:dyDescent="0.3">
      <c r="A472" s="21" t="s">
        <v>856</v>
      </c>
      <c r="B472" s="21">
        <v>2017</v>
      </c>
      <c r="C472" s="21">
        <v>11</v>
      </c>
      <c r="D472" s="21">
        <v>5</v>
      </c>
      <c r="E472" s="21" t="s">
        <v>319</v>
      </c>
      <c r="F472" s="21">
        <v>1</v>
      </c>
      <c r="G472" s="21">
        <v>2.97</v>
      </c>
      <c r="H472" s="21">
        <v>111.32</v>
      </c>
      <c r="I472" s="21">
        <v>374.81</v>
      </c>
    </row>
    <row r="473" spans="1:9" ht="15" customHeight="1" x14ac:dyDescent="0.3">
      <c r="A473" s="21" t="s">
        <v>857</v>
      </c>
      <c r="B473" s="21">
        <v>2017</v>
      </c>
      <c r="C473" s="21">
        <v>11</v>
      </c>
      <c r="D473" s="21">
        <v>6</v>
      </c>
      <c r="E473" s="21" t="s">
        <v>299</v>
      </c>
      <c r="F473" s="21">
        <v>0</v>
      </c>
      <c r="G473" s="21">
        <v>3.59</v>
      </c>
      <c r="H473" s="21">
        <v>134.59</v>
      </c>
      <c r="I473" s="21">
        <v>374.9</v>
      </c>
    </row>
    <row r="474" spans="1:9" ht="15" customHeight="1" x14ac:dyDescent="0.3">
      <c r="A474" s="21" t="s">
        <v>858</v>
      </c>
      <c r="B474" s="21">
        <v>2017</v>
      </c>
      <c r="C474" s="21">
        <v>11</v>
      </c>
      <c r="D474" s="21">
        <v>7</v>
      </c>
      <c r="E474" s="21" t="s">
        <v>303</v>
      </c>
      <c r="F474" s="21">
        <v>0</v>
      </c>
      <c r="G474" s="21">
        <v>3.52</v>
      </c>
      <c r="H474" s="21">
        <v>131.63999999999999</v>
      </c>
      <c r="I474" s="21">
        <v>373.98</v>
      </c>
    </row>
    <row r="475" spans="1:9" ht="15" customHeight="1" x14ac:dyDescent="0.3">
      <c r="A475" s="21" t="s">
        <v>859</v>
      </c>
      <c r="B475" s="21">
        <v>2017</v>
      </c>
      <c r="C475" s="21">
        <v>11</v>
      </c>
      <c r="D475" s="21">
        <v>8</v>
      </c>
      <c r="E475" s="21" t="s">
        <v>307</v>
      </c>
      <c r="F475" s="21">
        <v>0</v>
      </c>
      <c r="G475" s="21">
        <v>3.48</v>
      </c>
      <c r="H475" s="21">
        <v>130.36000000000001</v>
      </c>
      <c r="I475" s="21">
        <v>374.6</v>
      </c>
    </row>
    <row r="476" spans="1:9" ht="15" customHeight="1" x14ac:dyDescent="0.3">
      <c r="A476" s="21" t="s">
        <v>860</v>
      </c>
      <c r="B476" s="21">
        <v>2017</v>
      </c>
      <c r="C476" s="21">
        <v>11</v>
      </c>
      <c r="D476" s="21">
        <v>9</v>
      </c>
      <c r="E476" s="21" t="s">
        <v>310</v>
      </c>
      <c r="F476" s="21">
        <v>0</v>
      </c>
      <c r="G476" s="21">
        <v>3.47</v>
      </c>
      <c r="H476" s="21">
        <v>129.93</v>
      </c>
      <c r="I476" s="21">
        <v>374.44</v>
      </c>
    </row>
    <row r="477" spans="1:9" ht="15" customHeight="1" x14ac:dyDescent="0.3">
      <c r="A477" s="21" t="s">
        <v>861</v>
      </c>
      <c r="B477" s="21">
        <v>2017</v>
      </c>
      <c r="C477" s="21">
        <v>11</v>
      </c>
      <c r="D477" s="21">
        <v>10</v>
      </c>
      <c r="E477" s="21" t="s">
        <v>313</v>
      </c>
      <c r="F477" s="21">
        <v>0</v>
      </c>
      <c r="G477" s="21">
        <v>3.84</v>
      </c>
      <c r="H477" s="21">
        <v>143.66999999999999</v>
      </c>
      <c r="I477" s="21">
        <v>374.14</v>
      </c>
    </row>
    <row r="478" spans="1:9" ht="15" customHeight="1" x14ac:dyDescent="0.3">
      <c r="A478" s="21" t="s">
        <v>862</v>
      </c>
      <c r="B478" s="21">
        <v>2017</v>
      </c>
      <c r="C478" s="21">
        <v>11</v>
      </c>
      <c r="D478" s="21">
        <v>11</v>
      </c>
      <c r="E478" s="21" t="s">
        <v>316</v>
      </c>
      <c r="F478" s="21">
        <v>1</v>
      </c>
      <c r="G478" s="21">
        <v>3.05</v>
      </c>
      <c r="H478" s="21">
        <v>114.15</v>
      </c>
      <c r="I478" s="21">
        <v>374.26</v>
      </c>
    </row>
    <row r="479" spans="1:9" ht="15" customHeight="1" x14ac:dyDescent="0.3">
      <c r="A479" s="21" t="s">
        <v>863</v>
      </c>
      <c r="B479" s="21">
        <v>2017</v>
      </c>
      <c r="C479" s="21">
        <v>11</v>
      </c>
      <c r="D479" s="21">
        <v>12</v>
      </c>
      <c r="E479" s="21" t="s">
        <v>319</v>
      </c>
      <c r="F479" s="21">
        <v>1</v>
      </c>
      <c r="G479" s="21">
        <v>2.91</v>
      </c>
      <c r="H479" s="21">
        <v>109.1</v>
      </c>
      <c r="I479" s="21">
        <v>374.91</v>
      </c>
    </row>
    <row r="480" spans="1:9" ht="15" customHeight="1" x14ac:dyDescent="0.3">
      <c r="A480" s="21" t="s">
        <v>864</v>
      </c>
      <c r="B480" s="21">
        <v>2017</v>
      </c>
      <c r="C480" s="21">
        <v>11</v>
      </c>
      <c r="D480" s="21">
        <v>13</v>
      </c>
      <c r="E480" s="21" t="s">
        <v>299</v>
      </c>
      <c r="F480" s="21">
        <v>0</v>
      </c>
      <c r="G480" s="21">
        <v>3.61</v>
      </c>
      <c r="H480" s="21">
        <v>135.08000000000001</v>
      </c>
      <c r="I480" s="21">
        <v>374.18</v>
      </c>
    </row>
    <row r="481" spans="1:9" ht="15" customHeight="1" x14ac:dyDescent="0.3">
      <c r="A481" s="21" t="s">
        <v>865</v>
      </c>
      <c r="B481" s="21">
        <v>2017</v>
      </c>
      <c r="C481" s="21">
        <v>11</v>
      </c>
      <c r="D481" s="21">
        <v>14</v>
      </c>
      <c r="E481" s="21" t="s">
        <v>303</v>
      </c>
      <c r="F481" s="21">
        <v>0</v>
      </c>
      <c r="G481" s="21">
        <v>3.46</v>
      </c>
      <c r="H481" s="21">
        <v>129.72</v>
      </c>
      <c r="I481" s="21">
        <v>374.91</v>
      </c>
    </row>
    <row r="482" spans="1:9" ht="15" customHeight="1" x14ac:dyDescent="0.3">
      <c r="A482" s="21" t="s">
        <v>866</v>
      </c>
      <c r="B482" s="21">
        <v>2017</v>
      </c>
      <c r="C482" s="21">
        <v>11</v>
      </c>
      <c r="D482" s="21">
        <v>15</v>
      </c>
      <c r="E482" s="21" t="s">
        <v>307</v>
      </c>
      <c r="F482" s="21">
        <v>0</v>
      </c>
      <c r="G482" s="21">
        <v>3.58</v>
      </c>
      <c r="H482" s="21">
        <v>133.94</v>
      </c>
      <c r="I482" s="21">
        <v>374.13</v>
      </c>
    </row>
    <row r="483" spans="1:9" ht="15" customHeight="1" x14ac:dyDescent="0.3">
      <c r="A483" s="21" t="s">
        <v>867</v>
      </c>
      <c r="B483" s="21">
        <v>2017</v>
      </c>
      <c r="C483" s="21">
        <v>11</v>
      </c>
      <c r="D483" s="21">
        <v>16</v>
      </c>
      <c r="E483" s="21" t="s">
        <v>310</v>
      </c>
      <c r="F483" s="21">
        <v>0</v>
      </c>
      <c r="G483" s="21">
        <v>3.67</v>
      </c>
      <c r="H483" s="21">
        <v>137.34</v>
      </c>
      <c r="I483" s="21">
        <v>374.22</v>
      </c>
    </row>
    <row r="484" spans="1:9" ht="15" customHeight="1" x14ac:dyDescent="0.3">
      <c r="A484" s="21" t="s">
        <v>868</v>
      </c>
      <c r="B484" s="21">
        <v>2017</v>
      </c>
      <c r="C484" s="21">
        <v>11</v>
      </c>
      <c r="D484" s="21">
        <v>17</v>
      </c>
      <c r="E484" s="21" t="s">
        <v>313</v>
      </c>
      <c r="F484" s="21">
        <v>0</v>
      </c>
      <c r="G484" s="21">
        <v>4.3099999999999996</v>
      </c>
      <c r="H484" s="21">
        <v>161.29</v>
      </c>
      <c r="I484" s="21">
        <v>374.22</v>
      </c>
    </row>
    <row r="485" spans="1:9" ht="15" customHeight="1" x14ac:dyDescent="0.3">
      <c r="A485" s="21" t="s">
        <v>869</v>
      </c>
      <c r="B485" s="21">
        <v>2017</v>
      </c>
      <c r="C485" s="21">
        <v>11</v>
      </c>
      <c r="D485" s="21">
        <v>18</v>
      </c>
      <c r="E485" s="21" t="s">
        <v>316</v>
      </c>
      <c r="F485" s="21">
        <v>1</v>
      </c>
      <c r="G485" s="21">
        <v>3.46</v>
      </c>
      <c r="H485" s="21">
        <v>129.4</v>
      </c>
      <c r="I485" s="21">
        <v>373.99</v>
      </c>
    </row>
    <row r="486" spans="1:9" ht="15" customHeight="1" x14ac:dyDescent="0.3">
      <c r="A486" s="21" t="s">
        <v>870</v>
      </c>
      <c r="B486" s="21">
        <v>2017</v>
      </c>
      <c r="C486" s="21">
        <v>11</v>
      </c>
      <c r="D486" s="21">
        <v>19</v>
      </c>
      <c r="E486" s="21" t="s">
        <v>319</v>
      </c>
      <c r="F486" s="21">
        <v>1</v>
      </c>
      <c r="G486" s="21">
        <v>3.24</v>
      </c>
      <c r="H486" s="21">
        <v>121.22</v>
      </c>
      <c r="I486" s="21">
        <v>374.14</v>
      </c>
    </row>
    <row r="487" spans="1:9" ht="15" customHeight="1" x14ac:dyDescent="0.3">
      <c r="A487" s="21" t="s">
        <v>871</v>
      </c>
      <c r="B487" s="21">
        <v>2017</v>
      </c>
      <c r="C487" s="21">
        <v>11</v>
      </c>
      <c r="D487" s="21">
        <v>20</v>
      </c>
      <c r="E487" s="21" t="s">
        <v>299</v>
      </c>
      <c r="F487" s="21">
        <v>0</v>
      </c>
      <c r="G487" s="21">
        <v>4.0999999999999996</v>
      </c>
      <c r="H487" s="21">
        <v>153.56</v>
      </c>
      <c r="I487" s="21">
        <v>374.54</v>
      </c>
    </row>
    <row r="488" spans="1:9" ht="15" customHeight="1" x14ac:dyDescent="0.3">
      <c r="A488" s="21" t="s">
        <v>872</v>
      </c>
      <c r="B488" s="21">
        <v>2017</v>
      </c>
      <c r="C488" s="21">
        <v>11</v>
      </c>
      <c r="D488" s="21">
        <v>21</v>
      </c>
      <c r="E488" s="21" t="s">
        <v>303</v>
      </c>
      <c r="F488" s="21">
        <v>0</v>
      </c>
      <c r="G488" s="21">
        <v>3.88</v>
      </c>
      <c r="H488" s="21">
        <v>145.22</v>
      </c>
      <c r="I488" s="21">
        <v>374.28</v>
      </c>
    </row>
    <row r="489" spans="1:9" ht="15" customHeight="1" x14ac:dyDescent="0.3">
      <c r="A489" s="21" t="s">
        <v>873</v>
      </c>
      <c r="B489" s="21">
        <v>2017</v>
      </c>
      <c r="C489" s="21">
        <v>11</v>
      </c>
      <c r="D489" s="21">
        <v>22</v>
      </c>
      <c r="E489" s="21" t="s">
        <v>307</v>
      </c>
      <c r="F489" s="21">
        <v>0</v>
      </c>
      <c r="G489" s="21">
        <v>4.2</v>
      </c>
      <c r="H489" s="21">
        <v>157.16999999999999</v>
      </c>
      <c r="I489" s="21">
        <v>374.21</v>
      </c>
    </row>
    <row r="490" spans="1:9" ht="15" customHeight="1" x14ac:dyDescent="0.3">
      <c r="A490" s="21" t="s">
        <v>874</v>
      </c>
      <c r="B490" s="21">
        <v>2017</v>
      </c>
      <c r="C490" s="21">
        <v>11</v>
      </c>
      <c r="D490" s="21">
        <v>23</v>
      </c>
      <c r="E490" s="21" t="s">
        <v>310</v>
      </c>
      <c r="F490" s="21">
        <v>0</v>
      </c>
      <c r="G490" s="21">
        <v>3.97</v>
      </c>
      <c r="H490" s="21">
        <v>148.71</v>
      </c>
      <c r="I490" s="21">
        <v>374.58</v>
      </c>
    </row>
    <row r="491" spans="1:9" ht="15" customHeight="1" x14ac:dyDescent="0.3">
      <c r="A491" s="21" t="s">
        <v>875</v>
      </c>
      <c r="B491" s="21">
        <v>2017</v>
      </c>
      <c r="C491" s="21">
        <v>11</v>
      </c>
      <c r="D491" s="21">
        <v>24</v>
      </c>
      <c r="E491" s="21" t="s">
        <v>313</v>
      </c>
      <c r="F491" s="21">
        <v>0</v>
      </c>
      <c r="G491" s="21">
        <v>4.1399999999999997</v>
      </c>
      <c r="H491" s="21">
        <v>154.84</v>
      </c>
      <c r="I491" s="21">
        <v>374.01</v>
      </c>
    </row>
    <row r="492" spans="1:9" ht="15" customHeight="1" x14ac:dyDescent="0.3">
      <c r="A492" s="21" t="s">
        <v>876</v>
      </c>
      <c r="B492" s="21">
        <v>2017</v>
      </c>
      <c r="C492" s="21">
        <v>11</v>
      </c>
      <c r="D492" s="21">
        <v>25</v>
      </c>
      <c r="E492" s="21" t="s">
        <v>316</v>
      </c>
      <c r="F492" s="21">
        <v>1</v>
      </c>
      <c r="G492" s="21">
        <v>3.16</v>
      </c>
      <c r="H492" s="21">
        <v>118.17</v>
      </c>
      <c r="I492" s="21">
        <v>373.96</v>
      </c>
    </row>
    <row r="493" spans="1:9" ht="15" customHeight="1" x14ac:dyDescent="0.3">
      <c r="A493" s="21" t="s">
        <v>877</v>
      </c>
      <c r="B493" s="21">
        <v>2017</v>
      </c>
      <c r="C493" s="21">
        <v>11</v>
      </c>
      <c r="D493" s="21">
        <v>26</v>
      </c>
      <c r="E493" s="21" t="s">
        <v>319</v>
      </c>
      <c r="F493" s="21">
        <v>1</v>
      </c>
      <c r="G493" s="21">
        <v>2.8</v>
      </c>
      <c r="H493" s="21">
        <v>104.88</v>
      </c>
      <c r="I493" s="21">
        <v>374.57</v>
      </c>
    </row>
    <row r="494" spans="1:9" ht="15" customHeight="1" x14ac:dyDescent="0.3">
      <c r="A494" s="21" t="s">
        <v>878</v>
      </c>
      <c r="B494" s="21">
        <v>2017</v>
      </c>
      <c r="C494" s="21">
        <v>11</v>
      </c>
      <c r="D494" s="21">
        <v>27</v>
      </c>
      <c r="E494" s="21" t="s">
        <v>299</v>
      </c>
      <c r="F494" s="21">
        <v>0</v>
      </c>
      <c r="G494" s="21">
        <v>3.69</v>
      </c>
      <c r="H494" s="21">
        <v>138.13999999999999</v>
      </c>
      <c r="I494" s="21">
        <v>374.36</v>
      </c>
    </row>
    <row r="495" spans="1:9" ht="15" customHeight="1" x14ac:dyDescent="0.3">
      <c r="A495" s="21" t="s">
        <v>879</v>
      </c>
      <c r="B495" s="21">
        <v>2017</v>
      </c>
      <c r="C495" s="21">
        <v>11</v>
      </c>
      <c r="D495" s="21">
        <v>28</v>
      </c>
      <c r="E495" s="21" t="s">
        <v>303</v>
      </c>
      <c r="F495" s="21">
        <v>0</v>
      </c>
      <c r="G495" s="21">
        <v>3.41</v>
      </c>
      <c r="H495" s="21">
        <v>127.83</v>
      </c>
      <c r="I495" s="21">
        <v>374.87</v>
      </c>
    </row>
    <row r="496" spans="1:9" ht="15" customHeight="1" x14ac:dyDescent="0.3">
      <c r="A496" s="21" t="s">
        <v>880</v>
      </c>
      <c r="B496" s="21">
        <v>2017</v>
      </c>
      <c r="C496" s="21">
        <v>11</v>
      </c>
      <c r="D496" s="21">
        <v>29</v>
      </c>
      <c r="E496" s="21" t="s">
        <v>307</v>
      </c>
      <c r="F496" s="21">
        <v>0</v>
      </c>
      <c r="G496" s="21">
        <v>3.85</v>
      </c>
      <c r="H496" s="21">
        <v>144</v>
      </c>
      <c r="I496" s="21">
        <v>374.03</v>
      </c>
    </row>
    <row r="497" spans="1:9" ht="15" customHeight="1" x14ac:dyDescent="0.3">
      <c r="A497" s="21" t="s">
        <v>881</v>
      </c>
      <c r="B497" s="21">
        <v>2017</v>
      </c>
      <c r="C497" s="21">
        <v>11</v>
      </c>
      <c r="D497" s="21">
        <v>30</v>
      </c>
      <c r="E497" s="21" t="s">
        <v>310</v>
      </c>
      <c r="F497" s="21">
        <v>0</v>
      </c>
      <c r="G497" s="21">
        <v>3.94</v>
      </c>
      <c r="H497" s="21">
        <v>147.5</v>
      </c>
      <c r="I497" s="21">
        <v>374.37</v>
      </c>
    </row>
    <row r="498" spans="1:9" ht="15" customHeight="1" x14ac:dyDescent="0.3">
      <c r="A498" s="21" t="s">
        <v>114</v>
      </c>
      <c r="B498" s="21">
        <v>2017</v>
      </c>
      <c r="C498" s="21">
        <v>12</v>
      </c>
      <c r="D498" s="21">
        <v>1</v>
      </c>
      <c r="E498" s="21" t="s">
        <v>313</v>
      </c>
      <c r="F498" s="21">
        <v>0</v>
      </c>
      <c r="G498" s="21">
        <v>5.65</v>
      </c>
      <c r="H498" s="21">
        <v>195.08</v>
      </c>
      <c r="I498" s="21">
        <v>345.27</v>
      </c>
    </row>
    <row r="499" spans="1:9" ht="15" customHeight="1" x14ac:dyDescent="0.3">
      <c r="A499" s="21" t="s">
        <v>882</v>
      </c>
      <c r="B499" s="21">
        <v>2017</v>
      </c>
      <c r="C499" s="21">
        <v>12</v>
      </c>
      <c r="D499" s="21">
        <v>2</v>
      </c>
      <c r="E499" s="21" t="s">
        <v>316</v>
      </c>
      <c r="F499" s="21">
        <v>1</v>
      </c>
      <c r="G499" s="21">
        <v>4.8600000000000003</v>
      </c>
      <c r="H499" s="21">
        <v>167.72</v>
      </c>
      <c r="I499" s="21">
        <v>345.1</v>
      </c>
    </row>
    <row r="500" spans="1:9" ht="15" customHeight="1" x14ac:dyDescent="0.3">
      <c r="A500" s="21" t="s">
        <v>883</v>
      </c>
      <c r="B500" s="21">
        <v>2017</v>
      </c>
      <c r="C500" s="21">
        <v>12</v>
      </c>
      <c r="D500" s="21">
        <v>3</v>
      </c>
      <c r="E500" s="21" t="s">
        <v>319</v>
      </c>
      <c r="F500" s="21">
        <v>1</v>
      </c>
      <c r="G500" s="21">
        <v>4.1100000000000003</v>
      </c>
      <c r="H500" s="21">
        <v>141.93</v>
      </c>
      <c r="I500" s="21">
        <v>345.33</v>
      </c>
    </row>
    <row r="501" spans="1:9" ht="15" customHeight="1" x14ac:dyDescent="0.3">
      <c r="A501" s="21" t="s">
        <v>884</v>
      </c>
      <c r="B501" s="21">
        <v>2017</v>
      </c>
      <c r="C501" s="21">
        <v>12</v>
      </c>
      <c r="D501" s="21">
        <v>4</v>
      </c>
      <c r="E501" s="21" t="s">
        <v>299</v>
      </c>
      <c r="F501" s="21">
        <v>0</v>
      </c>
      <c r="G501" s="21">
        <v>4.93</v>
      </c>
      <c r="H501" s="21">
        <v>169.99</v>
      </c>
      <c r="I501" s="21">
        <v>344.81</v>
      </c>
    </row>
    <row r="502" spans="1:9" ht="15" customHeight="1" x14ac:dyDescent="0.3">
      <c r="A502" s="21" t="s">
        <v>885</v>
      </c>
      <c r="B502" s="21">
        <v>2017</v>
      </c>
      <c r="C502" s="21">
        <v>12</v>
      </c>
      <c r="D502" s="21">
        <v>5</v>
      </c>
      <c r="E502" s="21" t="s">
        <v>303</v>
      </c>
      <c r="F502" s="21">
        <v>0</v>
      </c>
      <c r="G502" s="21">
        <v>4.9000000000000004</v>
      </c>
      <c r="H502" s="21">
        <v>169.13</v>
      </c>
      <c r="I502" s="21">
        <v>345.16</v>
      </c>
    </row>
    <row r="503" spans="1:9" ht="15" customHeight="1" x14ac:dyDescent="0.3">
      <c r="A503" s="21" t="s">
        <v>886</v>
      </c>
      <c r="B503" s="21">
        <v>2017</v>
      </c>
      <c r="C503" s="21">
        <v>12</v>
      </c>
      <c r="D503" s="21">
        <v>6</v>
      </c>
      <c r="E503" s="21" t="s">
        <v>307</v>
      </c>
      <c r="F503" s="21">
        <v>0</v>
      </c>
      <c r="G503" s="21">
        <v>4.7</v>
      </c>
      <c r="H503" s="21">
        <v>162.31</v>
      </c>
      <c r="I503" s="21">
        <v>345.34</v>
      </c>
    </row>
    <row r="504" spans="1:9" ht="15" customHeight="1" x14ac:dyDescent="0.3">
      <c r="A504" s="21" t="s">
        <v>887</v>
      </c>
      <c r="B504" s="21">
        <v>2017</v>
      </c>
      <c r="C504" s="21">
        <v>12</v>
      </c>
      <c r="D504" s="21">
        <v>7</v>
      </c>
      <c r="E504" s="21" t="s">
        <v>310</v>
      </c>
      <c r="F504" s="21">
        <v>0</v>
      </c>
      <c r="G504" s="21">
        <v>4.57</v>
      </c>
      <c r="H504" s="21">
        <v>157.75</v>
      </c>
      <c r="I504" s="21">
        <v>345.19</v>
      </c>
    </row>
    <row r="505" spans="1:9" ht="15" customHeight="1" x14ac:dyDescent="0.3">
      <c r="A505" s="21" t="s">
        <v>888</v>
      </c>
      <c r="B505" s="21">
        <v>2017</v>
      </c>
      <c r="C505" s="21">
        <v>12</v>
      </c>
      <c r="D505" s="21">
        <v>8</v>
      </c>
      <c r="E505" s="21" t="s">
        <v>313</v>
      </c>
      <c r="F505" s="21">
        <v>0</v>
      </c>
      <c r="G505" s="21">
        <v>5.28</v>
      </c>
      <c r="H505" s="21">
        <v>182.29</v>
      </c>
      <c r="I505" s="21">
        <v>345.25</v>
      </c>
    </row>
    <row r="506" spans="1:9" ht="15" customHeight="1" x14ac:dyDescent="0.3">
      <c r="A506" s="21" t="s">
        <v>889</v>
      </c>
      <c r="B506" s="21">
        <v>2017</v>
      </c>
      <c r="C506" s="21">
        <v>12</v>
      </c>
      <c r="D506" s="21">
        <v>9</v>
      </c>
      <c r="E506" s="21" t="s">
        <v>316</v>
      </c>
      <c r="F506" s="21">
        <v>1</v>
      </c>
      <c r="G506" s="21">
        <v>4.07</v>
      </c>
      <c r="H506" s="21">
        <v>140.26</v>
      </c>
      <c r="I506" s="21">
        <v>344.62</v>
      </c>
    </row>
    <row r="507" spans="1:9" ht="15" customHeight="1" x14ac:dyDescent="0.3">
      <c r="A507" s="21" t="s">
        <v>890</v>
      </c>
      <c r="B507" s="21">
        <v>2017</v>
      </c>
      <c r="C507" s="21">
        <v>12</v>
      </c>
      <c r="D507" s="21">
        <v>10</v>
      </c>
      <c r="E507" s="21" t="s">
        <v>319</v>
      </c>
      <c r="F507" s="21">
        <v>1</v>
      </c>
      <c r="G507" s="21">
        <v>3.84</v>
      </c>
      <c r="H507" s="21">
        <v>132.61000000000001</v>
      </c>
      <c r="I507" s="21">
        <v>345.34</v>
      </c>
    </row>
    <row r="508" spans="1:9" ht="15" customHeight="1" x14ac:dyDescent="0.3">
      <c r="A508" s="21" t="s">
        <v>891</v>
      </c>
      <c r="B508" s="21">
        <v>2017</v>
      </c>
      <c r="C508" s="21">
        <v>12</v>
      </c>
      <c r="D508" s="21">
        <v>11</v>
      </c>
      <c r="E508" s="21" t="s">
        <v>299</v>
      </c>
      <c r="F508" s="21">
        <v>0</v>
      </c>
      <c r="G508" s="21">
        <v>4.9000000000000004</v>
      </c>
      <c r="H508" s="21">
        <v>169.11</v>
      </c>
      <c r="I508" s="21">
        <v>345.12</v>
      </c>
    </row>
    <row r="509" spans="1:9" ht="15" customHeight="1" x14ac:dyDescent="0.3">
      <c r="A509" s="21" t="s">
        <v>892</v>
      </c>
      <c r="B509" s="21">
        <v>2017</v>
      </c>
      <c r="C509" s="21">
        <v>12</v>
      </c>
      <c r="D509" s="21">
        <v>12</v>
      </c>
      <c r="E509" s="21" t="s">
        <v>303</v>
      </c>
      <c r="F509" s="21">
        <v>0</v>
      </c>
      <c r="G509" s="21">
        <v>4.57</v>
      </c>
      <c r="H509" s="21">
        <v>157.68</v>
      </c>
      <c r="I509" s="21">
        <v>345.03</v>
      </c>
    </row>
    <row r="510" spans="1:9" ht="15" customHeight="1" x14ac:dyDescent="0.3">
      <c r="A510" s="21" t="s">
        <v>893</v>
      </c>
      <c r="B510" s="21">
        <v>2017</v>
      </c>
      <c r="C510" s="21">
        <v>12</v>
      </c>
      <c r="D510" s="21">
        <v>13</v>
      </c>
      <c r="E510" s="21" t="s">
        <v>307</v>
      </c>
      <c r="F510" s="21">
        <v>0</v>
      </c>
      <c r="G510" s="21">
        <v>4.5</v>
      </c>
      <c r="H510" s="21">
        <v>155.22</v>
      </c>
      <c r="I510" s="21">
        <v>344.93</v>
      </c>
    </row>
    <row r="511" spans="1:9" ht="15" customHeight="1" x14ac:dyDescent="0.3">
      <c r="A511" s="21" t="s">
        <v>894</v>
      </c>
      <c r="B511" s="21">
        <v>2017</v>
      </c>
      <c r="C511" s="21">
        <v>12</v>
      </c>
      <c r="D511" s="21">
        <v>14</v>
      </c>
      <c r="E511" s="21" t="s">
        <v>310</v>
      </c>
      <c r="F511" s="21">
        <v>0</v>
      </c>
      <c r="G511" s="21">
        <v>4.82</v>
      </c>
      <c r="H511" s="21">
        <v>166.43</v>
      </c>
      <c r="I511" s="21">
        <v>345.29</v>
      </c>
    </row>
    <row r="512" spans="1:9" ht="15" customHeight="1" x14ac:dyDescent="0.3">
      <c r="A512" s="21" t="s">
        <v>895</v>
      </c>
      <c r="B512" s="21">
        <v>2017</v>
      </c>
      <c r="C512" s="21">
        <v>12</v>
      </c>
      <c r="D512" s="21">
        <v>15</v>
      </c>
      <c r="E512" s="21" t="s">
        <v>313</v>
      </c>
      <c r="F512" s="21">
        <v>0</v>
      </c>
      <c r="G512" s="21">
        <v>5.34</v>
      </c>
      <c r="H512" s="21">
        <v>184.17</v>
      </c>
      <c r="I512" s="21">
        <v>344.89</v>
      </c>
    </row>
    <row r="513" spans="1:9" ht="15" customHeight="1" x14ac:dyDescent="0.3">
      <c r="A513" s="21" t="s">
        <v>896</v>
      </c>
      <c r="B513" s="21">
        <v>2017</v>
      </c>
      <c r="C513" s="21">
        <v>12</v>
      </c>
      <c r="D513" s="21">
        <v>16</v>
      </c>
      <c r="E513" s="21" t="s">
        <v>316</v>
      </c>
      <c r="F513" s="21">
        <v>1</v>
      </c>
      <c r="G513" s="21">
        <v>3.79</v>
      </c>
      <c r="H513" s="21">
        <v>130.85</v>
      </c>
      <c r="I513" s="21">
        <v>345.25</v>
      </c>
    </row>
    <row r="514" spans="1:9" ht="15" customHeight="1" x14ac:dyDescent="0.3">
      <c r="A514" s="21" t="s">
        <v>897</v>
      </c>
      <c r="B514" s="21">
        <v>2017</v>
      </c>
      <c r="C514" s="21">
        <v>12</v>
      </c>
      <c r="D514" s="21">
        <v>17</v>
      </c>
      <c r="E514" s="21" t="s">
        <v>319</v>
      </c>
      <c r="F514" s="21">
        <v>1</v>
      </c>
      <c r="G514" s="21">
        <v>4.07</v>
      </c>
      <c r="H514" s="21">
        <v>140.38</v>
      </c>
      <c r="I514" s="21">
        <v>344.91</v>
      </c>
    </row>
    <row r="515" spans="1:9" ht="15" customHeight="1" x14ac:dyDescent="0.3">
      <c r="A515" s="21" t="s">
        <v>898</v>
      </c>
      <c r="B515" s="21">
        <v>2017</v>
      </c>
      <c r="C515" s="21">
        <v>12</v>
      </c>
      <c r="D515" s="21">
        <v>18</v>
      </c>
      <c r="E515" s="21" t="s">
        <v>299</v>
      </c>
      <c r="F515" s="21">
        <v>0</v>
      </c>
      <c r="G515" s="21">
        <v>4.84</v>
      </c>
      <c r="H515" s="21">
        <v>166.87</v>
      </c>
      <c r="I515" s="21">
        <v>344.77</v>
      </c>
    </row>
    <row r="516" spans="1:9" ht="15" customHeight="1" x14ac:dyDescent="0.3">
      <c r="A516" s="21" t="s">
        <v>899</v>
      </c>
      <c r="B516" s="21">
        <v>2017</v>
      </c>
      <c r="C516" s="21">
        <v>12</v>
      </c>
      <c r="D516" s="21">
        <v>19</v>
      </c>
      <c r="E516" s="21" t="s">
        <v>303</v>
      </c>
      <c r="F516" s="21">
        <v>0</v>
      </c>
      <c r="G516" s="21">
        <v>4.62</v>
      </c>
      <c r="H516" s="21">
        <v>159.57</v>
      </c>
      <c r="I516" s="21">
        <v>345.39</v>
      </c>
    </row>
    <row r="517" spans="1:9" ht="15" customHeight="1" x14ac:dyDescent="0.3">
      <c r="A517" s="21" t="s">
        <v>900</v>
      </c>
      <c r="B517" s="21">
        <v>2017</v>
      </c>
      <c r="C517" s="21">
        <v>12</v>
      </c>
      <c r="D517" s="21">
        <v>20</v>
      </c>
      <c r="E517" s="21" t="s">
        <v>307</v>
      </c>
      <c r="F517" s="21">
        <v>0</v>
      </c>
      <c r="G517" s="21">
        <v>4.6100000000000003</v>
      </c>
      <c r="H517" s="21">
        <v>159.06</v>
      </c>
      <c r="I517" s="21">
        <v>345.03</v>
      </c>
    </row>
    <row r="518" spans="1:9" ht="15" customHeight="1" x14ac:dyDescent="0.3">
      <c r="A518" s="21" t="s">
        <v>901</v>
      </c>
      <c r="B518" s="21">
        <v>2017</v>
      </c>
      <c r="C518" s="21">
        <v>12</v>
      </c>
      <c r="D518" s="21">
        <v>21</v>
      </c>
      <c r="E518" s="21" t="s">
        <v>310</v>
      </c>
      <c r="F518" s="21">
        <v>0</v>
      </c>
      <c r="G518" s="21">
        <v>4.57</v>
      </c>
      <c r="H518" s="21">
        <v>157.74</v>
      </c>
      <c r="I518" s="21">
        <v>345.16</v>
      </c>
    </row>
    <row r="519" spans="1:9" ht="15" customHeight="1" x14ac:dyDescent="0.3">
      <c r="A519" s="21" t="s">
        <v>902</v>
      </c>
      <c r="B519" s="21">
        <v>2017</v>
      </c>
      <c r="C519" s="21">
        <v>12</v>
      </c>
      <c r="D519" s="21">
        <v>22</v>
      </c>
      <c r="E519" s="21" t="s">
        <v>313</v>
      </c>
      <c r="F519" s="21">
        <v>0</v>
      </c>
      <c r="G519" s="21">
        <v>5.08</v>
      </c>
      <c r="H519" s="21">
        <v>175.13</v>
      </c>
      <c r="I519" s="21">
        <v>344.74</v>
      </c>
    </row>
    <row r="520" spans="1:9" ht="15" customHeight="1" x14ac:dyDescent="0.3">
      <c r="A520" s="21" t="s">
        <v>903</v>
      </c>
      <c r="B520" s="21">
        <v>2017</v>
      </c>
      <c r="C520" s="21">
        <v>12</v>
      </c>
      <c r="D520" s="21">
        <v>23</v>
      </c>
      <c r="E520" s="21" t="s">
        <v>316</v>
      </c>
      <c r="F520" s="21">
        <v>1</v>
      </c>
      <c r="G520" s="21">
        <v>3.87</v>
      </c>
      <c r="H520" s="21">
        <v>133.61000000000001</v>
      </c>
      <c r="I520" s="21">
        <v>345.25</v>
      </c>
    </row>
    <row r="521" spans="1:9" ht="15" customHeight="1" x14ac:dyDescent="0.3">
      <c r="A521" s="21" t="s">
        <v>904</v>
      </c>
      <c r="B521" s="21">
        <v>2017</v>
      </c>
      <c r="C521" s="21">
        <v>12</v>
      </c>
      <c r="D521" s="21">
        <v>24</v>
      </c>
      <c r="E521" s="21" t="s">
        <v>319</v>
      </c>
      <c r="F521" s="21">
        <v>1</v>
      </c>
      <c r="G521" s="21">
        <v>4.03</v>
      </c>
      <c r="H521" s="21">
        <v>138.96</v>
      </c>
      <c r="I521" s="21">
        <v>344.81</v>
      </c>
    </row>
    <row r="522" spans="1:9" ht="15" customHeight="1" x14ac:dyDescent="0.3">
      <c r="A522" s="21" t="s">
        <v>905</v>
      </c>
      <c r="B522" s="21">
        <v>2017</v>
      </c>
      <c r="C522" s="21">
        <v>12</v>
      </c>
      <c r="D522" s="21">
        <v>25</v>
      </c>
      <c r="E522" s="21" t="s">
        <v>299</v>
      </c>
      <c r="F522" s="21">
        <v>0</v>
      </c>
      <c r="G522" s="21">
        <v>4.92</v>
      </c>
      <c r="H522" s="21">
        <v>169.79</v>
      </c>
      <c r="I522" s="21">
        <v>345.1</v>
      </c>
    </row>
    <row r="523" spans="1:9" ht="15" customHeight="1" x14ac:dyDescent="0.3">
      <c r="A523" s="21" t="s">
        <v>906</v>
      </c>
      <c r="B523" s="21">
        <v>2017</v>
      </c>
      <c r="C523" s="21">
        <v>12</v>
      </c>
      <c r="D523" s="21">
        <v>26</v>
      </c>
      <c r="E523" s="21" t="s">
        <v>303</v>
      </c>
      <c r="F523" s="21">
        <v>0</v>
      </c>
      <c r="G523" s="21">
        <v>4.66</v>
      </c>
      <c r="H523" s="21">
        <v>160.77000000000001</v>
      </c>
      <c r="I523" s="21">
        <v>345</v>
      </c>
    </row>
    <row r="524" spans="1:9" ht="15" customHeight="1" x14ac:dyDescent="0.3">
      <c r="A524" s="21" t="s">
        <v>907</v>
      </c>
      <c r="B524" s="21">
        <v>2017</v>
      </c>
      <c r="C524" s="21">
        <v>12</v>
      </c>
      <c r="D524" s="21">
        <v>27</v>
      </c>
      <c r="E524" s="21" t="s">
        <v>307</v>
      </c>
      <c r="F524" s="21">
        <v>0</v>
      </c>
      <c r="G524" s="21">
        <v>4.57</v>
      </c>
      <c r="H524" s="21">
        <v>157.53</v>
      </c>
      <c r="I524" s="21">
        <v>344.7</v>
      </c>
    </row>
    <row r="525" spans="1:9" ht="15" customHeight="1" x14ac:dyDescent="0.3">
      <c r="A525" s="21" t="s">
        <v>908</v>
      </c>
      <c r="B525" s="21">
        <v>2017</v>
      </c>
      <c r="C525" s="21">
        <v>12</v>
      </c>
      <c r="D525" s="21">
        <v>28</v>
      </c>
      <c r="E525" s="21" t="s">
        <v>310</v>
      </c>
      <c r="F525" s="21">
        <v>0</v>
      </c>
      <c r="G525" s="21">
        <v>4.6100000000000003</v>
      </c>
      <c r="H525" s="21">
        <v>159.13</v>
      </c>
      <c r="I525" s="21">
        <v>345.18</v>
      </c>
    </row>
    <row r="526" spans="1:9" ht="15" customHeight="1" x14ac:dyDescent="0.3">
      <c r="A526" s="21" t="s">
        <v>909</v>
      </c>
      <c r="B526" s="21">
        <v>2017</v>
      </c>
      <c r="C526" s="21">
        <v>12</v>
      </c>
      <c r="D526" s="21">
        <v>29</v>
      </c>
      <c r="E526" s="21" t="s">
        <v>313</v>
      </c>
      <c r="F526" s="21">
        <v>0</v>
      </c>
      <c r="G526" s="21">
        <v>5.18</v>
      </c>
      <c r="H526" s="21">
        <v>178.56</v>
      </c>
      <c r="I526" s="21">
        <v>344.71</v>
      </c>
    </row>
    <row r="527" spans="1:9" ht="15" customHeight="1" x14ac:dyDescent="0.3">
      <c r="A527" s="21" t="s">
        <v>910</v>
      </c>
      <c r="B527" s="21">
        <v>2017</v>
      </c>
      <c r="C527" s="21">
        <v>12</v>
      </c>
      <c r="D527" s="21">
        <v>30</v>
      </c>
      <c r="E527" s="21" t="s">
        <v>316</v>
      </c>
      <c r="F527" s="21">
        <v>1</v>
      </c>
      <c r="G527" s="21">
        <v>4.67</v>
      </c>
      <c r="H527" s="21">
        <v>161.09</v>
      </c>
      <c r="I527" s="21">
        <v>344.95</v>
      </c>
    </row>
    <row r="528" spans="1:9" ht="15" customHeight="1" x14ac:dyDescent="0.3">
      <c r="A528" s="21" t="s">
        <v>911</v>
      </c>
      <c r="B528" s="21">
        <v>2017</v>
      </c>
      <c r="C528" s="21">
        <v>12</v>
      </c>
      <c r="D528" s="21">
        <v>31</v>
      </c>
      <c r="E528" s="21" t="s">
        <v>319</v>
      </c>
      <c r="F528" s="21">
        <v>1</v>
      </c>
      <c r="G528" s="21">
        <v>4.43</v>
      </c>
      <c r="H528" s="21">
        <v>152.83000000000001</v>
      </c>
      <c r="I528" s="21">
        <v>344.99</v>
      </c>
    </row>
    <row r="529" spans="1:9" ht="15" customHeight="1" x14ac:dyDescent="0.3">
      <c r="A529" s="21" t="s">
        <v>115</v>
      </c>
      <c r="B529" s="21">
        <v>2018</v>
      </c>
      <c r="C529" s="21">
        <v>1</v>
      </c>
      <c r="D529" s="21">
        <v>1</v>
      </c>
      <c r="E529" s="21" t="s">
        <v>299</v>
      </c>
      <c r="F529" s="21">
        <v>0</v>
      </c>
      <c r="G529" s="21">
        <v>5.93</v>
      </c>
      <c r="H529" s="21">
        <v>205.62</v>
      </c>
      <c r="I529" s="21">
        <v>346.75</v>
      </c>
    </row>
    <row r="530" spans="1:9" ht="15" customHeight="1" x14ac:dyDescent="0.3">
      <c r="A530" s="21" t="s">
        <v>912</v>
      </c>
      <c r="B530" s="21">
        <v>2018</v>
      </c>
      <c r="C530" s="21">
        <v>1</v>
      </c>
      <c r="D530" s="21">
        <v>2</v>
      </c>
      <c r="E530" s="21" t="s">
        <v>303</v>
      </c>
      <c r="F530" s="21">
        <v>0</v>
      </c>
      <c r="G530" s="21">
        <v>5.76</v>
      </c>
      <c r="H530" s="21">
        <v>199.68</v>
      </c>
      <c r="I530" s="21">
        <v>346.67</v>
      </c>
    </row>
    <row r="531" spans="1:9" ht="15" customHeight="1" x14ac:dyDescent="0.3">
      <c r="A531" s="21" t="s">
        <v>913</v>
      </c>
      <c r="B531" s="21">
        <v>2018</v>
      </c>
      <c r="C531" s="21">
        <v>1</v>
      </c>
      <c r="D531" s="21">
        <v>3</v>
      </c>
      <c r="E531" s="21" t="s">
        <v>307</v>
      </c>
      <c r="F531" s="21">
        <v>0</v>
      </c>
      <c r="G531" s="21">
        <v>4.6500000000000004</v>
      </c>
      <c r="H531" s="21">
        <v>161.30000000000001</v>
      </c>
      <c r="I531" s="21">
        <v>346.88</v>
      </c>
    </row>
    <row r="532" spans="1:9" ht="15" customHeight="1" x14ac:dyDescent="0.3">
      <c r="A532" s="21" t="s">
        <v>914</v>
      </c>
      <c r="B532" s="21">
        <v>2018</v>
      </c>
      <c r="C532" s="21">
        <v>1</v>
      </c>
      <c r="D532" s="21">
        <v>4</v>
      </c>
      <c r="E532" s="21" t="s">
        <v>310</v>
      </c>
      <c r="F532" s="21">
        <v>0</v>
      </c>
      <c r="G532" s="21">
        <v>4.9800000000000004</v>
      </c>
      <c r="H532" s="21">
        <v>172.57</v>
      </c>
      <c r="I532" s="21">
        <v>346.53</v>
      </c>
    </row>
    <row r="533" spans="1:9" ht="15" customHeight="1" x14ac:dyDescent="0.3">
      <c r="A533" s="21" t="s">
        <v>915</v>
      </c>
      <c r="B533" s="21">
        <v>2018</v>
      </c>
      <c r="C533" s="21">
        <v>1</v>
      </c>
      <c r="D533" s="21">
        <v>5</v>
      </c>
      <c r="E533" s="21" t="s">
        <v>313</v>
      </c>
      <c r="F533" s="21">
        <v>0</v>
      </c>
      <c r="G533" s="21">
        <v>5.19</v>
      </c>
      <c r="H533" s="21">
        <v>180.02</v>
      </c>
      <c r="I533" s="21">
        <v>346.86</v>
      </c>
    </row>
    <row r="534" spans="1:9" ht="15" customHeight="1" x14ac:dyDescent="0.3">
      <c r="A534" s="21" t="s">
        <v>916</v>
      </c>
      <c r="B534" s="21">
        <v>2018</v>
      </c>
      <c r="C534" s="21">
        <v>1</v>
      </c>
      <c r="D534" s="21">
        <v>6</v>
      </c>
      <c r="E534" s="21" t="s">
        <v>316</v>
      </c>
      <c r="F534" s="21">
        <v>1</v>
      </c>
      <c r="G534" s="21">
        <v>4.25</v>
      </c>
      <c r="H534" s="21">
        <v>147.24</v>
      </c>
      <c r="I534" s="21">
        <v>346.45</v>
      </c>
    </row>
    <row r="535" spans="1:9" ht="15" customHeight="1" x14ac:dyDescent="0.3">
      <c r="A535" s="21" t="s">
        <v>917</v>
      </c>
      <c r="B535" s="21">
        <v>2018</v>
      </c>
      <c r="C535" s="21">
        <v>1</v>
      </c>
      <c r="D535" s="21">
        <v>7</v>
      </c>
      <c r="E535" s="21" t="s">
        <v>319</v>
      </c>
      <c r="F535" s="21">
        <v>1</v>
      </c>
      <c r="G535" s="21">
        <v>4.05</v>
      </c>
      <c r="H535" s="21">
        <v>140.44999999999999</v>
      </c>
      <c r="I535" s="21">
        <v>346.79</v>
      </c>
    </row>
    <row r="536" spans="1:9" ht="15" customHeight="1" x14ac:dyDescent="0.3">
      <c r="A536" s="21" t="s">
        <v>918</v>
      </c>
      <c r="B536" s="21">
        <v>2018</v>
      </c>
      <c r="C536" s="21">
        <v>1</v>
      </c>
      <c r="D536" s="21">
        <v>8</v>
      </c>
      <c r="E536" s="21" t="s">
        <v>299</v>
      </c>
      <c r="F536" s="21">
        <v>0</v>
      </c>
      <c r="G536" s="21">
        <v>4.88</v>
      </c>
      <c r="H536" s="21">
        <v>169.1</v>
      </c>
      <c r="I536" s="21">
        <v>346.52</v>
      </c>
    </row>
    <row r="537" spans="1:9" ht="15" customHeight="1" x14ac:dyDescent="0.3">
      <c r="A537" s="21" t="s">
        <v>919</v>
      </c>
      <c r="B537" s="21">
        <v>2018</v>
      </c>
      <c r="C537" s="21">
        <v>1</v>
      </c>
      <c r="D537" s="21">
        <v>9</v>
      </c>
      <c r="E537" s="21" t="s">
        <v>303</v>
      </c>
      <c r="F537" s="21">
        <v>0</v>
      </c>
      <c r="G537" s="21">
        <v>4.66</v>
      </c>
      <c r="H537" s="21">
        <v>161.52000000000001</v>
      </c>
      <c r="I537" s="21">
        <v>346.61</v>
      </c>
    </row>
    <row r="538" spans="1:9" ht="15" customHeight="1" x14ac:dyDescent="0.3">
      <c r="A538" s="21" t="s">
        <v>920</v>
      </c>
      <c r="B538" s="21">
        <v>2018</v>
      </c>
      <c r="C538" s="21">
        <v>1</v>
      </c>
      <c r="D538" s="21">
        <v>10</v>
      </c>
      <c r="E538" s="21" t="s">
        <v>307</v>
      </c>
      <c r="F538" s="21">
        <v>0</v>
      </c>
      <c r="G538" s="21">
        <v>4.9000000000000004</v>
      </c>
      <c r="H538" s="21">
        <v>170.05</v>
      </c>
      <c r="I538" s="21">
        <v>347.04</v>
      </c>
    </row>
    <row r="539" spans="1:9" ht="15" customHeight="1" x14ac:dyDescent="0.3">
      <c r="A539" s="21" t="s">
        <v>921</v>
      </c>
      <c r="B539" s="21">
        <v>2018</v>
      </c>
      <c r="C539" s="21">
        <v>1</v>
      </c>
      <c r="D539" s="21">
        <v>11</v>
      </c>
      <c r="E539" s="21" t="s">
        <v>310</v>
      </c>
      <c r="F539" s="21">
        <v>0</v>
      </c>
      <c r="G539" s="21">
        <v>4.93</v>
      </c>
      <c r="H539" s="21">
        <v>171.13</v>
      </c>
      <c r="I539" s="21">
        <v>347.12</v>
      </c>
    </row>
    <row r="540" spans="1:9" ht="15" customHeight="1" x14ac:dyDescent="0.3">
      <c r="A540" s="21" t="s">
        <v>922</v>
      </c>
      <c r="B540" s="21">
        <v>2018</v>
      </c>
      <c r="C540" s="21">
        <v>1</v>
      </c>
      <c r="D540" s="21">
        <v>12</v>
      </c>
      <c r="E540" s="21" t="s">
        <v>313</v>
      </c>
      <c r="F540" s="21">
        <v>0</v>
      </c>
      <c r="G540" s="21">
        <v>5.16</v>
      </c>
      <c r="H540" s="21">
        <v>178.78</v>
      </c>
      <c r="I540" s="21">
        <v>346.47</v>
      </c>
    </row>
    <row r="541" spans="1:9" ht="15" customHeight="1" x14ac:dyDescent="0.3">
      <c r="A541" s="21" t="s">
        <v>923</v>
      </c>
      <c r="B541" s="21">
        <v>2018</v>
      </c>
      <c r="C541" s="21">
        <v>1</v>
      </c>
      <c r="D541" s="21">
        <v>13</v>
      </c>
      <c r="E541" s="21" t="s">
        <v>316</v>
      </c>
      <c r="F541" s="21">
        <v>1</v>
      </c>
      <c r="G541" s="21">
        <v>4.26</v>
      </c>
      <c r="H541" s="21">
        <v>147.59</v>
      </c>
      <c r="I541" s="21">
        <v>346.46</v>
      </c>
    </row>
    <row r="542" spans="1:9" ht="15" customHeight="1" x14ac:dyDescent="0.3">
      <c r="A542" s="21" t="s">
        <v>924</v>
      </c>
      <c r="B542" s="21">
        <v>2018</v>
      </c>
      <c r="C542" s="21">
        <v>1</v>
      </c>
      <c r="D542" s="21">
        <v>14</v>
      </c>
      <c r="E542" s="21" t="s">
        <v>319</v>
      </c>
      <c r="F542" s="21">
        <v>1</v>
      </c>
      <c r="G542" s="21">
        <v>3.92</v>
      </c>
      <c r="H542" s="21">
        <v>135.87</v>
      </c>
      <c r="I542" s="21">
        <v>346.61</v>
      </c>
    </row>
    <row r="543" spans="1:9" ht="15" customHeight="1" x14ac:dyDescent="0.3">
      <c r="A543" s="21" t="s">
        <v>925</v>
      </c>
      <c r="B543" s="21">
        <v>2018</v>
      </c>
      <c r="C543" s="21">
        <v>1</v>
      </c>
      <c r="D543" s="21">
        <v>15</v>
      </c>
      <c r="E543" s="21" t="s">
        <v>299</v>
      </c>
      <c r="F543" s="21">
        <v>0</v>
      </c>
      <c r="G543" s="21">
        <v>5.13</v>
      </c>
      <c r="H543" s="21">
        <v>177.96</v>
      </c>
      <c r="I543" s="21">
        <v>346.9</v>
      </c>
    </row>
    <row r="544" spans="1:9" ht="15" customHeight="1" x14ac:dyDescent="0.3">
      <c r="A544" s="21" t="s">
        <v>926</v>
      </c>
      <c r="B544" s="21">
        <v>2018</v>
      </c>
      <c r="C544" s="21">
        <v>1</v>
      </c>
      <c r="D544" s="21">
        <v>16</v>
      </c>
      <c r="E544" s="21" t="s">
        <v>303</v>
      </c>
      <c r="F544" s="21">
        <v>0</v>
      </c>
      <c r="G544" s="21">
        <v>4.72</v>
      </c>
      <c r="H544" s="21">
        <v>163.63999999999999</v>
      </c>
      <c r="I544" s="21">
        <v>346.69</v>
      </c>
    </row>
    <row r="545" spans="1:9" ht="15" customHeight="1" x14ac:dyDescent="0.3">
      <c r="A545" s="21" t="s">
        <v>927</v>
      </c>
      <c r="B545" s="21">
        <v>2018</v>
      </c>
      <c r="C545" s="21">
        <v>1</v>
      </c>
      <c r="D545" s="21">
        <v>17</v>
      </c>
      <c r="E545" s="21" t="s">
        <v>307</v>
      </c>
      <c r="F545" s="21">
        <v>0</v>
      </c>
      <c r="G545" s="21">
        <v>4.8</v>
      </c>
      <c r="H545" s="21">
        <v>166.49</v>
      </c>
      <c r="I545" s="21">
        <v>346.85</v>
      </c>
    </row>
    <row r="546" spans="1:9" ht="15" customHeight="1" x14ac:dyDescent="0.3">
      <c r="A546" s="21" t="s">
        <v>928</v>
      </c>
      <c r="B546" s="21">
        <v>2018</v>
      </c>
      <c r="C546" s="21">
        <v>1</v>
      </c>
      <c r="D546" s="21">
        <v>18</v>
      </c>
      <c r="E546" s="21" t="s">
        <v>310</v>
      </c>
      <c r="F546" s="21">
        <v>0</v>
      </c>
      <c r="G546" s="21">
        <v>4.9000000000000004</v>
      </c>
      <c r="H546" s="21">
        <v>170.05</v>
      </c>
      <c r="I546" s="21">
        <v>347.04</v>
      </c>
    </row>
    <row r="547" spans="1:9" ht="15" customHeight="1" x14ac:dyDescent="0.3">
      <c r="A547" s="21" t="s">
        <v>929</v>
      </c>
      <c r="B547" s="21">
        <v>2018</v>
      </c>
      <c r="C547" s="21">
        <v>1</v>
      </c>
      <c r="D547" s="21">
        <v>19</v>
      </c>
      <c r="E547" s="21" t="s">
        <v>313</v>
      </c>
      <c r="F547" s="21">
        <v>0</v>
      </c>
      <c r="G547" s="21">
        <v>5.16</v>
      </c>
      <c r="H547" s="21">
        <v>179.01</v>
      </c>
      <c r="I547" s="21">
        <v>346.92</v>
      </c>
    </row>
    <row r="548" spans="1:9" ht="15" customHeight="1" x14ac:dyDescent="0.3">
      <c r="A548" s="21" t="s">
        <v>930</v>
      </c>
      <c r="B548" s="21">
        <v>2018</v>
      </c>
      <c r="C548" s="21">
        <v>1</v>
      </c>
      <c r="D548" s="21">
        <v>20</v>
      </c>
      <c r="E548" s="21" t="s">
        <v>316</v>
      </c>
      <c r="F548" s="21">
        <v>1</v>
      </c>
      <c r="G548" s="21">
        <v>4.1100000000000003</v>
      </c>
      <c r="H548" s="21">
        <v>142.38</v>
      </c>
      <c r="I548" s="21">
        <v>346.42</v>
      </c>
    </row>
    <row r="549" spans="1:9" ht="15" customHeight="1" x14ac:dyDescent="0.3">
      <c r="A549" s="21" t="s">
        <v>931</v>
      </c>
      <c r="B549" s="21">
        <v>2018</v>
      </c>
      <c r="C549" s="21">
        <v>1</v>
      </c>
      <c r="D549" s="21">
        <v>21</v>
      </c>
      <c r="E549" s="21" t="s">
        <v>319</v>
      </c>
      <c r="F549" s="21">
        <v>1</v>
      </c>
      <c r="G549" s="21">
        <v>4.3099999999999996</v>
      </c>
      <c r="H549" s="21">
        <v>149.46</v>
      </c>
      <c r="I549" s="21">
        <v>346.77</v>
      </c>
    </row>
    <row r="550" spans="1:9" ht="15" customHeight="1" x14ac:dyDescent="0.3">
      <c r="A550" s="21" t="s">
        <v>932</v>
      </c>
      <c r="B550" s="21">
        <v>2018</v>
      </c>
      <c r="C550" s="21">
        <v>1</v>
      </c>
      <c r="D550" s="21">
        <v>22</v>
      </c>
      <c r="E550" s="21" t="s">
        <v>299</v>
      </c>
      <c r="F550" s="21">
        <v>0</v>
      </c>
      <c r="G550" s="21">
        <v>5.0599999999999996</v>
      </c>
      <c r="H550" s="21">
        <v>175.36</v>
      </c>
      <c r="I550" s="21">
        <v>346.56</v>
      </c>
    </row>
    <row r="551" spans="1:9" ht="15" customHeight="1" x14ac:dyDescent="0.3">
      <c r="A551" s="21" t="s">
        <v>933</v>
      </c>
      <c r="B551" s="21">
        <v>2018</v>
      </c>
      <c r="C551" s="21">
        <v>1</v>
      </c>
      <c r="D551" s="21">
        <v>23</v>
      </c>
      <c r="E551" s="21" t="s">
        <v>303</v>
      </c>
      <c r="F551" s="21">
        <v>0</v>
      </c>
      <c r="G551" s="21">
        <v>5.0199999999999996</v>
      </c>
      <c r="H551" s="21">
        <v>174.06</v>
      </c>
      <c r="I551" s="21">
        <v>346.73</v>
      </c>
    </row>
    <row r="552" spans="1:9" ht="15" customHeight="1" x14ac:dyDescent="0.3">
      <c r="A552" s="21" t="s">
        <v>934</v>
      </c>
      <c r="B552" s="21">
        <v>2018</v>
      </c>
      <c r="C552" s="21">
        <v>1</v>
      </c>
      <c r="D552" s="21">
        <v>24</v>
      </c>
      <c r="E552" s="21" t="s">
        <v>307</v>
      </c>
      <c r="F552" s="21">
        <v>0</v>
      </c>
      <c r="G552" s="21">
        <v>4.7300000000000004</v>
      </c>
      <c r="H552" s="21">
        <v>164.05</v>
      </c>
      <c r="I552" s="21">
        <v>346.83</v>
      </c>
    </row>
    <row r="553" spans="1:9" ht="15" customHeight="1" x14ac:dyDescent="0.3">
      <c r="A553" s="21" t="s">
        <v>935</v>
      </c>
      <c r="B553" s="21">
        <v>2018</v>
      </c>
      <c r="C553" s="21">
        <v>1</v>
      </c>
      <c r="D553" s="21">
        <v>25</v>
      </c>
      <c r="E553" s="21" t="s">
        <v>310</v>
      </c>
      <c r="F553" s="21">
        <v>0</v>
      </c>
      <c r="G553" s="21">
        <v>4.97</v>
      </c>
      <c r="H553" s="21">
        <v>172.51</v>
      </c>
      <c r="I553" s="21">
        <v>347.1</v>
      </c>
    </row>
    <row r="554" spans="1:9" ht="15" customHeight="1" x14ac:dyDescent="0.3">
      <c r="A554" s="21" t="s">
        <v>936</v>
      </c>
      <c r="B554" s="21">
        <v>2018</v>
      </c>
      <c r="C554" s="21">
        <v>1</v>
      </c>
      <c r="D554" s="21">
        <v>26</v>
      </c>
      <c r="E554" s="21" t="s">
        <v>313</v>
      </c>
      <c r="F554" s="21">
        <v>0</v>
      </c>
      <c r="G554" s="21">
        <v>5.5</v>
      </c>
      <c r="H554" s="21">
        <v>190.73</v>
      </c>
      <c r="I554" s="21">
        <v>346.78</v>
      </c>
    </row>
    <row r="555" spans="1:9" ht="15" customHeight="1" x14ac:dyDescent="0.3">
      <c r="A555" s="21" t="s">
        <v>937</v>
      </c>
      <c r="B555" s="21">
        <v>2018</v>
      </c>
      <c r="C555" s="21">
        <v>1</v>
      </c>
      <c r="D555" s="21">
        <v>27</v>
      </c>
      <c r="E555" s="21" t="s">
        <v>316</v>
      </c>
      <c r="F555" s="21">
        <v>1</v>
      </c>
      <c r="G555" s="21">
        <v>3.8</v>
      </c>
      <c r="H555" s="21">
        <v>131.74</v>
      </c>
      <c r="I555" s="21">
        <v>346.68</v>
      </c>
    </row>
    <row r="556" spans="1:9" ht="15" customHeight="1" x14ac:dyDescent="0.3">
      <c r="A556" s="21" t="s">
        <v>938</v>
      </c>
      <c r="B556" s="21">
        <v>2018</v>
      </c>
      <c r="C556" s="21">
        <v>1</v>
      </c>
      <c r="D556" s="21">
        <v>28</v>
      </c>
      <c r="E556" s="21" t="s">
        <v>319</v>
      </c>
      <c r="F556" s="21">
        <v>1</v>
      </c>
      <c r="G556" s="21">
        <v>4.05</v>
      </c>
      <c r="H556" s="21">
        <v>140.28</v>
      </c>
      <c r="I556" s="21">
        <v>346.37</v>
      </c>
    </row>
    <row r="557" spans="1:9" ht="15" customHeight="1" x14ac:dyDescent="0.3">
      <c r="A557" s="21" t="s">
        <v>939</v>
      </c>
      <c r="B557" s="21">
        <v>2018</v>
      </c>
      <c r="C557" s="21">
        <v>1</v>
      </c>
      <c r="D557" s="21">
        <v>29</v>
      </c>
      <c r="E557" s="21" t="s">
        <v>299</v>
      </c>
      <c r="F557" s="21">
        <v>0</v>
      </c>
      <c r="G557" s="21">
        <v>5.23</v>
      </c>
      <c r="H557" s="21">
        <v>181.24</v>
      </c>
      <c r="I557" s="21">
        <v>346.54</v>
      </c>
    </row>
    <row r="558" spans="1:9" ht="15" customHeight="1" x14ac:dyDescent="0.3">
      <c r="A558" s="21" t="s">
        <v>940</v>
      </c>
      <c r="B558" s="21">
        <v>2018</v>
      </c>
      <c r="C558" s="21">
        <v>1</v>
      </c>
      <c r="D558" s="21">
        <v>30</v>
      </c>
      <c r="E558" s="21" t="s">
        <v>303</v>
      </c>
      <c r="F558" s="21">
        <v>0</v>
      </c>
      <c r="G558" s="21">
        <v>5.6</v>
      </c>
      <c r="H558" s="21">
        <v>194.09</v>
      </c>
      <c r="I558" s="21">
        <v>346.59</v>
      </c>
    </row>
    <row r="559" spans="1:9" ht="15" customHeight="1" x14ac:dyDescent="0.3">
      <c r="A559" s="21" t="s">
        <v>941</v>
      </c>
      <c r="B559" s="21">
        <v>2018</v>
      </c>
      <c r="C559" s="21">
        <v>1</v>
      </c>
      <c r="D559" s="21">
        <v>31</v>
      </c>
      <c r="E559" s="21" t="s">
        <v>307</v>
      </c>
      <c r="F559" s="21">
        <v>0</v>
      </c>
      <c r="G559" s="21">
        <v>5.69</v>
      </c>
      <c r="H559" s="21">
        <v>197.45</v>
      </c>
      <c r="I559" s="21">
        <v>347.01</v>
      </c>
    </row>
    <row r="560" spans="1:9" ht="15" customHeight="1" x14ac:dyDescent="0.3">
      <c r="A560" s="21" t="s">
        <v>116</v>
      </c>
      <c r="B560" s="21">
        <v>2018</v>
      </c>
      <c r="C560" s="21">
        <v>2</v>
      </c>
      <c r="D560" s="21">
        <v>1</v>
      </c>
      <c r="E560" s="21" t="s">
        <v>310</v>
      </c>
      <c r="F560" s="21">
        <v>0</v>
      </c>
      <c r="G560" s="21">
        <v>6.91</v>
      </c>
      <c r="H560" s="21">
        <v>238.17</v>
      </c>
      <c r="I560" s="21">
        <v>344.67</v>
      </c>
    </row>
    <row r="561" spans="1:9" ht="15" customHeight="1" x14ac:dyDescent="0.3">
      <c r="A561" s="21" t="s">
        <v>942</v>
      </c>
      <c r="B561" s="21">
        <v>2018</v>
      </c>
      <c r="C561" s="21">
        <v>2</v>
      </c>
      <c r="D561" s="21">
        <v>2</v>
      </c>
      <c r="E561" s="21" t="s">
        <v>313</v>
      </c>
      <c r="F561" s="21">
        <v>0</v>
      </c>
      <c r="G561" s="21">
        <v>7.62</v>
      </c>
      <c r="H561" s="21">
        <v>262.60000000000002</v>
      </c>
      <c r="I561" s="21">
        <v>344.62</v>
      </c>
    </row>
    <row r="562" spans="1:9" ht="15" customHeight="1" x14ac:dyDescent="0.3">
      <c r="A562" s="21" t="s">
        <v>943</v>
      </c>
      <c r="B562" s="21">
        <v>2018</v>
      </c>
      <c r="C562" s="21">
        <v>2</v>
      </c>
      <c r="D562" s="21">
        <v>3</v>
      </c>
      <c r="E562" s="21" t="s">
        <v>316</v>
      </c>
      <c r="F562" s="21">
        <v>1</v>
      </c>
      <c r="G562" s="21">
        <v>5.17</v>
      </c>
      <c r="H562" s="21">
        <v>178.3</v>
      </c>
      <c r="I562" s="21">
        <v>344.87</v>
      </c>
    </row>
    <row r="563" spans="1:9" ht="15" customHeight="1" x14ac:dyDescent="0.3">
      <c r="A563" s="21" t="s">
        <v>944</v>
      </c>
      <c r="B563" s="21">
        <v>2018</v>
      </c>
      <c r="C563" s="21">
        <v>2</v>
      </c>
      <c r="D563" s="21">
        <v>4</v>
      </c>
      <c r="E563" s="21" t="s">
        <v>319</v>
      </c>
      <c r="F563" s="21">
        <v>1</v>
      </c>
      <c r="G563" s="21">
        <v>5.42</v>
      </c>
      <c r="H563" s="21">
        <v>186.68</v>
      </c>
      <c r="I563" s="21">
        <v>344.43</v>
      </c>
    </row>
    <row r="564" spans="1:9" ht="15" customHeight="1" x14ac:dyDescent="0.3">
      <c r="A564" s="21" t="s">
        <v>945</v>
      </c>
      <c r="B564" s="21">
        <v>2018</v>
      </c>
      <c r="C564" s="21">
        <v>2</v>
      </c>
      <c r="D564" s="21">
        <v>5</v>
      </c>
      <c r="E564" s="21" t="s">
        <v>299</v>
      </c>
      <c r="F564" s="21">
        <v>0</v>
      </c>
      <c r="G564" s="21">
        <v>6.47</v>
      </c>
      <c r="H564" s="21">
        <v>223.08</v>
      </c>
      <c r="I564" s="21">
        <v>344.79</v>
      </c>
    </row>
    <row r="565" spans="1:9" ht="15" customHeight="1" x14ac:dyDescent="0.3">
      <c r="A565" s="21" t="s">
        <v>946</v>
      </c>
      <c r="B565" s="21">
        <v>2018</v>
      </c>
      <c r="C565" s="21">
        <v>2</v>
      </c>
      <c r="D565" s="21">
        <v>6</v>
      </c>
      <c r="E565" s="21" t="s">
        <v>303</v>
      </c>
      <c r="F565" s="21">
        <v>0</v>
      </c>
      <c r="G565" s="21">
        <v>6.18</v>
      </c>
      <c r="H565" s="21">
        <v>213.06</v>
      </c>
      <c r="I565" s="21">
        <v>344.76</v>
      </c>
    </row>
    <row r="566" spans="1:9" ht="15" customHeight="1" x14ac:dyDescent="0.3">
      <c r="A566" s="21" t="s">
        <v>947</v>
      </c>
      <c r="B566" s="21">
        <v>2018</v>
      </c>
      <c r="C566" s="21">
        <v>2</v>
      </c>
      <c r="D566" s="21">
        <v>7</v>
      </c>
      <c r="E566" s="21" t="s">
        <v>307</v>
      </c>
      <c r="F566" s="21">
        <v>0</v>
      </c>
      <c r="G566" s="21">
        <v>6.05</v>
      </c>
      <c r="H566" s="21">
        <v>208.32</v>
      </c>
      <c r="I566" s="21">
        <v>344.33</v>
      </c>
    </row>
    <row r="567" spans="1:9" ht="15" customHeight="1" x14ac:dyDescent="0.3">
      <c r="A567" s="21" t="s">
        <v>948</v>
      </c>
      <c r="B567" s="21">
        <v>2018</v>
      </c>
      <c r="C567" s="21">
        <v>2</v>
      </c>
      <c r="D567" s="21">
        <v>8</v>
      </c>
      <c r="E567" s="21" t="s">
        <v>310</v>
      </c>
      <c r="F567" s="21">
        <v>0</v>
      </c>
      <c r="G567" s="21">
        <v>6.03</v>
      </c>
      <c r="H567" s="21">
        <v>207.84</v>
      </c>
      <c r="I567" s="21">
        <v>344.68</v>
      </c>
    </row>
    <row r="568" spans="1:9" ht="15" customHeight="1" x14ac:dyDescent="0.3">
      <c r="A568" s="21" t="s">
        <v>949</v>
      </c>
      <c r="B568" s="21">
        <v>2018</v>
      </c>
      <c r="C568" s="21">
        <v>2</v>
      </c>
      <c r="D568" s="21">
        <v>9</v>
      </c>
      <c r="E568" s="21" t="s">
        <v>313</v>
      </c>
      <c r="F568" s="21">
        <v>0</v>
      </c>
      <c r="G568" s="21">
        <v>6.53</v>
      </c>
      <c r="H568" s="21">
        <v>225.07</v>
      </c>
      <c r="I568" s="21">
        <v>344.67</v>
      </c>
    </row>
    <row r="569" spans="1:9" ht="15" customHeight="1" x14ac:dyDescent="0.3">
      <c r="A569" s="21" t="s">
        <v>950</v>
      </c>
      <c r="B569" s="21">
        <v>2018</v>
      </c>
      <c r="C569" s="21">
        <v>2</v>
      </c>
      <c r="D569" s="21">
        <v>10</v>
      </c>
      <c r="E569" s="21" t="s">
        <v>316</v>
      </c>
      <c r="F569" s="21">
        <v>1</v>
      </c>
      <c r="G569" s="21">
        <v>5.28</v>
      </c>
      <c r="H569" s="21">
        <v>181.79</v>
      </c>
      <c r="I569" s="21">
        <v>344.3</v>
      </c>
    </row>
    <row r="570" spans="1:9" ht="15" customHeight="1" x14ac:dyDescent="0.3">
      <c r="A570" s="21" t="s">
        <v>951</v>
      </c>
      <c r="B570" s="21">
        <v>2018</v>
      </c>
      <c r="C570" s="21">
        <v>2</v>
      </c>
      <c r="D570" s="21">
        <v>11</v>
      </c>
      <c r="E570" s="21" t="s">
        <v>319</v>
      </c>
      <c r="F570" s="21">
        <v>1</v>
      </c>
      <c r="G570" s="21">
        <v>5.13</v>
      </c>
      <c r="H570" s="21">
        <v>176.63</v>
      </c>
      <c r="I570" s="21">
        <v>344.31</v>
      </c>
    </row>
    <row r="571" spans="1:9" ht="15" customHeight="1" x14ac:dyDescent="0.3">
      <c r="A571" s="21" t="s">
        <v>952</v>
      </c>
      <c r="B571" s="21">
        <v>2018</v>
      </c>
      <c r="C571" s="21">
        <v>2</v>
      </c>
      <c r="D571" s="21">
        <v>12</v>
      </c>
      <c r="E571" s="21" t="s">
        <v>299</v>
      </c>
      <c r="F571" s="21">
        <v>0</v>
      </c>
      <c r="G571" s="21">
        <v>6.48</v>
      </c>
      <c r="H571" s="21">
        <v>223.31</v>
      </c>
      <c r="I571" s="21">
        <v>344.61</v>
      </c>
    </row>
    <row r="572" spans="1:9" ht="15" customHeight="1" x14ac:dyDescent="0.3">
      <c r="A572" s="21" t="s">
        <v>953</v>
      </c>
      <c r="B572" s="21">
        <v>2018</v>
      </c>
      <c r="C572" s="21">
        <v>2</v>
      </c>
      <c r="D572" s="21">
        <v>13</v>
      </c>
      <c r="E572" s="21" t="s">
        <v>303</v>
      </c>
      <c r="F572" s="21">
        <v>0</v>
      </c>
      <c r="G572" s="21">
        <v>6.5</v>
      </c>
      <c r="H572" s="21">
        <v>224.06</v>
      </c>
      <c r="I572" s="21">
        <v>344.71</v>
      </c>
    </row>
    <row r="573" spans="1:9" ht="15" customHeight="1" x14ac:dyDescent="0.3">
      <c r="A573" s="21" t="s">
        <v>954</v>
      </c>
      <c r="B573" s="21">
        <v>2018</v>
      </c>
      <c r="C573" s="21">
        <v>2</v>
      </c>
      <c r="D573" s="21">
        <v>14</v>
      </c>
      <c r="E573" s="21" t="s">
        <v>307</v>
      </c>
      <c r="F573" s="21">
        <v>0</v>
      </c>
      <c r="G573" s="21">
        <v>6.28</v>
      </c>
      <c r="H573" s="21">
        <v>216.44</v>
      </c>
      <c r="I573" s="21">
        <v>344.65</v>
      </c>
    </row>
    <row r="574" spans="1:9" ht="15" customHeight="1" x14ac:dyDescent="0.3">
      <c r="A574" s="21" t="s">
        <v>955</v>
      </c>
      <c r="B574" s="21">
        <v>2018</v>
      </c>
      <c r="C574" s="21">
        <v>2</v>
      </c>
      <c r="D574" s="21">
        <v>15</v>
      </c>
      <c r="E574" s="21" t="s">
        <v>310</v>
      </c>
      <c r="F574" s="21">
        <v>0</v>
      </c>
      <c r="G574" s="21">
        <v>6.06</v>
      </c>
      <c r="H574" s="21">
        <v>208.87</v>
      </c>
      <c r="I574" s="21">
        <v>344.67</v>
      </c>
    </row>
    <row r="575" spans="1:9" ht="15" customHeight="1" x14ac:dyDescent="0.3">
      <c r="A575" s="21" t="s">
        <v>956</v>
      </c>
      <c r="B575" s="21">
        <v>2018</v>
      </c>
      <c r="C575" s="21">
        <v>2</v>
      </c>
      <c r="D575" s="21">
        <v>16</v>
      </c>
      <c r="E575" s="21" t="s">
        <v>313</v>
      </c>
      <c r="F575" s="21">
        <v>0</v>
      </c>
      <c r="G575" s="21">
        <v>6.83</v>
      </c>
      <c r="H575" s="21">
        <v>235.4</v>
      </c>
      <c r="I575" s="21">
        <v>344.66</v>
      </c>
    </row>
    <row r="576" spans="1:9" ht="15" customHeight="1" x14ac:dyDescent="0.3">
      <c r="A576" s="21" t="s">
        <v>957</v>
      </c>
      <c r="B576" s="21">
        <v>2018</v>
      </c>
      <c r="C576" s="21">
        <v>2</v>
      </c>
      <c r="D576" s="21">
        <v>17</v>
      </c>
      <c r="E576" s="21" t="s">
        <v>316</v>
      </c>
      <c r="F576" s="21">
        <v>1</v>
      </c>
      <c r="G576" s="21">
        <v>5.13</v>
      </c>
      <c r="H576" s="21">
        <v>176.71</v>
      </c>
      <c r="I576" s="21">
        <v>344.46</v>
      </c>
    </row>
    <row r="577" spans="1:9" ht="15" customHeight="1" x14ac:dyDescent="0.3">
      <c r="A577" s="21" t="s">
        <v>958</v>
      </c>
      <c r="B577" s="21">
        <v>2018</v>
      </c>
      <c r="C577" s="21">
        <v>2</v>
      </c>
      <c r="D577" s="21">
        <v>18</v>
      </c>
      <c r="E577" s="21" t="s">
        <v>319</v>
      </c>
      <c r="F577" s="21">
        <v>1</v>
      </c>
      <c r="G577" s="21">
        <v>4.83</v>
      </c>
      <c r="H577" s="21">
        <v>166.39</v>
      </c>
      <c r="I577" s="21">
        <v>344.49</v>
      </c>
    </row>
    <row r="578" spans="1:9" ht="15" customHeight="1" x14ac:dyDescent="0.3">
      <c r="A578" s="21" t="s">
        <v>959</v>
      </c>
      <c r="B578" s="21">
        <v>2018</v>
      </c>
      <c r="C578" s="21">
        <v>2</v>
      </c>
      <c r="D578" s="21">
        <v>19</v>
      </c>
      <c r="E578" s="21" t="s">
        <v>299</v>
      </c>
      <c r="F578" s="21">
        <v>0</v>
      </c>
      <c r="G578" s="21">
        <v>6.24</v>
      </c>
      <c r="H578" s="21">
        <v>215.1</v>
      </c>
      <c r="I578" s="21">
        <v>344.71</v>
      </c>
    </row>
    <row r="579" spans="1:9" ht="15" customHeight="1" x14ac:dyDescent="0.3">
      <c r="A579" s="21" t="s">
        <v>960</v>
      </c>
      <c r="B579" s="21">
        <v>2018</v>
      </c>
      <c r="C579" s="21">
        <v>2</v>
      </c>
      <c r="D579" s="21">
        <v>20</v>
      </c>
      <c r="E579" s="21" t="s">
        <v>303</v>
      </c>
      <c r="F579" s="21">
        <v>0</v>
      </c>
      <c r="G579" s="21">
        <v>5.78</v>
      </c>
      <c r="H579" s="21">
        <v>199.09</v>
      </c>
      <c r="I579" s="21">
        <v>344.45</v>
      </c>
    </row>
    <row r="580" spans="1:9" ht="15" customHeight="1" x14ac:dyDescent="0.3">
      <c r="A580" s="21" t="s">
        <v>961</v>
      </c>
      <c r="B580" s="21">
        <v>2018</v>
      </c>
      <c r="C580" s="21">
        <v>2</v>
      </c>
      <c r="D580" s="21">
        <v>21</v>
      </c>
      <c r="E580" s="21" t="s">
        <v>307</v>
      </c>
      <c r="F580" s="21">
        <v>0</v>
      </c>
      <c r="G580" s="21">
        <v>6.06</v>
      </c>
      <c r="H580" s="21">
        <v>208.7</v>
      </c>
      <c r="I580" s="21">
        <v>344.39</v>
      </c>
    </row>
    <row r="581" spans="1:9" ht="15" customHeight="1" x14ac:dyDescent="0.3">
      <c r="A581" s="21" t="s">
        <v>962</v>
      </c>
      <c r="B581" s="21">
        <v>2018</v>
      </c>
      <c r="C581" s="21">
        <v>2</v>
      </c>
      <c r="D581" s="21">
        <v>22</v>
      </c>
      <c r="E581" s="21" t="s">
        <v>310</v>
      </c>
      <c r="F581" s="21">
        <v>0</v>
      </c>
      <c r="G581" s="21">
        <v>6.12</v>
      </c>
      <c r="H581" s="21">
        <v>211.05</v>
      </c>
      <c r="I581" s="21">
        <v>344.85</v>
      </c>
    </row>
    <row r="582" spans="1:9" ht="15" customHeight="1" x14ac:dyDescent="0.3">
      <c r="A582" s="21" t="s">
        <v>963</v>
      </c>
      <c r="B582" s="21">
        <v>2018</v>
      </c>
      <c r="C582" s="21">
        <v>2</v>
      </c>
      <c r="D582" s="21">
        <v>23</v>
      </c>
      <c r="E582" s="21" t="s">
        <v>313</v>
      </c>
      <c r="F582" s="21">
        <v>0</v>
      </c>
      <c r="G582" s="21">
        <v>6.92</v>
      </c>
      <c r="H582" s="21">
        <v>238.41</v>
      </c>
      <c r="I582" s="21">
        <v>344.52</v>
      </c>
    </row>
    <row r="583" spans="1:9" ht="15" customHeight="1" x14ac:dyDescent="0.3">
      <c r="A583" s="21" t="s">
        <v>964</v>
      </c>
      <c r="B583" s="21">
        <v>2018</v>
      </c>
      <c r="C583" s="21">
        <v>2</v>
      </c>
      <c r="D583" s="21">
        <v>24</v>
      </c>
      <c r="E583" s="21" t="s">
        <v>316</v>
      </c>
      <c r="F583" s="21">
        <v>1</v>
      </c>
      <c r="G583" s="21">
        <v>5.26</v>
      </c>
      <c r="H583" s="21">
        <v>181.36</v>
      </c>
      <c r="I583" s="21">
        <v>344.79</v>
      </c>
    </row>
    <row r="584" spans="1:9" ht="15" customHeight="1" x14ac:dyDescent="0.3">
      <c r="A584" s="21" t="s">
        <v>965</v>
      </c>
      <c r="B584" s="21">
        <v>2018</v>
      </c>
      <c r="C584" s="21">
        <v>2</v>
      </c>
      <c r="D584" s="21">
        <v>25</v>
      </c>
      <c r="E584" s="21" t="s">
        <v>319</v>
      </c>
      <c r="F584" s="21">
        <v>1</v>
      </c>
      <c r="G584" s="21">
        <v>5.16</v>
      </c>
      <c r="H584" s="21">
        <v>177.9</v>
      </c>
      <c r="I584" s="21">
        <v>344.77</v>
      </c>
    </row>
    <row r="585" spans="1:9" ht="15" customHeight="1" x14ac:dyDescent="0.3">
      <c r="A585" s="21" t="s">
        <v>966</v>
      </c>
      <c r="B585" s="21">
        <v>2018</v>
      </c>
      <c r="C585" s="21">
        <v>2</v>
      </c>
      <c r="D585" s="21">
        <v>26</v>
      </c>
      <c r="E585" s="21" t="s">
        <v>299</v>
      </c>
      <c r="F585" s="21">
        <v>0</v>
      </c>
      <c r="G585" s="21">
        <v>6.58</v>
      </c>
      <c r="H585" s="21">
        <v>226.72</v>
      </c>
      <c r="I585" s="21">
        <v>344.56</v>
      </c>
    </row>
    <row r="586" spans="1:9" ht="15" customHeight="1" x14ac:dyDescent="0.3">
      <c r="A586" s="21" t="s">
        <v>967</v>
      </c>
      <c r="B586" s="21">
        <v>2018</v>
      </c>
      <c r="C586" s="21">
        <v>2</v>
      </c>
      <c r="D586" s="21">
        <v>27</v>
      </c>
      <c r="E586" s="21" t="s">
        <v>303</v>
      </c>
      <c r="F586" s="21">
        <v>0</v>
      </c>
      <c r="G586" s="21">
        <v>6.57</v>
      </c>
      <c r="H586" s="21">
        <v>226.48</v>
      </c>
      <c r="I586" s="21">
        <v>344.72</v>
      </c>
    </row>
    <row r="587" spans="1:9" ht="15" customHeight="1" x14ac:dyDescent="0.3">
      <c r="A587" s="21" t="s">
        <v>968</v>
      </c>
      <c r="B587" s="21">
        <v>2018</v>
      </c>
      <c r="C587" s="21">
        <v>2</v>
      </c>
      <c r="D587" s="21">
        <v>28</v>
      </c>
      <c r="E587" s="21" t="s">
        <v>307</v>
      </c>
      <c r="F587" s="21">
        <v>0</v>
      </c>
      <c r="G587" s="21">
        <v>7.09</v>
      </c>
      <c r="H587" s="21">
        <v>244.28</v>
      </c>
      <c r="I587" s="21">
        <v>344.54</v>
      </c>
    </row>
    <row r="588" spans="1:9" ht="15" customHeight="1" x14ac:dyDescent="0.3">
      <c r="A588" s="21" t="s">
        <v>117</v>
      </c>
      <c r="B588" s="21">
        <v>2018</v>
      </c>
      <c r="C588" s="21">
        <v>3</v>
      </c>
      <c r="D588" s="21">
        <v>1</v>
      </c>
      <c r="E588" s="21" t="s">
        <v>310</v>
      </c>
      <c r="F588" s="21">
        <v>0</v>
      </c>
      <c r="G588" s="21">
        <v>6.76</v>
      </c>
      <c r="H588" s="21">
        <v>231.52</v>
      </c>
      <c r="I588" s="21">
        <v>342.49</v>
      </c>
    </row>
    <row r="589" spans="1:9" ht="15" customHeight="1" x14ac:dyDescent="0.3">
      <c r="A589" s="21" t="s">
        <v>969</v>
      </c>
      <c r="B589" s="21">
        <v>2018</v>
      </c>
      <c r="C589" s="21">
        <v>3</v>
      </c>
      <c r="D589" s="21">
        <v>2</v>
      </c>
      <c r="E589" s="21" t="s">
        <v>313</v>
      </c>
      <c r="F589" s="21">
        <v>0</v>
      </c>
      <c r="G589" s="21">
        <v>6.84</v>
      </c>
      <c r="H589" s="21">
        <v>234.36</v>
      </c>
      <c r="I589" s="21">
        <v>342.63</v>
      </c>
    </row>
    <row r="590" spans="1:9" ht="15" customHeight="1" x14ac:dyDescent="0.3">
      <c r="A590" s="21" t="s">
        <v>970</v>
      </c>
      <c r="B590" s="21">
        <v>2018</v>
      </c>
      <c r="C590" s="21">
        <v>3</v>
      </c>
      <c r="D590" s="21">
        <v>3</v>
      </c>
      <c r="E590" s="21" t="s">
        <v>316</v>
      </c>
      <c r="F590" s="21">
        <v>1</v>
      </c>
      <c r="G590" s="21">
        <v>5.08</v>
      </c>
      <c r="H590" s="21">
        <v>174.01</v>
      </c>
      <c r="I590" s="21">
        <v>342.54</v>
      </c>
    </row>
    <row r="591" spans="1:9" ht="15" customHeight="1" x14ac:dyDescent="0.3">
      <c r="A591" s="21" t="s">
        <v>971</v>
      </c>
      <c r="B591" s="21">
        <v>2018</v>
      </c>
      <c r="C591" s="21">
        <v>3</v>
      </c>
      <c r="D591" s="21">
        <v>4</v>
      </c>
      <c r="E591" s="21" t="s">
        <v>319</v>
      </c>
      <c r="F591" s="21">
        <v>1</v>
      </c>
      <c r="G591" s="21">
        <v>4.9400000000000004</v>
      </c>
      <c r="H591" s="21">
        <v>169.26</v>
      </c>
      <c r="I591" s="21">
        <v>342.63</v>
      </c>
    </row>
    <row r="592" spans="1:9" ht="15" customHeight="1" x14ac:dyDescent="0.3">
      <c r="A592" s="21" t="s">
        <v>972</v>
      </c>
      <c r="B592" s="21">
        <v>2018</v>
      </c>
      <c r="C592" s="21">
        <v>3</v>
      </c>
      <c r="D592" s="21">
        <v>5</v>
      </c>
      <c r="E592" s="21" t="s">
        <v>299</v>
      </c>
      <c r="F592" s="21">
        <v>0</v>
      </c>
      <c r="G592" s="21">
        <v>5.96</v>
      </c>
      <c r="H592" s="21">
        <v>204.16</v>
      </c>
      <c r="I592" s="21">
        <v>342.55</v>
      </c>
    </row>
    <row r="593" spans="1:9" ht="15" customHeight="1" x14ac:dyDescent="0.3">
      <c r="A593" s="21" t="s">
        <v>973</v>
      </c>
      <c r="B593" s="21">
        <v>2018</v>
      </c>
      <c r="C593" s="21">
        <v>3</v>
      </c>
      <c r="D593" s="21">
        <v>6</v>
      </c>
      <c r="E593" s="21" t="s">
        <v>303</v>
      </c>
      <c r="F593" s="21">
        <v>0</v>
      </c>
      <c r="G593" s="21">
        <v>5.85</v>
      </c>
      <c r="H593" s="21">
        <v>200.51</v>
      </c>
      <c r="I593" s="21">
        <v>342.75</v>
      </c>
    </row>
    <row r="594" spans="1:9" ht="15" customHeight="1" x14ac:dyDescent="0.3">
      <c r="A594" s="21" t="s">
        <v>974</v>
      </c>
      <c r="B594" s="21">
        <v>2018</v>
      </c>
      <c r="C594" s="21">
        <v>3</v>
      </c>
      <c r="D594" s="21">
        <v>7</v>
      </c>
      <c r="E594" s="21" t="s">
        <v>307</v>
      </c>
      <c r="F594" s="21">
        <v>0</v>
      </c>
      <c r="G594" s="21">
        <v>6.14</v>
      </c>
      <c r="H594" s="21">
        <v>210.18</v>
      </c>
      <c r="I594" s="21">
        <v>342.31</v>
      </c>
    </row>
    <row r="595" spans="1:9" ht="15" customHeight="1" x14ac:dyDescent="0.3">
      <c r="A595" s="21" t="s">
        <v>975</v>
      </c>
      <c r="B595" s="21">
        <v>2018</v>
      </c>
      <c r="C595" s="21">
        <v>3</v>
      </c>
      <c r="D595" s="21">
        <v>8</v>
      </c>
      <c r="E595" s="21" t="s">
        <v>310</v>
      </c>
      <c r="F595" s="21">
        <v>0</v>
      </c>
      <c r="G595" s="21">
        <v>5.78</v>
      </c>
      <c r="H595" s="21">
        <v>197.85</v>
      </c>
      <c r="I595" s="21">
        <v>342.3</v>
      </c>
    </row>
    <row r="596" spans="1:9" ht="15" customHeight="1" x14ac:dyDescent="0.3">
      <c r="A596" s="21" t="s">
        <v>976</v>
      </c>
      <c r="B596" s="21">
        <v>2018</v>
      </c>
      <c r="C596" s="21">
        <v>3</v>
      </c>
      <c r="D596" s="21">
        <v>9</v>
      </c>
      <c r="E596" s="21" t="s">
        <v>313</v>
      </c>
      <c r="F596" s="21">
        <v>0</v>
      </c>
      <c r="G596" s="21">
        <v>6.25</v>
      </c>
      <c r="H596" s="21">
        <v>213.98</v>
      </c>
      <c r="I596" s="21">
        <v>342.37</v>
      </c>
    </row>
    <row r="597" spans="1:9" ht="15" customHeight="1" x14ac:dyDescent="0.3">
      <c r="A597" s="21" t="s">
        <v>977</v>
      </c>
      <c r="B597" s="21">
        <v>2018</v>
      </c>
      <c r="C597" s="21">
        <v>3</v>
      </c>
      <c r="D597" s="21">
        <v>10</v>
      </c>
      <c r="E597" s="21" t="s">
        <v>316</v>
      </c>
      <c r="F597" s="21">
        <v>1</v>
      </c>
      <c r="G597" s="21">
        <v>4.8</v>
      </c>
      <c r="H597" s="21">
        <v>164.55</v>
      </c>
      <c r="I597" s="21">
        <v>342.81</v>
      </c>
    </row>
    <row r="598" spans="1:9" ht="15" customHeight="1" x14ac:dyDescent="0.3">
      <c r="A598" s="21" t="s">
        <v>978</v>
      </c>
      <c r="B598" s="21">
        <v>2018</v>
      </c>
      <c r="C598" s="21">
        <v>3</v>
      </c>
      <c r="D598" s="21">
        <v>11</v>
      </c>
      <c r="E598" s="21" t="s">
        <v>319</v>
      </c>
      <c r="F598" s="21">
        <v>1</v>
      </c>
      <c r="G598" s="21">
        <v>4.74</v>
      </c>
      <c r="H598" s="21">
        <v>162.24</v>
      </c>
      <c r="I598" s="21">
        <v>342.28</v>
      </c>
    </row>
    <row r="599" spans="1:9" ht="15" customHeight="1" x14ac:dyDescent="0.3">
      <c r="A599" s="21" t="s">
        <v>979</v>
      </c>
      <c r="B599" s="21">
        <v>2018</v>
      </c>
      <c r="C599" s="21">
        <v>3</v>
      </c>
      <c r="D599" s="21">
        <v>12</v>
      </c>
      <c r="E599" s="21" t="s">
        <v>299</v>
      </c>
      <c r="F599" s="21">
        <v>0</v>
      </c>
      <c r="G599" s="21">
        <v>6.18</v>
      </c>
      <c r="H599" s="21">
        <v>211.51</v>
      </c>
      <c r="I599" s="21">
        <v>342.25</v>
      </c>
    </row>
    <row r="600" spans="1:9" ht="15" customHeight="1" x14ac:dyDescent="0.3">
      <c r="A600" s="21" t="s">
        <v>980</v>
      </c>
      <c r="B600" s="21">
        <v>2018</v>
      </c>
      <c r="C600" s="21">
        <v>3</v>
      </c>
      <c r="D600" s="21">
        <v>13</v>
      </c>
      <c r="E600" s="21" t="s">
        <v>303</v>
      </c>
      <c r="F600" s="21">
        <v>0</v>
      </c>
      <c r="G600" s="21">
        <v>5.6</v>
      </c>
      <c r="H600" s="21">
        <v>191.72</v>
      </c>
      <c r="I600" s="21">
        <v>342.36</v>
      </c>
    </row>
    <row r="601" spans="1:9" ht="15" customHeight="1" x14ac:dyDescent="0.3">
      <c r="A601" s="21" t="s">
        <v>981</v>
      </c>
      <c r="B601" s="21">
        <v>2018</v>
      </c>
      <c r="C601" s="21">
        <v>3</v>
      </c>
      <c r="D601" s="21">
        <v>14</v>
      </c>
      <c r="E601" s="21" t="s">
        <v>307</v>
      </c>
      <c r="F601" s="21">
        <v>0</v>
      </c>
      <c r="G601" s="21">
        <v>5.76</v>
      </c>
      <c r="H601" s="21">
        <v>197.2</v>
      </c>
      <c r="I601" s="21">
        <v>342.36</v>
      </c>
    </row>
    <row r="602" spans="1:9" ht="15" customHeight="1" x14ac:dyDescent="0.3">
      <c r="A602" s="21" t="s">
        <v>982</v>
      </c>
      <c r="B602" s="21">
        <v>2018</v>
      </c>
      <c r="C602" s="21">
        <v>3</v>
      </c>
      <c r="D602" s="21">
        <v>15</v>
      </c>
      <c r="E602" s="21" t="s">
        <v>310</v>
      </c>
      <c r="F602" s="21">
        <v>0</v>
      </c>
      <c r="G602" s="21">
        <v>5.66</v>
      </c>
      <c r="H602" s="21">
        <v>193.95</v>
      </c>
      <c r="I602" s="21">
        <v>342.67</v>
      </c>
    </row>
    <row r="603" spans="1:9" ht="15" customHeight="1" x14ac:dyDescent="0.3">
      <c r="A603" s="21" t="s">
        <v>983</v>
      </c>
      <c r="B603" s="21">
        <v>2018</v>
      </c>
      <c r="C603" s="21">
        <v>3</v>
      </c>
      <c r="D603" s="21">
        <v>16</v>
      </c>
      <c r="E603" s="21" t="s">
        <v>313</v>
      </c>
      <c r="F603" s="21">
        <v>0</v>
      </c>
      <c r="G603" s="21">
        <v>6.29</v>
      </c>
      <c r="H603" s="21">
        <v>215.34</v>
      </c>
      <c r="I603" s="21">
        <v>342.35</v>
      </c>
    </row>
    <row r="604" spans="1:9" ht="15" customHeight="1" x14ac:dyDescent="0.3">
      <c r="A604" s="21" t="s">
        <v>984</v>
      </c>
      <c r="B604" s="21">
        <v>2018</v>
      </c>
      <c r="C604" s="21">
        <v>3</v>
      </c>
      <c r="D604" s="21">
        <v>17</v>
      </c>
      <c r="E604" s="21" t="s">
        <v>316</v>
      </c>
      <c r="F604" s="21">
        <v>1</v>
      </c>
      <c r="G604" s="21">
        <v>4.9400000000000004</v>
      </c>
      <c r="H604" s="21">
        <v>169.23</v>
      </c>
      <c r="I604" s="21">
        <v>342.57</v>
      </c>
    </row>
    <row r="605" spans="1:9" ht="15" customHeight="1" x14ac:dyDescent="0.3">
      <c r="A605" s="21" t="s">
        <v>985</v>
      </c>
      <c r="B605" s="21">
        <v>2018</v>
      </c>
      <c r="C605" s="21">
        <v>3</v>
      </c>
      <c r="D605" s="21">
        <v>18</v>
      </c>
      <c r="E605" s="21" t="s">
        <v>319</v>
      </c>
      <c r="F605" s="21">
        <v>1</v>
      </c>
      <c r="G605" s="21">
        <v>5.0599999999999996</v>
      </c>
      <c r="H605" s="21">
        <v>173.38</v>
      </c>
      <c r="I605" s="21">
        <v>342.65</v>
      </c>
    </row>
    <row r="606" spans="1:9" ht="15" customHeight="1" x14ac:dyDescent="0.3">
      <c r="A606" s="21" t="s">
        <v>986</v>
      </c>
      <c r="B606" s="21">
        <v>2018</v>
      </c>
      <c r="C606" s="21">
        <v>3</v>
      </c>
      <c r="D606" s="21">
        <v>19</v>
      </c>
      <c r="E606" s="21" t="s">
        <v>299</v>
      </c>
      <c r="F606" s="21">
        <v>0</v>
      </c>
      <c r="G606" s="21">
        <v>5.94</v>
      </c>
      <c r="H606" s="21">
        <v>203.6</v>
      </c>
      <c r="I606" s="21">
        <v>342.76</v>
      </c>
    </row>
    <row r="607" spans="1:9" ht="15" customHeight="1" x14ac:dyDescent="0.3">
      <c r="A607" s="21" t="s">
        <v>987</v>
      </c>
      <c r="B607" s="21">
        <v>2018</v>
      </c>
      <c r="C607" s="21">
        <v>3</v>
      </c>
      <c r="D607" s="21">
        <v>20</v>
      </c>
      <c r="E607" s="21" t="s">
        <v>303</v>
      </c>
      <c r="F607" s="21">
        <v>0</v>
      </c>
      <c r="G607" s="21">
        <v>5.7</v>
      </c>
      <c r="H607" s="21">
        <v>195.18</v>
      </c>
      <c r="I607" s="21">
        <v>342.42</v>
      </c>
    </row>
    <row r="608" spans="1:9" ht="15" customHeight="1" x14ac:dyDescent="0.3">
      <c r="A608" s="21" t="s">
        <v>988</v>
      </c>
      <c r="B608" s="21">
        <v>2018</v>
      </c>
      <c r="C608" s="21">
        <v>3</v>
      </c>
      <c r="D608" s="21">
        <v>21</v>
      </c>
      <c r="E608" s="21" t="s">
        <v>307</v>
      </c>
      <c r="F608" s="21">
        <v>0</v>
      </c>
      <c r="G608" s="21">
        <v>5.58</v>
      </c>
      <c r="H608" s="21">
        <v>191</v>
      </c>
      <c r="I608" s="21">
        <v>342.29</v>
      </c>
    </row>
    <row r="609" spans="1:9" ht="15" customHeight="1" x14ac:dyDescent="0.3">
      <c r="A609" s="21" t="s">
        <v>989</v>
      </c>
      <c r="B609" s="21">
        <v>2018</v>
      </c>
      <c r="C609" s="21">
        <v>3</v>
      </c>
      <c r="D609" s="21">
        <v>22</v>
      </c>
      <c r="E609" s="21" t="s">
        <v>310</v>
      </c>
      <c r="F609" s="21">
        <v>0</v>
      </c>
      <c r="G609" s="21">
        <v>5.67</v>
      </c>
      <c r="H609" s="21">
        <v>194.15</v>
      </c>
      <c r="I609" s="21">
        <v>342.42</v>
      </c>
    </row>
    <row r="610" spans="1:9" ht="15" customHeight="1" x14ac:dyDescent="0.3">
      <c r="A610" s="21" t="s">
        <v>990</v>
      </c>
      <c r="B610" s="21">
        <v>2018</v>
      </c>
      <c r="C610" s="21">
        <v>3</v>
      </c>
      <c r="D610" s="21">
        <v>23</v>
      </c>
      <c r="E610" s="21" t="s">
        <v>313</v>
      </c>
      <c r="F610" s="21">
        <v>0</v>
      </c>
      <c r="G610" s="21">
        <v>6.27</v>
      </c>
      <c r="H610" s="21">
        <v>214.74</v>
      </c>
      <c r="I610" s="21">
        <v>342.49</v>
      </c>
    </row>
    <row r="611" spans="1:9" ht="15" customHeight="1" x14ac:dyDescent="0.3">
      <c r="A611" s="21" t="s">
        <v>991</v>
      </c>
      <c r="B611" s="21">
        <v>2018</v>
      </c>
      <c r="C611" s="21">
        <v>3</v>
      </c>
      <c r="D611" s="21">
        <v>24</v>
      </c>
      <c r="E611" s="21" t="s">
        <v>316</v>
      </c>
      <c r="F611" s="21">
        <v>1</v>
      </c>
      <c r="G611" s="21">
        <v>5.01</v>
      </c>
      <c r="H611" s="21">
        <v>171.73</v>
      </c>
      <c r="I611" s="21">
        <v>342.77</v>
      </c>
    </row>
    <row r="612" spans="1:9" ht="15" customHeight="1" x14ac:dyDescent="0.3">
      <c r="A612" s="21" t="s">
        <v>992</v>
      </c>
      <c r="B612" s="21">
        <v>2018</v>
      </c>
      <c r="C612" s="21">
        <v>3</v>
      </c>
      <c r="D612" s="21">
        <v>25</v>
      </c>
      <c r="E612" s="21" t="s">
        <v>319</v>
      </c>
      <c r="F612" s="21">
        <v>1</v>
      </c>
      <c r="G612" s="21">
        <v>4.72</v>
      </c>
      <c r="H612" s="21">
        <v>161.81</v>
      </c>
      <c r="I612" s="21">
        <v>342.82</v>
      </c>
    </row>
    <row r="613" spans="1:9" ht="15" customHeight="1" x14ac:dyDescent="0.3">
      <c r="A613" s="21" t="s">
        <v>993</v>
      </c>
      <c r="B613" s="21">
        <v>2018</v>
      </c>
      <c r="C613" s="21">
        <v>3</v>
      </c>
      <c r="D613" s="21">
        <v>26</v>
      </c>
      <c r="E613" s="21" t="s">
        <v>299</v>
      </c>
      <c r="F613" s="21">
        <v>0</v>
      </c>
      <c r="G613" s="21">
        <v>6.18</v>
      </c>
      <c r="H613" s="21">
        <v>211.75</v>
      </c>
      <c r="I613" s="21">
        <v>342.64</v>
      </c>
    </row>
    <row r="614" spans="1:9" ht="15" customHeight="1" x14ac:dyDescent="0.3">
      <c r="A614" s="21" t="s">
        <v>994</v>
      </c>
      <c r="B614" s="21">
        <v>2018</v>
      </c>
      <c r="C614" s="21">
        <v>3</v>
      </c>
      <c r="D614" s="21">
        <v>27</v>
      </c>
      <c r="E614" s="21" t="s">
        <v>303</v>
      </c>
      <c r="F614" s="21">
        <v>0</v>
      </c>
      <c r="G614" s="21">
        <v>5.98</v>
      </c>
      <c r="H614" s="21">
        <v>204.78</v>
      </c>
      <c r="I614" s="21">
        <v>342.44</v>
      </c>
    </row>
    <row r="615" spans="1:9" ht="15" customHeight="1" x14ac:dyDescent="0.3">
      <c r="A615" s="21" t="s">
        <v>995</v>
      </c>
      <c r="B615" s="21">
        <v>2018</v>
      </c>
      <c r="C615" s="21">
        <v>3</v>
      </c>
      <c r="D615" s="21">
        <v>28</v>
      </c>
      <c r="E615" s="21" t="s">
        <v>307</v>
      </c>
      <c r="F615" s="21">
        <v>0</v>
      </c>
      <c r="G615" s="21">
        <v>5.82</v>
      </c>
      <c r="H615" s="21">
        <v>199.21</v>
      </c>
      <c r="I615" s="21">
        <v>342.29</v>
      </c>
    </row>
    <row r="616" spans="1:9" ht="15" customHeight="1" x14ac:dyDescent="0.3">
      <c r="A616" s="21" t="s">
        <v>996</v>
      </c>
      <c r="B616" s="21">
        <v>2018</v>
      </c>
      <c r="C616" s="21">
        <v>3</v>
      </c>
      <c r="D616" s="21">
        <v>29</v>
      </c>
      <c r="E616" s="21" t="s">
        <v>310</v>
      </c>
      <c r="F616" s="21">
        <v>0</v>
      </c>
      <c r="G616" s="21">
        <v>6.07</v>
      </c>
      <c r="H616" s="21">
        <v>207.85</v>
      </c>
      <c r="I616" s="21">
        <v>342.42</v>
      </c>
    </row>
    <row r="617" spans="1:9" ht="15" customHeight="1" x14ac:dyDescent="0.3">
      <c r="A617" s="21" t="s">
        <v>997</v>
      </c>
      <c r="B617" s="21">
        <v>2018</v>
      </c>
      <c r="C617" s="21">
        <v>3</v>
      </c>
      <c r="D617" s="21">
        <v>30</v>
      </c>
      <c r="E617" s="21" t="s">
        <v>313</v>
      </c>
      <c r="F617" s="21">
        <v>0</v>
      </c>
      <c r="G617" s="21">
        <v>6.98</v>
      </c>
      <c r="H617" s="21">
        <v>239.14</v>
      </c>
      <c r="I617" s="21">
        <v>342.61</v>
      </c>
    </row>
    <row r="618" spans="1:9" ht="15" customHeight="1" x14ac:dyDescent="0.3">
      <c r="A618" s="21" t="s">
        <v>998</v>
      </c>
      <c r="B618" s="21">
        <v>2018</v>
      </c>
      <c r="C618" s="21">
        <v>3</v>
      </c>
      <c r="D618" s="21">
        <v>31</v>
      </c>
      <c r="E618" s="21" t="s">
        <v>316</v>
      </c>
      <c r="F618" s="21">
        <v>1</v>
      </c>
      <c r="G618" s="21">
        <v>5.37</v>
      </c>
      <c r="H618" s="21">
        <v>183.9</v>
      </c>
      <c r="I618" s="21">
        <v>342.46</v>
      </c>
    </row>
    <row r="619" spans="1:9" ht="15" customHeight="1" x14ac:dyDescent="0.3">
      <c r="A619" s="21" t="s">
        <v>118</v>
      </c>
      <c r="B619" s="21">
        <v>2018</v>
      </c>
      <c r="C619" s="21">
        <v>4</v>
      </c>
      <c r="D619" s="21">
        <v>1</v>
      </c>
      <c r="E619" s="21" t="s">
        <v>319</v>
      </c>
      <c r="F619" s="21">
        <v>1</v>
      </c>
      <c r="G619" s="21">
        <v>5.8</v>
      </c>
      <c r="H619" s="21">
        <v>196.48</v>
      </c>
      <c r="I619" s="21">
        <v>338.76</v>
      </c>
    </row>
    <row r="620" spans="1:9" ht="15" customHeight="1" x14ac:dyDescent="0.3">
      <c r="A620" s="21" t="s">
        <v>999</v>
      </c>
      <c r="B620" s="21">
        <v>2018</v>
      </c>
      <c r="C620" s="21">
        <v>4</v>
      </c>
      <c r="D620" s="21">
        <v>2</v>
      </c>
      <c r="E620" s="21" t="s">
        <v>299</v>
      </c>
      <c r="F620" s="21">
        <v>0</v>
      </c>
      <c r="G620" s="21">
        <v>7.97</v>
      </c>
      <c r="H620" s="21">
        <v>270.04000000000002</v>
      </c>
      <c r="I620" s="21">
        <v>338.82</v>
      </c>
    </row>
    <row r="621" spans="1:9" ht="15" customHeight="1" x14ac:dyDescent="0.3">
      <c r="A621" s="21" t="s">
        <v>1000</v>
      </c>
      <c r="B621" s="21">
        <v>2018</v>
      </c>
      <c r="C621" s="21">
        <v>4</v>
      </c>
      <c r="D621" s="21">
        <v>3</v>
      </c>
      <c r="E621" s="21" t="s">
        <v>303</v>
      </c>
      <c r="F621" s="21">
        <v>0</v>
      </c>
      <c r="G621" s="21">
        <v>6.46</v>
      </c>
      <c r="H621" s="21">
        <v>218.68</v>
      </c>
      <c r="I621" s="21">
        <v>338.51</v>
      </c>
    </row>
    <row r="622" spans="1:9" ht="15" customHeight="1" x14ac:dyDescent="0.3">
      <c r="A622" s="21" t="s">
        <v>1001</v>
      </c>
      <c r="B622" s="21">
        <v>2018</v>
      </c>
      <c r="C622" s="21">
        <v>4</v>
      </c>
      <c r="D622" s="21">
        <v>4</v>
      </c>
      <c r="E622" s="21" t="s">
        <v>307</v>
      </c>
      <c r="F622" s="21">
        <v>0</v>
      </c>
      <c r="G622" s="21">
        <v>6.32</v>
      </c>
      <c r="H622" s="21">
        <v>214.11</v>
      </c>
      <c r="I622" s="21">
        <v>338.78</v>
      </c>
    </row>
    <row r="623" spans="1:9" ht="15" customHeight="1" x14ac:dyDescent="0.3">
      <c r="A623" s="21" t="s">
        <v>1002</v>
      </c>
      <c r="B623" s="21">
        <v>2018</v>
      </c>
      <c r="C623" s="21">
        <v>4</v>
      </c>
      <c r="D623" s="21">
        <v>5</v>
      </c>
      <c r="E623" s="21" t="s">
        <v>310</v>
      </c>
      <c r="F623" s="21">
        <v>0</v>
      </c>
      <c r="G623" s="21">
        <v>6.39</v>
      </c>
      <c r="H623" s="21">
        <v>216.27</v>
      </c>
      <c r="I623" s="21">
        <v>338.45</v>
      </c>
    </row>
    <row r="624" spans="1:9" ht="15" customHeight="1" x14ac:dyDescent="0.3">
      <c r="A624" s="21" t="s">
        <v>1003</v>
      </c>
      <c r="B624" s="21">
        <v>2018</v>
      </c>
      <c r="C624" s="21">
        <v>4</v>
      </c>
      <c r="D624" s="21">
        <v>6</v>
      </c>
      <c r="E624" s="21" t="s">
        <v>313</v>
      </c>
      <c r="F624" s="21">
        <v>0</v>
      </c>
      <c r="G624" s="21">
        <v>6.63</v>
      </c>
      <c r="H624" s="21">
        <v>224.38</v>
      </c>
      <c r="I624" s="21">
        <v>338.43</v>
      </c>
    </row>
    <row r="625" spans="1:9" ht="15" customHeight="1" x14ac:dyDescent="0.3">
      <c r="A625" s="21" t="s">
        <v>1004</v>
      </c>
      <c r="B625" s="21">
        <v>2018</v>
      </c>
      <c r="C625" s="21">
        <v>4</v>
      </c>
      <c r="D625" s="21">
        <v>7</v>
      </c>
      <c r="E625" s="21" t="s">
        <v>316</v>
      </c>
      <c r="F625" s="21">
        <v>1</v>
      </c>
      <c r="G625" s="21">
        <v>5.85</v>
      </c>
      <c r="H625" s="21">
        <v>198.03</v>
      </c>
      <c r="I625" s="21">
        <v>338.51</v>
      </c>
    </row>
    <row r="626" spans="1:9" ht="15" customHeight="1" x14ac:dyDescent="0.3">
      <c r="A626" s="21" t="s">
        <v>1005</v>
      </c>
      <c r="B626" s="21">
        <v>2018</v>
      </c>
      <c r="C626" s="21">
        <v>4</v>
      </c>
      <c r="D626" s="21">
        <v>8</v>
      </c>
      <c r="E626" s="21" t="s">
        <v>319</v>
      </c>
      <c r="F626" s="21">
        <v>1</v>
      </c>
      <c r="G626" s="21">
        <v>5.41</v>
      </c>
      <c r="H626" s="21">
        <v>183.13</v>
      </c>
      <c r="I626" s="21">
        <v>338.5</v>
      </c>
    </row>
    <row r="627" spans="1:9" ht="15" customHeight="1" x14ac:dyDescent="0.3">
      <c r="A627" s="21" t="s">
        <v>1006</v>
      </c>
      <c r="B627" s="21">
        <v>2018</v>
      </c>
      <c r="C627" s="21">
        <v>4</v>
      </c>
      <c r="D627" s="21">
        <v>9</v>
      </c>
      <c r="E627" s="21" t="s">
        <v>299</v>
      </c>
      <c r="F627" s="21">
        <v>0</v>
      </c>
      <c r="G627" s="21">
        <v>6.67</v>
      </c>
      <c r="H627" s="21">
        <v>225.89</v>
      </c>
      <c r="I627" s="21">
        <v>338.67</v>
      </c>
    </row>
    <row r="628" spans="1:9" ht="15" customHeight="1" x14ac:dyDescent="0.3">
      <c r="A628" s="21" t="s">
        <v>1007</v>
      </c>
      <c r="B628" s="21">
        <v>2018</v>
      </c>
      <c r="C628" s="21">
        <v>4</v>
      </c>
      <c r="D628" s="21">
        <v>10</v>
      </c>
      <c r="E628" s="21" t="s">
        <v>303</v>
      </c>
      <c r="F628" s="21">
        <v>0</v>
      </c>
      <c r="G628" s="21">
        <v>6.47</v>
      </c>
      <c r="H628" s="21">
        <v>219.14</v>
      </c>
      <c r="I628" s="21">
        <v>338.7</v>
      </c>
    </row>
    <row r="629" spans="1:9" ht="15" customHeight="1" x14ac:dyDescent="0.3">
      <c r="A629" s="21" t="s">
        <v>1008</v>
      </c>
      <c r="B629" s="21">
        <v>2018</v>
      </c>
      <c r="C629" s="21">
        <v>4</v>
      </c>
      <c r="D629" s="21">
        <v>11</v>
      </c>
      <c r="E629" s="21" t="s">
        <v>307</v>
      </c>
      <c r="F629" s="21">
        <v>0</v>
      </c>
      <c r="G629" s="21">
        <v>6.42</v>
      </c>
      <c r="H629" s="21">
        <v>217.56</v>
      </c>
      <c r="I629" s="21">
        <v>338.88</v>
      </c>
    </row>
    <row r="630" spans="1:9" ht="15" customHeight="1" x14ac:dyDescent="0.3">
      <c r="A630" s="21" t="s">
        <v>1009</v>
      </c>
      <c r="B630" s="21">
        <v>2018</v>
      </c>
      <c r="C630" s="21">
        <v>4</v>
      </c>
      <c r="D630" s="21">
        <v>12</v>
      </c>
      <c r="E630" s="21" t="s">
        <v>310</v>
      </c>
      <c r="F630" s="21">
        <v>0</v>
      </c>
      <c r="G630" s="21">
        <v>6.38</v>
      </c>
      <c r="H630" s="21">
        <v>215.91</v>
      </c>
      <c r="I630" s="21">
        <v>338.42</v>
      </c>
    </row>
    <row r="631" spans="1:9" ht="15" customHeight="1" x14ac:dyDescent="0.3">
      <c r="A631" s="21" t="s">
        <v>1010</v>
      </c>
      <c r="B631" s="21">
        <v>2018</v>
      </c>
      <c r="C631" s="21">
        <v>4</v>
      </c>
      <c r="D631" s="21">
        <v>13</v>
      </c>
      <c r="E631" s="21" t="s">
        <v>313</v>
      </c>
      <c r="F631" s="21">
        <v>0</v>
      </c>
      <c r="G631" s="21">
        <v>6.69</v>
      </c>
      <c r="H631" s="21">
        <v>226.54</v>
      </c>
      <c r="I631" s="21">
        <v>338.62</v>
      </c>
    </row>
    <row r="632" spans="1:9" ht="15" customHeight="1" x14ac:dyDescent="0.3">
      <c r="A632" s="21" t="s">
        <v>1011</v>
      </c>
      <c r="B632" s="21">
        <v>2018</v>
      </c>
      <c r="C632" s="21">
        <v>4</v>
      </c>
      <c r="D632" s="21">
        <v>14</v>
      </c>
      <c r="E632" s="21" t="s">
        <v>316</v>
      </c>
      <c r="F632" s="21">
        <v>1</v>
      </c>
      <c r="G632" s="21">
        <v>5.47</v>
      </c>
      <c r="H632" s="21">
        <v>185.33</v>
      </c>
      <c r="I632" s="21">
        <v>338.81</v>
      </c>
    </row>
    <row r="633" spans="1:9" ht="15" customHeight="1" x14ac:dyDescent="0.3">
      <c r="A633" s="21" t="s">
        <v>1012</v>
      </c>
      <c r="B633" s="21">
        <v>2018</v>
      </c>
      <c r="C633" s="21">
        <v>4</v>
      </c>
      <c r="D633" s="21">
        <v>15</v>
      </c>
      <c r="E633" s="21" t="s">
        <v>319</v>
      </c>
      <c r="F633" s="21">
        <v>1</v>
      </c>
      <c r="G633" s="21">
        <v>5.74</v>
      </c>
      <c r="H633" s="21">
        <v>194.41</v>
      </c>
      <c r="I633" s="21">
        <v>338.69</v>
      </c>
    </row>
    <row r="634" spans="1:9" ht="15" customHeight="1" x14ac:dyDescent="0.3">
      <c r="A634" s="21" t="s">
        <v>1013</v>
      </c>
      <c r="B634" s="21">
        <v>2018</v>
      </c>
      <c r="C634" s="21">
        <v>4</v>
      </c>
      <c r="D634" s="21">
        <v>16</v>
      </c>
      <c r="E634" s="21" t="s">
        <v>299</v>
      </c>
      <c r="F634" s="21">
        <v>0</v>
      </c>
      <c r="G634" s="21">
        <v>6.91</v>
      </c>
      <c r="H634" s="21">
        <v>233.85</v>
      </c>
      <c r="I634" s="21">
        <v>338.42</v>
      </c>
    </row>
    <row r="635" spans="1:9" ht="15" customHeight="1" x14ac:dyDescent="0.3">
      <c r="A635" s="21" t="s">
        <v>1014</v>
      </c>
      <c r="B635" s="21">
        <v>2018</v>
      </c>
      <c r="C635" s="21">
        <v>4</v>
      </c>
      <c r="D635" s="21">
        <v>17</v>
      </c>
      <c r="E635" s="21" t="s">
        <v>303</v>
      </c>
      <c r="F635" s="21">
        <v>0</v>
      </c>
      <c r="G635" s="21">
        <v>6.64</v>
      </c>
      <c r="H635" s="21">
        <v>224.72</v>
      </c>
      <c r="I635" s="21">
        <v>338.43</v>
      </c>
    </row>
    <row r="636" spans="1:9" ht="15" customHeight="1" x14ac:dyDescent="0.3">
      <c r="A636" s="21" t="s">
        <v>1015</v>
      </c>
      <c r="B636" s="21">
        <v>2018</v>
      </c>
      <c r="C636" s="21">
        <v>4</v>
      </c>
      <c r="D636" s="21">
        <v>18</v>
      </c>
      <c r="E636" s="21" t="s">
        <v>307</v>
      </c>
      <c r="F636" s="21">
        <v>0</v>
      </c>
      <c r="G636" s="21">
        <v>6.24</v>
      </c>
      <c r="H636" s="21">
        <v>211.18</v>
      </c>
      <c r="I636" s="21">
        <v>338.43</v>
      </c>
    </row>
    <row r="637" spans="1:9" ht="15" customHeight="1" x14ac:dyDescent="0.3">
      <c r="A637" s="21" t="s">
        <v>1016</v>
      </c>
      <c r="B637" s="21">
        <v>2018</v>
      </c>
      <c r="C637" s="21">
        <v>4</v>
      </c>
      <c r="D637" s="21">
        <v>19</v>
      </c>
      <c r="E637" s="21" t="s">
        <v>310</v>
      </c>
      <c r="F637" s="21">
        <v>0</v>
      </c>
      <c r="G637" s="21">
        <v>6.15</v>
      </c>
      <c r="H637" s="21">
        <v>208.1</v>
      </c>
      <c r="I637" s="21">
        <v>338.37</v>
      </c>
    </row>
    <row r="638" spans="1:9" ht="15" customHeight="1" x14ac:dyDescent="0.3">
      <c r="A638" s="21" t="s">
        <v>1017</v>
      </c>
      <c r="B638" s="21">
        <v>2018</v>
      </c>
      <c r="C638" s="21">
        <v>4</v>
      </c>
      <c r="D638" s="21">
        <v>20</v>
      </c>
      <c r="E638" s="21" t="s">
        <v>313</v>
      </c>
      <c r="F638" s="21">
        <v>0</v>
      </c>
      <c r="G638" s="21">
        <v>6.82</v>
      </c>
      <c r="H638" s="21">
        <v>230.81</v>
      </c>
      <c r="I638" s="21">
        <v>338.43</v>
      </c>
    </row>
    <row r="639" spans="1:9" ht="15" customHeight="1" x14ac:dyDescent="0.3">
      <c r="A639" s="21" t="s">
        <v>1018</v>
      </c>
      <c r="B639" s="21">
        <v>2018</v>
      </c>
      <c r="C639" s="21">
        <v>4</v>
      </c>
      <c r="D639" s="21">
        <v>21</v>
      </c>
      <c r="E639" s="21" t="s">
        <v>316</v>
      </c>
      <c r="F639" s="21">
        <v>1</v>
      </c>
      <c r="G639" s="21">
        <v>5.39</v>
      </c>
      <c r="H639" s="21">
        <v>182.66</v>
      </c>
      <c r="I639" s="21">
        <v>338.89</v>
      </c>
    </row>
    <row r="640" spans="1:9" ht="15" customHeight="1" x14ac:dyDescent="0.3">
      <c r="A640" s="21" t="s">
        <v>1019</v>
      </c>
      <c r="B640" s="21">
        <v>2018</v>
      </c>
      <c r="C640" s="21">
        <v>4</v>
      </c>
      <c r="D640" s="21">
        <v>22</v>
      </c>
      <c r="E640" s="21" t="s">
        <v>319</v>
      </c>
      <c r="F640" s="21">
        <v>1</v>
      </c>
      <c r="G640" s="21">
        <v>5.59</v>
      </c>
      <c r="H640" s="21">
        <v>189.34</v>
      </c>
      <c r="I640" s="21">
        <v>338.71</v>
      </c>
    </row>
    <row r="641" spans="1:9" ht="15" customHeight="1" x14ac:dyDescent="0.3">
      <c r="A641" s="21" t="s">
        <v>1020</v>
      </c>
      <c r="B641" s="21">
        <v>2018</v>
      </c>
      <c r="C641" s="21">
        <v>4</v>
      </c>
      <c r="D641" s="21">
        <v>23</v>
      </c>
      <c r="E641" s="21" t="s">
        <v>299</v>
      </c>
      <c r="F641" s="21">
        <v>0</v>
      </c>
      <c r="G641" s="21">
        <v>6.33</v>
      </c>
      <c r="H641" s="21">
        <v>214.3</v>
      </c>
      <c r="I641" s="21">
        <v>338.55</v>
      </c>
    </row>
    <row r="642" spans="1:9" ht="15" customHeight="1" x14ac:dyDescent="0.3">
      <c r="A642" s="21" t="s">
        <v>1021</v>
      </c>
      <c r="B642" s="21">
        <v>2018</v>
      </c>
      <c r="C642" s="21">
        <v>4</v>
      </c>
      <c r="D642" s="21">
        <v>24</v>
      </c>
      <c r="E642" s="21" t="s">
        <v>303</v>
      </c>
      <c r="F642" s="21">
        <v>0</v>
      </c>
      <c r="G642" s="21">
        <v>6.62</v>
      </c>
      <c r="H642" s="21">
        <v>224.31</v>
      </c>
      <c r="I642" s="21">
        <v>338.84</v>
      </c>
    </row>
    <row r="643" spans="1:9" ht="15" customHeight="1" x14ac:dyDescent="0.3">
      <c r="A643" s="21" t="s">
        <v>1022</v>
      </c>
      <c r="B643" s="21">
        <v>2018</v>
      </c>
      <c r="C643" s="21">
        <v>4</v>
      </c>
      <c r="D643" s="21">
        <v>25</v>
      </c>
      <c r="E643" s="21" t="s">
        <v>307</v>
      </c>
      <c r="F643" s="21">
        <v>0</v>
      </c>
      <c r="G643" s="21">
        <v>6.3</v>
      </c>
      <c r="H643" s="21">
        <v>213.45</v>
      </c>
      <c r="I643" s="21">
        <v>338.81</v>
      </c>
    </row>
    <row r="644" spans="1:9" ht="15" customHeight="1" x14ac:dyDescent="0.3">
      <c r="A644" s="21" t="s">
        <v>1023</v>
      </c>
      <c r="B644" s="21">
        <v>2018</v>
      </c>
      <c r="C644" s="21">
        <v>4</v>
      </c>
      <c r="D644" s="21">
        <v>26</v>
      </c>
      <c r="E644" s="21" t="s">
        <v>310</v>
      </c>
      <c r="F644" s="21">
        <v>0</v>
      </c>
      <c r="G644" s="21">
        <v>6.25</v>
      </c>
      <c r="H644" s="21">
        <v>211.72</v>
      </c>
      <c r="I644" s="21">
        <v>338.75</v>
      </c>
    </row>
    <row r="645" spans="1:9" ht="15" customHeight="1" x14ac:dyDescent="0.3">
      <c r="A645" s="21" t="s">
        <v>1024</v>
      </c>
      <c r="B645" s="21">
        <v>2018</v>
      </c>
      <c r="C645" s="21">
        <v>4</v>
      </c>
      <c r="D645" s="21">
        <v>27</v>
      </c>
      <c r="E645" s="21" t="s">
        <v>313</v>
      </c>
      <c r="F645" s="21">
        <v>0</v>
      </c>
      <c r="G645" s="21">
        <v>6.65</v>
      </c>
      <c r="H645" s="21">
        <v>225.11</v>
      </c>
      <c r="I645" s="21">
        <v>338.51</v>
      </c>
    </row>
    <row r="646" spans="1:9" ht="15" customHeight="1" x14ac:dyDescent="0.3">
      <c r="A646" s="21" t="s">
        <v>1025</v>
      </c>
      <c r="B646" s="21">
        <v>2018</v>
      </c>
      <c r="C646" s="21">
        <v>4</v>
      </c>
      <c r="D646" s="21">
        <v>28</v>
      </c>
      <c r="E646" s="21" t="s">
        <v>316</v>
      </c>
      <c r="F646" s="21">
        <v>1</v>
      </c>
      <c r="G646" s="21">
        <v>5.07</v>
      </c>
      <c r="H646" s="21">
        <v>171.65</v>
      </c>
      <c r="I646" s="21">
        <v>338.56</v>
      </c>
    </row>
    <row r="647" spans="1:9" ht="15" customHeight="1" x14ac:dyDescent="0.3">
      <c r="A647" s="21" t="s">
        <v>1026</v>
      </c>
      <c r="B647" s="21">
        <v>2018</v>
      </c>
      <c r="C647" s="21">
        <v>4</v>
      </c>
      <c r="D647" s="21">
        <v>29</v>
      </c>
      <c r="E647" s="21" t="s">
        <v>319</v>
      </c>
      <c r="F647" s="21">
        <v>1</v>
      </c>
      <c r="G647" s="21">
        <v>6.37</v>
      </c>
      <c r="H647" s="21">
        <v>215.73</v>
      </c>
      <c r="I647" s="21">
        <v>338.67</v>
      </c>
    </row>
    <row r="648" spans="1:9" ht="15" customHeight="1" x14ac:dyDescent="0.3">
      <c r="A648" s="21" t="s">
        <v>1027</v>
      </c>
      <c r="B648" s="21">
        <v>2018</v>
      </c>
      <c r="C648" s="21">
        <v>4</v>
      </c>
      <c r="D648" s="21">
        <v>30</v>
      </c>
      <c r="E648" s="21" t="s">
        <v>299</v>
      </c>
      <c r="F648" s="21">
        <v>0</v>
      </c>
      <c r="G648" s="21">
        <v>7.66</v>
      </c>
      <c r="H648" s="21">
        <v>259.51</v>
      </c>
      <c r="I648" s="21">
        <v>338.79</v>
      </c>
    </row>
    <row r="649" spans="1:9" ht="15" customHeight="1" x14ac:dyDescent="0.3">
      <c r="A649" s="21" t="s">
        <v>119</v>
      </c>
      <c r="B649" s="21">
        <v>2018</v>
      </c>
      <c r="C649" s="21">
        <v>5</v>
      </c>
      <c r="D649" s="21">
        <v>1</v>
      </c>
      <c r="E649" s="21" t="s">
        <v>303</v>
      </c>
      <c r="F649" s="21">
        <v>0</v>
      </c>
      <c r="G649" s="21">
        <v>8.01</v>
      </c>
      <c r="H649" s="21">
        <v>271.77</v>
      </c>
      <c r="I649" s="21">
        <v>339.29</v>
      </c>
    </row>
    <row r="650" spans="1:9" ht="15" customHeight="1" x14ac:dyDescent="0.3">
      <c r="A650" s="21" t="s">
        <v>1028</v>
      </c>
      <c r="B650" s="21">
        <v>2018</v>
      </c>
      <c r="C650" s="21">
        <v>5</v>
      </c>
      <c r="D650" s="21">
        <v>2</v>
      </c>
      <c r="E650" s="21" t="s">
        <v>307</v>
      </c>
      <c r="F650" s="21">
        <v>0</v>
      </c>
      <c r="G650" s="21">
        <v>8.01</v>
      </c>
      <c r="H650" s="21">
        <v>271.73</v>
      </c>
      <c r="I650" s="21">
        <v>339.24</v>
      </c>
    </row>
    <row r="651" spans="1:9" ht="15" customHeight="1" x14ac:dyDescent="0.3">
      <c r="A651" s="21" t="s">
        <v>1029</v>
      </c>
      <c r="B651" s="21">
        <v>2018</v>
      </c>
      <c r="C651" s="21">
        <v>5</v>
      </c>
      <c r="D651" s="21">
        <v>3</v>
      </c>
      <c r="E651" s="21" t="s">
        <v>310</v>
      </c>
      <c r="F651" s="21">
        <v>0</v>
      </c>
      <c r="G651" s="21">
        <v>7.17</v>
      </c>
      <c r="H651" s="21">
        <v>243.36</v>
      </c>
      <c r="I651" s="21">
        <v>339.41</v>
      </c>
    </row>
    <row r="652" spans="1:9" ht="15" customHeight="1" x14ac:dyDescent="0.3">
      <c r="A652" s="21" t="s">
        <v>1030</v>
      </c>
      <c r="B652" s="21">
        <v>2018</v>
      </c>
      <c r="C652" s="21">
        <v>5</v>
      </c>
      <c r="D652" s="21">
        <v>4</v>
      </c>
      <c r="E652" s="21" t="s">
        <v>313</v>
      </c>
      <c r="F652" s="21">
        <v>0</v>
      </c>
      <c r="G652" s="21">
        <v>8.19</v>
      </c>
      <c r="H652" s="21">
        <v>277.82</v>
      </c>
      <c r="I652" s="21">
        <v>339.22</v>
      </c>
    </row>
    <row r="653" spans="1:9" ht="15" customHeight="1" x14ac:dyDescent="0.3">
      <c r="A653" s="21" t="s">
        <v>1031</v>
      </c>
      <c r="B653" s="21">
        <v>2018</v>
      </c>
      <c r="C653" s="21">
        <v>5</v>
      </c>
      <c r="D653" s="21">
        <v>5</v>
      </c>
      <c r="E653" s="21" t="s">
        <v>316</v>
      </c>
      <c r="F653" s="21">
        <v>1</v>
      </c>
      <c r="G653" s="21">
        <v>6.1</v>
      </c>
      <c r="H653" s="21">
        <v>207.05</v>
      </c>
      <c r="I653" s="21">
        <v>339.43</v>
      </c>
    </row>
    <row r="654" spans="1:9" ht="15" customHeight="1" x14ac:dyDescent="0.3">
      <c r="A654" s="21" t="s">
        <v>1032</v>
      </c>
      <c r="B654" s="21">
        <v>2018</v>
      </c>
      <c r="C654" s="21">
        <v>5</v>
      </c>
      <c r="D654" s="21">
        <v>6</v>
      </c>
      <c r="E654" s="21" t="s">
        <v>319</v>
      </c>
      <c r="F654" s="21">
        <v>1</v>
      </c>
      <c r="G654" s="21">
        <v>5.83</v>
      </c>
      <c r="H654" s="21">
        <v>197.88</v>
      </c>
      <c r="I654" s="21">
        <v>339.42</v>
      </c>
    </row>
    <row r="655" spans="1:9" ht="15" customHeight="1" x14ac:dyDescent="0.3">
      <c r="A655" s="21" t="s">
        <v>1033</v>
      </c>
      <c r="B655" s="21">
        <v>2018</v>
      </c>
      <c r="C655" s="21">
        <v>5</v>
      </c>
      <c r="D655" s="21">
        <v>7</v>
      </c>
      <c r="E655" s="21" t="s">
        <v>299</v>
      </c>
      <c r="F655" s="21">
        <v>0</v>
      </c>
      <c r="G655" s="21">
        <v>7.55</v>
      </c>
      <c r="H655" s="21">
        <v>256.32</v>
      </c>
      <c r="I655" s="21">
        <v>339.5</v>
      </c>
    </row>
    <row r="656" spans="1:9" ht="15" customHeight="1" x14ac:dyDescent="0.3">
      <c r="A656" s="21" t="s">
        <v>1034</v>
      </c>
      <c r="B656" s="21">
        <v>2018</v>
      </c>
      <c r="C656" s="21">
        <v>5</v>
      </c>
      <c r="D656" s="21">
        <v>8</v>
      </c>
      <c r="E656" s="21" t="s">
        <v>303</v>
      </c>
      <c r="F656" s="21">
        <v>0</v>
      </c>
      <c r="G656" s="21">
        <v>7.19</v>
      </c>
      <c r="H656" s="21">
        <v>243.83</v>
      </c>
      <c r="I656" s="21">
        <v>339.12</v>
      </c>
    </row>
    <row r="657" spans="1:9" ht="15" customHeight="1" x14ac:dyDescent="0.3">
      <c r="A657" s="21" t="s">
        <v>1035</v>
      </c>
      <c r="B657" s="21">
        <v>2018</v>
      </c>
      <c r="C657" s="21">
        <v>5</v>
      </c>
      <c r="D657" s="21">
        <v>9</v>
      </c>
      <c r="E657" s="21" t="s">
        <v>307</v>
      </c>
      <c r="F657" s="21">
        <v>0</v>
      </c>
      <c r="G657" s="21">
        <v>6.66</v>
      </c>
      <c r="H657" s="21">
        <v>225.95</v>
      </c>
      <c r="I657" s="21">
        <v>339.26</v>
      </c>
    </row>
    <row r="658" spans="1:9" ht="15" customHeight="1" x14ac:dyDescent="0.3">
      <c r="A658" s="21" t="s">
        <v>1036</v>
      </c>
      <c r="B658" s="21">
        <v>2018</v>
      </c>
      <c r="C658" s="21">
        <v>5</v>
      </c>
      <c r="D658" s="21">
        <v>10</v>
      </c>
      <c r="E658" s="21" t="s">
        <v>310</v>
      </c>
      <c r="F658" s="21">
        <v>0</v>
      </c>
      <c r="G658" s="21">
        <v>7.23</v>
      </c>
      <c r="H658" s="21">
        <v>245.44</v>
      </c>
      <c r="I658" s="21">
        <v>339.47</v>
      </c>
    </row>
    <row r="659" spans="1:9" ht="15" customHeight="1" x14ac:dyDescent="0.3">
      <c r="A659" s="21" t="s">
        <v>1037</v>
      </c>
      <c r="B659" s="21">
        <v>2018</v>
      </c>
      <c r="C659" s="21">
        <v>5</v>
      </c>
      <c r="D659" s="21">
        <v>11</v>
      </c>
      <c r="E659" s="21" t="s">
        <v>313</v>
      </c>
      <c r="F659" s="21">
        <v>0</v>
      </c>
      <c r="G659" s="21">
        <v>7.77</v>
      </c>
      <c r="H659" s="21">
        <v>263.8</v>
      </c>
      <c r="I659" s="21">
        <v>339.51</v>
      </c>
    </row>
    <row r="660" spans="1:9" ht="15" customHeight="1" x14ac:dyDescent="0.3">
      <c r="A660" s="21" t="s">
        <v>1038</v>
      </c>
      <c r="B660" s="21">
        <v>2018</v>
      </c>
      <c r="C660" s="21">
        <v>5</v>
      </c>
      <c r="D660" s="21">
        <v>12</v>
      </c>
      <c r="E660" s="21" t="s">
        <v>316</v>
      </c>
      <c r="F660" s="21">
        <v>1</v>
      </c>
      <c r="G660" s="21">
        <v>6.31</v>
      </c>
      <c r="H660" s="21">
        <v>214.1</v>
      </c>
      <c r="I660" s="21">
        <v>339.3</v>
      </c>
    </row>
    <row r="661" spans="1:9" ht="15" customHeight="1" x14ac:dyDescent="0.3">
      <c r="A661" s="21" t="s">
        <v>1039</v>
      </c>
      <c r="B661" s="21">
        <v>2018</v>
      </c>
      <c r="C661" s="21">
        <v>5</v>
      </c>
      <c r="D661" s="21">
        <v>13</v>
      </c>
      <c r="E661" s="21" t="s">
        <v>319</v>
      </c>
      <c r="F661" s="21">
        <v>1</v>
      </c>
      <c r="G661" s="21">
        <v>6.56</v>
      </c>
      <c r="H661" s="21">
        <v>222.6</v>
      </c>
      <c r="I661" s="21">
        <v>339.33</v>
      </c>
    </row>
    <row r="662" spans="1:9" ht="15" customHeight="1" x14ac:dyDescent="0.3">
      <c r="A662" s="21" t="s">
        <v>1040</v>
      </c>
      <c r="B662" s="21">
        <v>2018</v>
      </c>
      <c r="C662" s="21">
        <v>5</v>
      </c>
      <c r="D662" s="21">
        <v>14</v>
      </c>
      <c r="E662" s="21" t="s">
        <v>299</v>
      </c>
      <c r="F662" s="21">
        <v>0</v>
      </c>
      <c r="G662" s="21">
        <v>7.85</v>
      </c>
      <c r="H662" s="21">
        <v>266.44</v>
      </c>
      <c r="I662" s="21">
        <v>339.41</v>
      </c>
    </row>
    <row r="663" spans="1:9" ht="15" customHeight="1" x14ac:dyDescent="0.3">
      <c r="A663" s="21" t="s">
        <v>1041</v>
      </c>
      <c r="B663" s="21">
        <v>2018</v>
      </c>
      <c r="C663" s="21">
        <v>5</v>
      </c>
      <c r="D663" s="21">
        <v>15</v>
      </c>
      <c r="E663" s="21" t="s">
        <v>303</v>
      </c>
      <c r="F663" s="21">
        <v>0</v>
      </c>
      <c r="G663" s="21">
        <v>7.19</v>
      </c>
      <c r="H663" s="21">
        <v>243.86</v>
      </c>
      <c r="I663" s="21">
        <v>339.17</v>
      </c>
    </row>
    <row r="664" spans="1:9" ht="15" customHeight="1" x14ac:dyDescent="0.3">
      <c r="A664" s="21" t="s">
        <v>1042</v>
      </c>
      <c r="B664" s="21">
        <v>2018</v>
      </c>
      <c r="C664" s="21">
        <v>5</v>
      </c>
      <c r="D664" s="21">
        <v>16</v>
      </c>
      <c r="E664" s="21" t="s">
        <v>307</v>
      </c>
      <c r="F664" s="21">
        <v>0</v>
      </c>
      <c r="G664" s="21">
        <v>7</v>
      </c>
      <c r="H664" s="21">
        <v>237.68</v>
      </c>
      <c r="I664" s="21">
        <v>339.54</v>
      </c>
    </row>
    <row r="665" spans="1:9" ht="15" customHeight="1" x14ac:dyDescent="0.3">
      <c r="A665" s="21" t="s">
        <v>1043</v>
      </c>
      <c r="B665" s="21">
        <v>2018</v>
      </c>
      <c r="C665" s="21">
        <v>5</v>
      </c>
      <c r="D665" s="21">
        <v>17</v>
      </c>
      <c r="E665" s="21" t="s">
        <v>310</v>
      </c>
      <c r="F665" s="21">
        <v>0</v>
      </c>
      <c r="G665" s="21">
        <v>7.8</v>
      </c>
      <c r="H665" s="21">
        <v>264.82</v>
      </c>
      <c r="I665" s="21">
        <v>339.51</v>
      </c>
    </row>
    <row r="666" spans="1:9" ht="15" customHeight="1" x14ac:dyDescent="0.3">
      <c r="A666" s="21" t="s">
        <v>1044</v>
      </c>
      <c r="B666" s="21">
        <v>2018</v>
      </c>
      <c r="C666" s="21">
        <v>5</v>
      </c>
      <c r="D666" s="21">
        <v>18</v>
      </c>
      <c r="E666" s="21" t="s">
        <v>313</v>
      </c>
      <c r="F666" s="21">
        <v>0</v>
      </c>
      <c r="G666" s="21">
        <v>7.84</v>
      </c>
      <c r="H666" s="21">
        <v>265.94</v>
      </c>
      <c r="I666" s="21">
        <v>339.21</v>
      </c>
    </row>
    <row r="667" spans="1:9" ht="15" customHeight="1" x14ac:dyDescent="0.3">
      <c r="A667" s="21" t="s">
        <v>1045</v>
      </c>
      <c r="B667" s="21">
        <v>2018</v>
      </c>
      <c r="C667" s="21">
        <v>5</v>
      </c>
      <c r="D667" s="21">
        <v>19</v>
      </c>
      <c r="E667" s="21" t="s">
        <v>316</v>
      </c>
      <c r="F667" s="21">
        <v>1</v>
      </c>
      <c r="G667" s="21">
        <v>6.16</v>
      </c>
      <c r="H667" s="21">
        <v>209.07</v>
      </c>
      <c r="I667" s="21">
        <v>339.4</v>
      </c>
    </row>
    <row r="668" spans="1:9" ht="15" customHeight="1" x14ac:dyDescent="0.3">
      <c r="A668" s="21" t="s">
        <v>1046</v>
      </c>
      <c r="B668" s="21">
        <v>2018</v>
      </c>
      <c r="C668" s="21">
        <v>5</v>
      </c>
      <c r="D668" s="21">
        <v>20</v>
      </c>
      <c r="E668" s="21" t="s">
        <v>319</v>
      </c>
      <c r="F668" s="21">
        <v>1</v>
      </c>
      <c r="G668" s="21">
        <v>6.15</v>
      </c>
      <c r="H668" s="21">
        <v>208.78</v>
      </c>
      <c r="I668" s="21">
        <v>339.48</v>
      </c>
    </row>
    <row r="669" spans="1:9" ht="15" customHeight="1" x14ac:dyDescent="0.3">
      <c r="A669" s="21" t="s">
        <v>1047</v>
      </c>
      <c r="B669" s="21">
        <v>2018</v>
      </c>
      <c r="C669" s="21">
        <v>5</v>
      </c>
      <c r="D669" s="21">
        <v>21</v>
      </c>
      <c r="E669" s="21" t="s">
        <v>299</v>
      </c>
      <c r="F669" s="21">
        <v>0</v>
      </c>
      <c r="G669" s="21">
        <v>7.65</v>
      </c>
      <c r="H669" s="21">
        <v>259.58999999999997</v>
      </c>
      <c r="I669" s="21">
        <v>339.33</v>
      </c>
    </row>
    <row r="670" spans="1:9" ht="15" customHeight="1" x14ac:dyDescent="0.3">
      <c r="A670" s="21" t="s">
        <v>1048</v>
      </c>
      <c r="B670" s="21">
        <v>2018</v>
      </c>
      <c r="C670" s="21">
        <v>5</v>
      </c>
      <c r="D670" s="21">
        <v>22</v>
      </c>
      <c r="E670" s="21" t="s">
        <v>303</v>
      </c>
      <c r="F670" s="21">
        <v>0</v>
      </c>
      <c r="G670" s="21">
        <v>7.21</v>
      </c>
      <c r="H670" s="21">
        <v>244.77</v>
      </c>
      <c r="I670" s="21">
        <v>339.49</v>
      </c>
    </row>
    <row r="671" spans="1:9" ht="15" customHeight="1" x14ac:dyDescent="0.3">
      <c r="A671" s="21" t="s">
        <v>1049</v>
      </c>
      <c r="B671" s="21">
        <v>2018</v>
      </c>
      <c r="C671" s="21">
        <v>5</v>
      </c>
      <c r="D671" s="21">
        <v>23</v>
      </c>
      <c r="E671" s="21" t="s">
        <v>307</v>
      </c>
      <c r="F671" s="21">
        <v>0</v>
      </c>
      <c r="G671" s="21">
        <v>7.12</v>
      </c>
      <c r="H671" s="21">
        <v>241.61</v>
      </c>
      <c r="I671" s="21">
        <v>339.34</v>
      </c>
    </row>
    <row r="672" spans="1:9" ht="15" customHeight="1" x14ac:dyDescent="0.3">
      <c r="A672" s="21" t="s">
        <v>1050</v>
      </c>
      <c r="B672" s="21">
        <v>2018</v>
      </c>
      <c r="C672" s="21">
        <v>5</v>
      </c>
      <c r="D672" s="21">
        <v>24</v>
      </c>
      <c r="E672" s="21" t="s">
        <v>310</v>
      </c>
      <c r="F672" s="21">
        <v>0</v>
      </c>
      <c r="G672" s="21">
        <v>7.13</v>
      </c>
      <c r="H672" s="21">
        <v>241.81</v>
      </c>
      <c r="I672" s="21">
        <v>339.14</v>
      </c>
    </row>
    <row r="673" spans="1:9" ht="15" customHeight="1" x14ac:dyDescent="0.3">
      <c r="A673" s="21" t="s">
        <v>1051</v>
      </c>
      <c r="B673" s="21">
        <v>2018</v>
      </c>
      <c r="C673" s="21">
        <v>5</v>
      </c>
      <c r="D673" s="21">
        <v>25</v>
      </c>
      <c r="E673" s="21" t="s">
        <v>313</v>
      </c>
      <c r="F673" s="21">
        <v>0</v>
      </c>
      <c r="G673" s="21">
        <v>7.82</v>
      </c>
      <c r="H673" s="21">
        <v>265.26</v>
      </c>
      <c r="I673" s="21">
        <v>339.21</v>
      </c>
    </row>
    <row r="674" spans="1:9" ht="15" customHeight="1" x14ac:dyDescent="0.3">
      <c r="A674" s="21" t="s">
        <v>1052</v>
      </c>
      <c r="B674" s="21">
        <v>2018</v>
      </c>
      <c r="C674" s="21">
        <v>5</v>
      </c>
      <c r="D674" s="21">
        <v>26</v>
      </c>
      <c r="E674" s="21" t="s">
        <v>316</v>
      </c>
      <c r="F674" s="21">
        <v>1</v>
      </c>
      <c r="G674" s="21">
        <v>6.04</v>
      </c>
      <c r="H674" s="21">
        <v>204.96</v>
      </c>
      <c r="I674" s="21">
        <v>339.34</v>
      </c>
    </row>
    <row r="675" spans="1:9" ht="15" customHeight="1" x14ac:dyDescent="0.3">
      <c r="A675" s="21" t="s">
        <v>1053</v>
      </c>
      <c r="B675" s="21">
        <v>2018</v>
      </c>
      <c r="C675" s="21">
        <v>5</v>
      </c>
      <c r="D675" s="21">
        <v>27</v>
      </c>
      <c r="E675" s="21" t="s">
        <v>319</v>
      </c>
      <c r="F675" s="21">
        <v>1</v>
      </c>
      <c r="G675" s="21">
        <v>6</v>
      </c>
      <c r="H675" s="21">
        <v>203.71</v>
      </c>
      <c r="I675" s="21">
        <v>339.52</v>
      </c>
    </row>
    <row r="676" spans="1:9" ht="15" customHeight="1" x14ac:dyDescent="0.3">
      <c r="A676" s="21" t="s">
        <v>1054</v>
      </c>
      <c r="B676" s="21">
        <v>2018</v>
      </c>
      <c r="C676" s="21">
        <v>5</v>
      </c>
      <c r="D676" s="21">
        <v>28</v>
      </c>
      <c r="E676" s="21" t="s">
        <v>299</v>
      </c>
      <c r="F676" s="21">
        <v>0</v>
      </c>
      <c r="G676" s="21">
        <v>7.63</v>
      </c>
      <c r="H676" s="21">
        <v>258.92</v>
      </c>
      <c r="I676" s="21">
        <v>339.34</v>
      </c>
    </row>
    <row r="677" spans="1:9" ht="15" customHeight="1" x14ac:dyDescent="0.3">
      <c r="A677" s="21" t="s">
        <v>1055</v>
      </c>
      <c r="B677" s="21">
        <v>2018</v>
      </c>
      <c r="C677" s="21">
        <v>5</v>
      </c>
      <c r="D677" s="21">
        <v>29</v>
      </c>
      <c r="E677" s="21" t="s">
        <v>303</v>
      </c>
      <c r="F677" s="21">
        <v>0</v>
      </c>
      <c r="G677" s="21">
        <v>7.19</v>
      </c>
      <c r="H677" s="21">
        <v>243.96</v>
      </c>
      <c r="I677" s="21">
        <v>339.3</v>
      </c>
    </row>
    <row r="678" spans="1:9" ht="15" customHeight="1" x14ac:dyDescent="0.3">
      <c r="A678" s="21" t="s">
        <v>1056</v>
      </c>
      <c r="B678" s="21">
        <v>2018</v>
      </c>
      <c r="C678" s="21">
        <v>5</v>
      </c>
      <c r="D678" s="21">
        <v>30</v>
      </c>
      <c r="E678" s="21" t="s">
        <v>307</v>
      </c>
      <c r="F678" s="21">
        <v>0</v>
      </c>
      <c r="G678" s="21">
        <v>8.7100000000000009</v>
      </c>
      <c r="H678" s="21">
        <v>295.47000000000003</v>
      </c>
      <c r="I678" s="21">
        <v>339.23</v>
      </c>
    </row>
    <row r="679" spans="1:9" ht="15" customHeight="1" x14ac:dyDescent="0.3">
      <c r="A679" s="21" t="s">
        <v>1057</v>
      </c>
      <c r="B679" s="21">
        <v>2018</v>
      </c>
      <c r="C679" s="21">
        <v>5</v>
      </c>
      <c r="D679" s="21">
        <v>31</v>
      </c>
      <c r="E679" s="21" t="s">
        <v>310</v>
      </c>
      <c r="F679" s="21">
        <v>0</v>
      </c>
      <c r="G679" s="21">
        <v>7.67</v>
      </c>
      <c r="H679" s="21">
        <v>260.23</v>
      </c>
      <c r="I679" s="21">
        <v>339.28</v>
      </c>
    </row>
    <row r="680" spans="1:9" ht="15" customHeight="1" x14ac:dyDescent="0.3">
      <c r="A680" s="21" t="s">
        <v>120</v>
      </c>
      <c r="B680" s="21">
        <v>2018</v>
      </c>
      <c r="C680" s="21">
        <v>6</v>
      </c>
      <c r="D680" s="21">
        <v>1</v>
      </c>
      <c r="E680" s="21" t="s">
        <v>313</v>
      </c>
      <c r="F680" s="21">
        <v>0</v>
      </c>
      <c r="G680" s="21">
        <v>10.51</v>
      </c>
      <c r="H680" s="21">
        <v>356.73</v>
      </c>
      <c r="I680" s="21">
        <v>339.42</v>
      </c>
    </row>
    <row r="681" spans="1:9" ht="15" customHeight="1" x14ac:dyDescent="0.3">
      <c r="A681" s="21" t="s">
        <v>1058</v>
      </c>
      <c r="B681" s="21">
        <v>2018</v>
      </c>
      <c r="C681" s="21">
        <v>6</v>
      </c>
      <c r="D681" s="21">
        <v>2</v>
      </c>
      <c r="E681" s="21" t="s">
        <v>316</v>
      </c>
      <c r="F681" s="21">
        <v>1</v>
      </c>
      <c r="G681" s="21">
        <v>8.3800000000000008</v>
      </c>
      <c r="H681" s="21">
        <v>284.48</v>
      </c>
      <c r="I681" s="21">
        <v>339.47</v>
      </c>
    </row>
    <row r="682" spans="1:9" ht="15" customHeight="1" x14ac:dyDescent="0.3">
      <c r="A682" s="21" t="s">
        <v>1059</v>
      </c>
      <c r="B682" s="21">
        <v>2018</v>
      </c>
      <c r="C682" s="21">
        <v>6</v>
      </c>
      <c r="D682" s="21">
        <v>3</v>
      </c>
      <c r="E682" s="21" t="s">
        <v>319</v>
      </c>
      <c r="F682" s="21">
        <v>1</v>
      </c>
      <c r="G682" s="21">
        <v>6.47</v>
      </c>
      <c r="H682" s="21">
        <v>219.61</v>
      </c>
      <c r="I682" s="21">
        <v>339.43</v>
      </c>
    </row>
    <row r="683" spans="1:9" ht="15" customHeight="1" x14ac:dyDescent="0.3">
      <c r="A683" s="21" t="s">
        <v>1060</v>
      </c>
      <c r="B683" s="21">
        <v>2018</v>
      </c>
      <c r="C683" s="21">
        <v>6</v>
      </c>
      <c r="D683" s="21">
        <v>4</v>
      </c>
      <c r="E683" s="21" t="s">
        <v>299</v>
      </c>
      <c r="F683" s="21">
        <v>0</v>
      </c>
      <c r="G683" s="21">
        <v>8.5399999999999991</v>
      </c>
      <c r="H683" s="21">
        <v>289.83999999999997</v>
      </c>
      <c r="I683" s="21">
        <v>339.39</v>
      </c>
    </row>
    <row r="684" spans="1:9" ht="15" customHeight="1" x14ac:dyDescent="0.3">
      <c r="A684" s="21" t="s">
        <v>1061</v>
      </c>
      <c r="B684" s="21">
        <v>2018</v>
      </c>
      <c r="C684" s="21">
        <v>6</v>
      </c>
      <c r="D684" s="21">
        <v>5</v>
      </c>
      <c r="E684" s="21" t="s">
        <v>303</v>
      </c>
      <c r="F684" s="21">
        <v>0</v>
      </c>
      <c r="G684" s="21">
        <v>8.1199999999999992</v>
      </c>
      <c r="H684" s="21">
        <v>275.66000000000003</v>
      </c>
      <c r="I684" s="21">
        <v>339.48</v>
      </c>
    </row>
    <row r="685" spans="1:9" ht="15" customHeight="1" x14ac:dyDescent="0.3">
      <c r="A685" s="21" t="s">
        <v>1062</v>
      </c>
      <c r="B685" s="21">
        <v>2018</v>
      </c>
      <c r="C685" s="21">
        <v>6</v>
      </c>
      <c r="D685" s="21">
        <v>6</v>
      </c>
      <c r="E685" s="21" t="s">
        <v>307</v>
      </c>
      <c r="F685" s="21">
        <v>0</v>
      </c>
      <c r="G685" s="21">
        <v>7.87</v>
      </c>
      <c r="H685" s="21">
        <v>267</v>
      </c>
      <c r="I685" s="21">
        <v>339.26</v>
      </c>
    </row>
    <row r="686" spans="1:9" ht="15" customHeight="1" x14ac:dyDescent="0.3">
      <c r="A686" s="21" t="s">
        <v>1063</v>
      </c>
      <c r="B686" s="21">
        <v>2018</v>
      </c>
      <c r="C686" s="21">
        <v>6</v>
      </c>
      <c r="D686" s="21">
        <v>7</v>
      </c>
      <c r="E686" s="21" t="s">
        <v>310</v>
      </c>
      <c r="F686" s="21">
        <v>0</v>
      </c>
      <c r="G686" s="21">
        <v>8.02</v>
      </c>
      <c r="H686" s="21">
        <v>272.26</v>
      </c>
      <c r="I686" s="21">
        <v>339.48</v>
      </c>
    </row>
    <row r="687" spans="1:9" ht="15" customHeight="1" x14ac:dyDescent="0.3">
      <c r="A687" s="21" t="s">
        <v>1064</v>
      </c>
      <c r="B687" s="21">
        <v>2018</v>
      </c>
      <c r="C687" s="21">
        <v>6</v>
      </c>
      <c r="D687" s="21">
        <v>8</v>
      </c>
      <c r="E687" s="21" t="s">
        <v>313</v>
      </c>
      <c r="F687" s="21">
        <v>0</v>
      </c>
      <c r="G687" s="21">
        <v>8.6</v>
      </c>
      <c r="H687" s="21">
        <v>291.77999999999997</v>
      </c>
      <c r="I687" s="21">
        <v>339.28</v>
      </c>
    </row>
    <row r="688" spans="1:9" ht="15" customHeight="1" x14ac:dyDescent="0.3">
      <c r="A688" s="21" t="s">
        <v>1065</v>
      </c>
      <c r="B688" s="21">
        <v>2018</v>
      </c>
      <c r="C688" s="21">
        <v>6</v>
      </c>
      <c r="D688" s="21">
        <v>9</v>
      </c>
      <c r="E688" s="21" t="s">
        <v>316</v>
      </c>
      <c r="F688" s="21">
        <v>1</v>
      </c>
      <c r="G688" s="21">
        <v>7.41</v>
      </c>
      <c r="H688" s="21">
        <v>251.61</v>
      </c>
      <c r="I688" s="21">
        <v>339.55</v>
      </c>
    </row>
    <row r="689" spans="1:9" ht="15" customHeight="1" x14ac:dyDescent="0.3">
      <c r="A689" s="21" t="s">
        <v>1066</v>
      </c>
      <c r="B689" s="21">
        <v>2018</v>
      </c>
      <c r="C689" s="21">
        <v>6</v>
      </c>
      <c r="D689" s="21">
        <v>10</v>
      </c>
      <c r="E689" s="21" t="s">
        <v>319</v>
      </c>
      <c r="F689" s="21">
        <v>1</v>
      </c>
      <c r="G689" s="21">
        <v>7.21</v>
      </c>
      <c r="H689" s="21">
        <v>244.78</v>
      </c>
      <c r="I689" s="21">
        <v>339.5</v>
      </c>
    </row>
    <row r="690" spans="1:9" ht="15" customHeight="1" x14ac:dyDescent="0.3">
      <c r="A690" s="21" t="s">
        <v>1067</v>
      </c>
      <c r="B690" s="21">
        <v>2018</v>
      </c>
      <c r="C690" s="21">
        <v>6</v>
      </c>
      <c r="D690" s="21">
        <v>11</v>
      </c>
      <c r="E690" s="21" t="s">
        <v>299</v>
      </c>
      <c r="F690" s="21">
        <v>0</v>
      </c>
      <c r="G690" s="21">
        <v>8.94</v>
      </c>
      <c r="H690" s="21">
        <v>303.33999999999997</v>
      </c>
      <c r="I690" s="21">
        <v>339.31</v>
      </c>
    </row>
    <row r="691" spans="1:9" ht="15" customHeight="1" x14ac:dyDescent="0.3">
      <c r="A691" s="21" t="s">
        <v>1068</v>
      </c>
      <c r="B691" s="21">
        <v>2018</v>
      </c>
      <c r="C691" s="21">
        <v>6</v>
      </c>
      <c r="D691" s="21">
        <v>12</v>
      </c>
      <c r="E691" s="21" t="s">
        <v>303</v>
      </c>
      <c r="F691" s="21">
        <v>0</v>
      </c>
      <c r="G691" s="21">
        <v>8.39</v>
      </c>
      <c r="H691" s="21">
        <v>284.8</v>
      </c>
      <c r="I691" s="21">
        <v>339.45</v>
      </c>
    </row>
    <row r="692" spans="1:9" ht="15" customHeight="1" x14ac:dyDescent="0.3">
      <c r="A692" s="21" t="s">
        <v>1069</v>
      </c>
      <c r="B692" s="21">
        <v>2018</v>
      </c>
      <c r="C692" s="21">
        <v>6</v>
      </c>
      <c r="D692" s="21">
        <v>13</v>
      </c>
      <c r="E692" s="21" t="s">
        <v>307</v>
      </c>
      <c r="F692" s="21">
        <v>0</v>
      </c>
      <c r="G692" s="21">
        <v>7.94</v>
      </c>
      <c r="H692" s="21">
        <v>269.32</v>
      </c>
      <c r="I692" s="21">
        <v>339.19</v>
      </c>
    </row>
    <row r="693" spans="1:9" ht="15" customHeight="1" x14ac:dyDescent="0.3">
      <c r="A693" s="21" t="s">
        <v>1070</v>
      </c>
      <c r="B693" s="21">
        <v>2018</v>
      </c>
      <c r="C693" s="21">
        <v>6</v>
      </c>
      <c r="D693" s="21">
        <v>14</v>
      </c>
      <c r="E693" s="21" t="s">
        <v>310</v>
      </c>
      <c r="F693" s="21">
        <v>0</v>
      </c>
      <c r="G693" s="21">
        <v>8.08</v>
      </c>
      <c r="H693" s="21">
        <v>274.38</v>
      </c>
      <c r="I693" s="21">
        <v>339.58</v>
      </c>
    </row>
    <row r="694" spans="1:9" ht="15" customHeight="1" x14ac:dyDescent="0.3">
      <c r="A694" s="21" t="s">
        <v>1071</v>
      </c>
      <c r="B694" s="21">
        <v>2018</v>
      </c>
      <c r="C694" s="21">
        <v>6</v>
      </c>
      <c r="D694" s="21">
        <v>15</v>
      </c>
      <c r="E694" s="21" t="s">
        <v>313</v>
      </c>
      <c r="F694" s="21">
        <v>0</v>
      </c>
      <c r="G694" s="21">
        <v>8.99</v>
      </c>
      <c r="H694" s="21">
        <v>305.16000000000003</v>
      </c>
      <c r="I694" s="21">
        <v>339.44</v>
      </c>
    </row>
    <row r="695" spans="1:9" ht="15" customHeight="1" x14ac:dyDescent="0.3">
      <c r="A695" s="21" t="s">
        <v>1072</v>
      </c>
      <c r="B695" s="21">
        <v>2018</v>
      </c>
      <c r="C695" s="21">
        <v>6</v>
      </c>
      <c r="D695" s="21">
        <v>16</v>
      </c>
      <c r="E695" s="21" t="s">
        <v>316</v>
      </c>
      <c r="F695" s="21">
        <v>1</v>
      </c>
      <c r="G695" s="21">
        <v>6.68</v>
      </c>
      <c r="H695" s="21">
        <v>226.73</v>
      </c>
      <c r="I695" s="21">
        <v>339.42</v>
      </c>
    </row>
    <row r="696" spans="1:9" ht="15" customHeight="1" x14ac:dyDescent="0.3">
      <c r="A696" s="21" t="s">
        <v>1073</v>
      </c>
      <c r="B696" s="21">
        <v>2018</v>
      </c>
      <c r="C696" s="21">
        <v>6</v>
      </c>
      <c r="D696" s="21">
        <v>17</v>
      </c>
      <c r="E696" s="21" t="s">
        <v>319</v>
      </c>
      <c r="F696" s="21">
        <v>1</v>
      </c>
      <c r="G696" s="21">
        <v>7.16</v>
      </c>
      <c r="H696" s="21">
        <v>242.91</v>
      </c>
      <c r="I696" s="21">
        <v>339.26</v>
      </c>
    </row>
    <row r="697" spans="1:9" ht="15" customHeight="1" x14ac:dyDescent="0.3">
      <c r="A697" s="21" t="s">
        <v>1074</v>
      </c>
      <c r="B697" s="21">
        <v>2018</v>
      </c>
      <c r="C697" s="21">
        <v>6</v>
      </c>
      <c r="D697" s="21">
        <v>18</v>
      </c>
      <c r="E697" s="21" t="s">
        <v>299</v>
      </c>
      <c r="F697" s="21">
        <v>0</v>
      </c>
      <c r="G697" s="21">
        <v>8.56</v>
      </c>
      <c r="H697" s="21">
        <v>290.7</v>
      </c>
      <c r="I697" s="21">
        <v>339.6</v>
      </c>
    </row>
    <row r="698" spans="1:9" ht="15" customHeight="1" x14ac:dyDescent="0.3">
      <c r="A698" s="21" t="s">
        <v>1075</v>
      </c>
      <c r="B698" s="21">
        <v>2018</v>
      </c>
      <c r="C698" s="21">
        <v>6</v>
      </c>
      <c r="D698" s="21">
        <v>19</v>
      </c>
      <c r="E698" s="21" t="s">
        <v>303</v>
      </c>
      <c r="F698" s="21">
        <v>0</v>
      </c>
      <c r="G698" s="21">
        <v>8.1199999999999992</v>
      </c>
      <c r="H698" s="21">
        <v>275.63</v>
      </c>
      <c r="I698" s="21">
        <v>339.45</v>
      </c>
    </row>
    <row r="699" spans="1:9" ht="15" customHeight="1" x14ac:dyDescent="0.3">
      <c r="A699" s="21" t="s">
        <v>1076</v>
      </c>
      <c r="B699" s="21">
        <v>2018</v>
      </c>
      <c r="C699" s="21">
        <v>6</v>
      </c>
      <c r="D699" s="21">
        <v>20</v>
      </c>
      <c r="E699" s="21" t="s">
        <v>307</v>
      </c>
      <c r="F699" s="21">
        <v>0</v>
      </c>
      <c r="G699" s="21">
        <v>8.39</v>
      </c>
      <c r="H699" s="21">
        <v>284.70999999999998</v>
      </c>
      <c r="I699" s="21">
        <v>339.34</v>
      </c>
    </row>
    <row r="700" spans="1:9" ht="15" customHeight="1" x14ac:dyDescent="0.3">
      <c r="A700" s="21" t="s">
        <v>1077</v>
      </c>
      <c r="B700" s="21">
        <v>2018</v>
      </c>
      <c r="C700" s="21">
        <v>6</v>
      </c>
      <c r="D700" s="21">
        <v>21</v>
      </c>
      <c r="E700" s="21" t="s">
        <v>310</v>
      </c>
      <c r="F700" s="21">
        <v>0</v>
      </c>
      <c r="G700" s="21">
        <v>8.32</v>
      </c>
      <c r="H700" s="21">
        <v>282.48</v>
      </c>
      <c r="I700" s="21">
        <v>339.52</v>
      </c>
    </row>
    <row r="701" spans="1:9" ht="15" customHeight="1" x14ac:dyDescent="0.3">
      <c r="A701" s="21" t="s">
        <v>1078</v>
      </c>
      <c r="B701" s="21">
        <v>2018</v>
      </c>
      <c r="C701" s="21">
        <v>6</v>
      </c>
      <c r="D701" s="21">
        <v>22</v>
      </c>
      <c r="E701" s="21" t="s">
        <v>313</v>
      </c>
      <c r="F701" s="21">
        <v>0</v>
      </c>
      <c r="G701" s="21">
        <v>8.7799999999999994</v>
      </c>
      <c r="H701" s="21">
        <v>298.05</v>
      </c>
      <c r="I701" s="21">
        <v>339.46</v>
      </c>
    </row>
    <row r="702" spans="1:9" ht="15" customHeight="1" x14ac:dyDescent="0.3">
      <c r="A702" s="21" t="s">
        <v>1079</v>
      </c>
      <c r="B702" s="21">
        <v>2018</v>
      </c>
      <c r="C702" s="21">
        <v>6</v>
      </c>
      <c r="D702" s="21">
        <v>23</v>
      </c>
      <c r="E702" s="21" t="s">
        <v>316</v>
      </c>
      <c r="F702" s="21">
        <v>1</v>
      </c>
      <c r="G702" s="21">
        <v>7.27</v>
      </c>
      <c r="H702" s="21">
        <v>246.65</v>
      </c>
      <c r="I702" s="21">
        <v>339.27</v>
      </c>
    </row>
    <row r="703" spans="1:9" ht="15" customHeight="1" x14ac:dyDescent="0.3">
      <c r="A703" s="21" t="s">
        <v>1080</v>
      </c>
      <c r="B703" s="21">
        <v>2018</v>
      </c>
      <c r="C703" s="21">
        <v>6</v>
      </c>
      <c r="D703" s="21">
        <v>24</v>
      </c>
      <c r="E703" s="21" t="s">
        <v>319</v>
      </c>
      <c r="F703" s="21">
        <v>1</v>
      </c>
      <c r="G703" s="21">
        <v>6.71</v>
      </c>
      <c r="H703" s="21">
        <v>227.91</v>
      </c>
      <c r="I703" s="21">
        <v>339.66</v>
      </c>
    </row>
    <row r="704" spans="1:9" ht="15" customHeight="1" x14ac:dyDescent="0.3">
      <c r="A704" s="21" t="s">
        <v>1081</v>
      </c>
      <c r="B704" s="21">
        <v>2018</v>
      </c>
      <c r="C704" s="21">
        <v>6</v>
      </c>
      <c r="D704" s="21">
        <v>25</v>
      </c>
      <c r="E704" s="21" t="s">
        <v>299</v>
      </c>
      <c r="F704" s="21">
        <v>0</v>
      </c>
      <c r="G704" s="21">
        <v>8.7799999999999994</v>
      </c>
      <c r="H704" s="21">
        <v>297.86</v>
      </c>
      <c r="I704" s="21">
        <v>339.25</v>
      </c>
    </row>
    <row r="705" spans="1:9" ht="15" customHeight="1" x14ac:dyDescent="0.3">
      <c r="A705" s="21" t="s">
        <v>1082</v>
      </c>
      <c r="B705" s="21">
        <v>2018</v>
      </c>
      <c r="C705" s="21">
        <v>6</v>
      </c>
      <c r="D705" s="21">
        <v>26</v>
      </c>
      <c r="E705" s="21" t="s">
        <v>303</v>
      </c>
      <c r="F705" s="21">
        <v>0</v>
      </c>
      <c r="G705" s="21">
        <v>8.36</v>
      </c>
      <c r="H705" s="21">
        <v>283.73</v>
      </c>
      <c r="I705" s="21">
        <v>339.39</v>
      </c>
    </row>
    <row r="706" spans="1:9" ht="15" customHeight="1" x14ac:dyDescent="0.3">
      <c r="A706" s="21" t="s">
        <v>1083</v>
      </c>
      <c r="B706" s="21">
        <v>2018</v>
      </c>
      <c r="C706" s="21">
        <v>6</v>
      </c>
      <c r="D706" s="21">
        <v>27</v>
      </c>
      <c r="E706" s="21" t="s">
        <v>307</v>
      </c>
      <c r="F706" s="21">
        <v>0</v>
      </c>
      <c r="G706" s="21">
        <v>8.14</v>
      </c>
      <c r="H706" s="21">
        <v>276.18</v>
      </c>
      <c r="I706" s="21">
        <v>339.29</v>
      </c>
    </row>
    <row r="707" spans="1:9" ht="15" customHeight="1" x14ac:dyDescent="0.3">
      <c r="A707" s="21" t="s">
        <v>1084</v>
      </c>
      <c r="B707" s="21">
        <v>2018</v>
      </c>
      <c r="C707" s="21">
        <v>6</v>
      </c>
      <c r="D707" s="21">
        <v>28</v>
      </c>
      <c r="E707" s="21" t="s">
        <v>310</v>
      </c>
      <c r="F707" s="21">
        <v>0</v>
      </c>
      <c r="G707" s="21">
        <v>8.2899999999999991</v>
      </c>
      <c r="H707" s="21">
        <v>281.49</v>
      </c>
      <c r="I707" s="21">
        <v>339.55</v>
      </c>
    </row>
    <row r="708" spans="1:9" ht="15" customHeight="1" x14ac:dyDescent="0.3">
      <c r="A708" s="21" t="s">
        <v>1085</v>
      </c>
      <c r="B708" s="21">
        <v>2018</v>
      </c>
      <c r="C708" s="21">
        <v>6</v>
      </c>
      <c r="D708" s="21">
        <v>29</v>
      </c>
      <c r="E708" s="21" t="s">
        <v>313</v>
      </c>
      <c r="F708" s="21">
        <v>0</v>
      </c>
      <c r="G708" s="21">
        <v>9.85</v>
      </c>
      <c r="H708" s="21">
        <v>334.2</v>
      </c>
      <c r="I708" s="21">
        <v>339.29</v>
      </c>
    </row>
    <row r="709" spans="1:9" ht="15" customHeight="1" x14ac:dyDescent="0.3">
      <c r="A709" s="21" t="s">
        <v>1086</v>
      </c>
      <c r="B709" s="21">
        <v>2018</v>
      </c>
      <c r="C709" s="21">
        <v>6</v>
      </c>
      <c r="D709" s="21">
        <v>30</v>
      </c>
      <c r="E709" s="21" t="s">
        <v>316</v>
      </c>
      <c r="F709" s="21">
        <v>1</v>
      </c>
      <c r="G709" s="21">
        <v>8.2899999999999991</v>
      </c>
      <c r="H709" s="21">
        <v>281.38</v>
      </c>
      <c r="I709" s="21">
        <v>339.42</v>
      </c>
    </row>
    <row r="710" spans="1:9" ht="15" customHeight="1" x14ac:dyDescent="0.3">
      <c r="A710" s="21" t="s">
        <v>121</v>
      </c>
      <c r="B710" s="21">
        <v>2018</v>
      </c>
      <c r="C710" s="21">
        <v>7</v>
      </c>
      <c r="D710" s="21">
        <v>1</v>
      </c>
      <c r="E710" s="21" t="s">
        <v>319</v>
      </c>
      <c r="F710" s="21">
        <v>1</v>
      </c>
      <c r="G710" s="21">
        <v>7.38</v>
      </c>
      <c r="H710" s="21">
        <v>259.57</v>
      </c>
      <c r="I710" s="21">
        <v>351.72</v>
      </c>
    </row>
    <row r="711" spans="1:9" ht="15" customHeight="1" x14ac:dyDescent="0.3">
      <c r="A711" s="21" t="s">
        <v>1087</v>
      </c>
      <c r="B711" s="21">
        <v>2018</v>
      </c>
      <c r="C711" s="21">
        <v>7</v>
      </c>
      <c r="D711" s="21">
        <v>2</v>
      </c>
      <c r="E711" s="21" t="s">
        <v>299</v>
      </c>
      <c r="F711" s="21">
        <v>0</v>
      </c>
      <c r="G711" s="21">
        <v>9.0399999999999991</v>
      </c>
      <c r="H711" s="21">
        <v>317.93</v>
      </c>
      <c r="I711" s="21">
        <v>351.69</v>
      </c>
    </row>
    <row r="712" spans="1:9" ht="15" customHeight="1" x14ac:dyDescent="0.3">
      <c r="A712" s="21" t="s">
        <v>1088</v>
      </c>
      <c r="B712" s="21">
        <v>2018</v>
      </c>
      <c r="C712" s="21">
        <v>7</v>
      </c>
      <c r="D712" s="21">
        <v>3</v>
      </c>
      <c r="E712" s="21" t="s">
        <v>303</v>
      </c>
      <c r="F712" s="21">
        <v>0</v>
      </c>
      <c r="G712" s="21">
        <v>7.84</v>
      </c>
      <c r="H712" s="21">
        <v>275.7</v>
      </c>
      <c r="I712" s="21">
        <v>351.66</v>
      </c>
    </row>
    <row r="713" spans="1:9" ht="15" customHeight="1" x14ac:dyDescent="0.3">
      <c r="A713" s="21" t="s">
        <v>1089</v>
      </c>
      <c r="B713" s="21">
        <v>2018</v>
      </c>
      <c r="C713" s="21">
        <v>7</v>
      </c>
      <c r="D713" s="21">
        <v>4</v>
      </c>
      <c r="E713" s="21" t="s">
        <v>307</v>
      </c>
      <c r="F713" s="21">
        <v>0</v>
      </c>
      <c r="G713" s="21">
        <v>7.44</v>
      </c>
      <c r="H713" s="21">
        <v>261.64</v>
      </c>
      <c r="I713" s="21">
        <v>351.67</v>
      </c>
    </row>
    <row r="714" spans="1:9" ht="15" customHeight="1" x14ac:dyDescent="0.3">
      <c r="A714" s="21" t="s">
        <v>1090</v>
      </c>
      <c r="B714" s="21">
        <v>2018</v>
      </c>
      <c r="C714" s="21">
        <v>7</v>
      </c>
      <c r="D714" s="21">
        <v>5</v>
      </c>
      <c r="E714" s="21" t="s">
        <v>310</v>
      </c>
      <c r="F714" s="21">
        <v>0</v>
      </c>
      <c r="G714" s="21">
        <v>7.28</v>
      </c>
      <c r="H714" s="21">
        <v>256</v>
      </c>
      <c r="I714" s="21">
        <v>351.65</v>
      </c>
    </row>
    <row r="715" spans="1:9" ht="15" customHeight="1" x14ac:dyDescent="0.3">
      <c r="A715" s="21" t="s">
        <v>1091</v>
      </c>
      <c r="B715" s="21">
        <v>2018</v>
      </c>
      <c r="C715" s="21">
        <v>7</v>
      </c>
      <c r="D715" s="21">
        <v>6</v>
      </c>
      <c r="E715" s="21" t="s">
        <v>313</v>
      </c>
      <c r="F715" s="21">
        <v>0</v>
      </c>
      <c r="G715" s="21">
        <v>7.86</v>
      </c>
      <c r="H715" s="21">
        <v>276.19</v>
      </c>
      <c r="I715" s="21">
        <v>351.39</v>
      </c>
    </row>
    <row r="716" spans="1:9" ht="15" customHeight="1" x14ac:dyDescent="0.3">
      <c r="A716" s="21" t="s">
        <v>1092</v>
      </c>
      <c r="B716" s="21">
        <v>2018</v>
      </c>
      <c r="C716" s="21">
        <v>7</v>
      </c>
      <c r="D716" s="21">
        <v>7</v>
      </c>
      <c r="E716" s="21" t="s">
        <v>316</v>
      </c>
      <c r="F716" s="21">
        <v>1</v>
      </c>
      <c r="G716" s="21">
        <v>6.6</v>
      </c>
      <c r="H716" s="21">
        <v>232.06</v>
      </c>
      <c r="I716" s="21">
        <v>351.61</v>
      </c>
    </row>
    <row r="717" spans="1:9" ht="15" customHeight="1" x14ac:dyDescent="0.3">
      <c r="A717" s="21" t="s">
        <v>1093</v>
      </c>
      <c r="B717" s="21">
        <v>2018</v>
      </c>
      <c r="C717" s="21">
        <v>7</v>
      </c>
      <c r="D717" s="21">
        <v>8</v>
      </c>
      <c r="E717" s="21" t="s">
        <v>319</v>
      </c>
      <c r="F717" s="21">
        <v>1</v>
      </c>
      <c r="G717" s="21">
        <v>6.17</v>
      </c>
      <c r="H717" s="21">
        <v>216.93</v>
      </c>
      <c r="I717" s="21">
        <v>351.59</v>
      </c>
    </row>
    <row r="718" spans="1:9" ht="15" customHeight="1" x14ac:dyDescent="0.3">
      <c r="A718" s="21" t="s">
        <v>1094</v>
      </c>
      <c r="B718" s="21">
        <v>2018</v>
      </c>
      <c r="C718" s="21">
        <v>7</v>
      </c>
      <c r="D718" s="21">
        <v>9</v>
      </c>
      <c r="E718" s="21" t="s">
        <v>299</v>
      </c>
      <c r="F718" s="21">
        <v>0</v>
      </c>
      <c r="G718" s="21">
        <v>8.3800000000000008</v>
      </c>
      <c r="H718" s="21">
        <v>294.73</v>
      </c>
      <c r="I718" s="21">
        <v>351.71</v>
      </c>
    </row>
    <row r="719" spans="1:9" ht="15" customHeight="1" x14ac:dyDescent="0.3">
      <c r="A719" s="21" t="s">
        <v>1095</v>
      </c>
      <c r="B719" s="21">
        <v>2018</v>
      </c>
      <c r="C719" s="21">
        <v>7</v>
      </c>
      <c r="D719" s="21">
        <v>10</v>
      </c>
      <c r="E719" s="21" t="s">
        <v>303</v>
      </c>
      <c r="F719" s="21">
        <v>0</v>
      </c>
      <c r="G719" s="21">
        <v>7.13</v>
      </c>
      <c r="H719" s="21">
        <v>250.6</v>
      </c>
      <c r="I719" s="21">
        <v>351.47</v>
      </c>
    </row>
    <row r="720" spans="1:9" ht="15" customHeight="1" x14ac:dyDescent="0.3">
      <c r="A720" s="21" t="s">
        <v>1096</v>
      </c>
      <c r="B720" s="21">
        <v>2018</v>
      </c>
      <c r="C720" s="21">
        <v>7</v>
      </c>
      <c r="D720" s="21">
        <v>11</v>
      </c>
      <c r="E720" s="21" t="s">
        <v>307</v>
      </c>
      <c r="F720" s="21">
        <v>0</v>
      </c>
      <c r="G720" s="21">
        <v>7.99</v>
      </c>
      <c r="H720" s="21">
        <v>280.89</v>
      </c>
      <c r="I720" s="21">
        <v>351.55</v>
      </c>
    </row>
    <row r="721" spans="1:9" ht="15" customHeight="1" x14ac:dyDescent="0.3">
      <c r="A721" s="21" t="s">
        <v>1097</v>
      </c>
      <c r="B721" s="21">
        <v>2018</v>
      </c>
      <c r="C721" s="21">
        <v>7</v>
      </c>
      <c r="D721" s="21">
        <v>12</v>
      </c>
      <c r="E721" s="21" t="s">
        <v>310</v>
      </c>
      <c r="F721" s="21">
        <v>0</v>
      </c>
      <c r="G721" s="21">
        <v>7.65</v>
      </c>
      <c r="H721" s="21">
        <v>268.98</v>
      </c>
      <c r="I721" s="21">
        <v>351.61</v>
      </c>
    </row>
    <row r="722" spans="1:9" ht="15" customHeight="1" x14ac:dyDescent="0.3">
      <c r="A722" s="21" t="s">
        <v>1098</v>
      </c>
      <c r="B722" s="21">
        <v>2018</v>
      </c>
      <c r="C722" s="21">
        <v>7</v>
      </c>
      <c r="D722" s="21">
        <v>13</v>
      </c>
      <c r="E722" s="21" t="s">
        <v>313</v>
      </c>
      <c r="F722" s="21">
        <v>0</v>
      </c>
      <c r="G722" s="21">
        <v>8.19</v>
      </c>
      <c r="H722" s="21">
        <v>287.89999999999998</v>
      </c>
      <c r="I722" s="21">
        <v>351.53</v>
      </c>
    </row>
    <row r="723" spans="1:9" ht="15" customHeight="1" x14ac:dyDescent="0.3">
      <c r="A723" s="21" t="s">
        <v>1099</v>
      </c>
      <c r="B723" s="21">
        <v>2018</v>
      </c>
      <c r="C723" s="21">
        <v>7</v>
      </c>
      <c r="D723" s="21">
        <v>14</v>
      </c>
      <c r="E723" s="21" t="s">
        <v>316</v>
      </c>
      <c r="F723" s="21">
        <v>1</v>
      </c>
      <c r="G723" s="21">
        <v>6.34</v>
      </c>
      <c r="H723" s="21">
        <v>222.83</v>
      </c>
      <c r="I723" s="21">
        <v>351.47</v>
      </c>
    </row>
    <row r="724" spans="1:9" ht="15" customHeight="1" x14ac:dyDescent="0.3">
      <c r="A724" s="21" t="s">
        <v>1100</v>
      </c>
      <c r="B724" s="21">
        <v>2018</v>
      </c>
      <c r="C724" s="21">
        <v>7</v>
      </c>
      <c r="D724" s="21">
        <v>15</v>
      </c>
      <c r="E724" s="21" t="s">
        <v>319</v>
      </c>
      <c r="F724" s="21">
        <v>1</v>
      </c>
      <c r="G724" s="21">
        <v>6.55</v>
      </c>
      <c r="H724" s="21">
        <v>230.4</v>
      </c>
      <c r="I724" s="21">
        <v>351.76</v>
      </c>
    </row>
    <row r="725" spans="1:9" ht="15" customHeight="1" x14ac:dyDescent="0.3">
      <c r="A725" s="21" t="s">
        <v>1101</v>
      </c>
      <c r="B725" s="21">
        <v>2018</v>
      </c>
      <c r="C725" s="21">
        <v>7</v>
      </c>
      <c r="D725" s="21">
        <v>16</v>
      </c>
      <c r="E725" s="21" t="s">
        <v>299</v>
      </c>
      <c r="F725" s="21">
        <v>0</v>
      </c>
      <c r="G725" s="21">
        <v>7.97</v>
      </c>
      <c r="H725" s="21">
        <v>280.35000000000002</v>
      </c>
      <c r="I725" s="21">
        <v>351.76</v>
      </c>
    </row>
    <row r="726" spans="1:9" ht="15" customHeight="1" x14ac:dyDescent="0.3">
      <c r="A726" s="21" t="s">
        <v>1102</v>
      </c>
      <c r="B726" s="21">
        <v>2018</v>
      </c>
      <c r="C726" s="21">
        <v>7</v>
      </c>
      <c r="D726" s="21">
        <v>17</v>
      </c>
      <c r="E726" s="21" t="s">
        <v>303</v>
      </c>
      <c r="F726" s="21">
        <v>0</v>
      </c>
      <c r="G726" s="21">
        <v>7.85</v>
      </c>
      <c r="H726" s="21">
        <v>276.14</v>
      </c>
      <c r="I726" s="21">
        <v>351.77</v>
      </c>
    </row>
    <row r="727" spans="1:9" ht="15" customHeight="1" x14ac:dyDescent="0.3">
      <c r="A727" s="21" t="s">
        <v>1103</v>
      </c>
      <c r="B727" s="21">
        <v>2018</v>
      </c>
      <c r="C727" s="21">
        <v>7</v>
      </c>
      <c r="D727" s="21">
        <v>18</v>
      </c>
      <c r="E727" s="21" t="s">
        <v>307</v>
      </c>
      <c r="F727" s="21">
        <v>0</v>
      </c>
      <c r="G727" s="21">
        <v>7.63</v>
      </c>
      <c r="H727" s="21">
        <v>268.20999999999998</v>
      </c>
      <c r="I727" s="21">
        <v>351.52</v>
      </c>
    </row>
    <row r="728" spans="1:9" ht="15" customHeight="1" x14ac:dyDescent="0.3">
      <c r="A728" s="21" t="s">
        <v>1104</v>
      </c>
      <c r="B728" s="21">
        <v>2018</v>
      </c>
      <c r="C728" s="21">
        <v>7</v>
      </c>
      <c r="D728" s="21">
        <v>19</v>
      </c>
      <c r="E728" s="21" t="s">
        <v>310</v>
      </c>
      <c r="F728" s="21">
        <v>0</v>
      </c>
      <c r="G728" s="21">
        <v>7.64</v>
      </c>
      <c r="H728" s="21">
        <v>268.5</v>
      </c>
      <c r="I728" s="21">
        <v>351.44</v>
      </c>
    </row>
    <row r="729" spans="1:9" ht="15" customHeight="1" x14ac:dyDescent="0.3">
      <c r="A729" s="21" t="s">
        <v>1105</v>
      </c>
      <c r="B729" s="21">
        <v>2018</v>
      </c>
      <c r="C729" s="21">
        <v>7</v>
      </c>
      <c r="D729" s="21">
        <v>20</v>
      </c>
      <c r="E729" s="21" t="s">
        <v>313</v>
      </c>
      <c r="F729" s="21">
        <v>0</v>
      </c>
      <c r="G729" s="21">
        <v>8.1300000000000008</v>
      </c>
      <c r="H729" s="21">
        <v>285.76</v>
      </c>
      <c r="I729" s="21">
        <v>351.49</v>
      </c>
    </row>
    <row r="730" spans="1:9" ht="15" customHeight="1" x14ac:dyDescent="0.3">
      <c r="A730" s="21" t="s">
        <v>1106</v>
      </c>
      <c r="B730" s="21">
        <v>2018</v>
      </c>
      <c r="C730" s="21">
        <v>7</v>
      </c>
      <c r="D730" s="21">
        <v>21</v>
      </c>
      <c r="E730" s="21" t="s">
        <v>316</v>
      </c>
      <c r="F730" s="21">
        <v>1</v>
      </c>
      <c r="G730" s="21">
        <v>6.45</v>
      </c>
      <c r="H730" s="21">
        <v>226.74</v>
      </c>
      <c r="I730" s="21">
        <v>351.53</v>
      </c>
    </row>
    <row r="731" spans="1:9" ht="15" customHeight="1" x14ac:dyDescent="0.3">
      <c r="A731" s="21" t="s">
        <v>1107</v>
      </c>
      <c r="B731" s="21">
        <v>2018</v>
      </c>
      <c r="C731" s="21">
        <v>7</v>
      </c>
      <c r="D731" s="21">
        <v>22</v>
      </c>
      <c r="E731" s="21" t="s">
        <v>319</v>
      </c>
      <c r="F731" s="21">
        <v>1</v>
      </c>
      <c r="G731" s="21">
        <v>6.53</v>
      </c>
      <c r="H731" s="21">
        <v>229.66</v>
      </c>
      <c r="I731" s="21">
        <v>351.7</v>
      </c>
    </row>
    <row r="732" spans="1:9" ht="15" customHeight="1" x14ac:dyDescent="0.3">
      <c r="A732" s="21" t="s">
        <v>1108</v>
      </c>
      <c r="B732" s="21">
        <v>2018</v>
      </c>
      <c r="C732" s="21">
        <v>7</v>
      </c>
      <c r="D732" s="21">
        <v>23</v>
      </c>
      <c r="E732" s="21" t="s">
        <v>299</v>
      </c>
      <c r="F732" s="21">
        <v>0</v>
      </c>
      <c r="G732" s="21">
        <v>7.59</v>
      </c>
      <c r="H732" s="21">
        <v>266.94</v>
      </c>
      <c r="I732" s="21">
        <v>351.7</v>
      </c>
    </row>
    <row r="733" spans="1:9" ht="15" customHeight="1" x14ac:dyDescent="0.3">
      <c r="A733" s="21" t="s">
        <v>1109</v>
      </c>
      <c r="B733" s="21">
        <v>2018</v>
      </c>
      <c r="C733" s="21">
        <v>7</v>
      </c>
      <c r="D733" s="21">
        <v>24</v>
      </c>
      <c r="E733" s="21" t="s">
        <v>303</v>
      </c>
      <c r="F733" s="21">
        <v>0</v>
      </c>
      <c r="G733" s="21">
        <v>7.3</v>
      </c>
      <c r="H733" s="21">
        <v>256.48</v>
      </c>
      <c r="I733" s="21">
        <v>351.34</v>
      </c>
    </row>
    <row r="734" spans="1:9" ht="15" customHeight="1" x14ac:dyDescent="0.3">
      <c r="A734" s="21" t="s">
        <v>1110</v>
      </c>
      <c r="B734" s="21">
        <v>2018</v>
      </c>
      <c r="C734" s="21">
        <v>7</v>
      </c>
      <c r="D734" s="21">
        <v>25</v>
      </c>
      <c r="E734" s="21" t="s">
        <v>307</v>
      </c>
      <c r="F734" s="21">
        <v>0</v>
      </c>
      <c r="G734" s="21">
        <v>7.77</v>
      </c>
      <c r="H734" s="21">
        <v>273.25</v>
      </c>
      <c r="I734" s="21">
        <v>351.67</v>
      </c>
    </row>
    <row r="735" spans="1:9" ht="15" customHeight="1" x14ac:dyDescent="0.3">
      <c r="A735" s="21" t="s">
        <v>1111</v>
      </c>
      <c r="B735" s="21">
        <v>2018</v>
      </c>
      <c r="C735" s="21">
        <v>7</v>
      </c>
      <c r="D735" s="21">
        <v>26</v>
      </c>
      <c r="E735" s="21" t="s">
        <v>310</v>
      </c>
      <c r="F735" s="21">
        <v>0</v>
      </c>
      <c r="G735" s="21">
        <v>7.64</v>
      </c>
      <c r="H735" s="21">
        <v>268.66000000000003</v>
      </c>
      <c r="I735" s="21">
        <v>351.65</v>
      </c>
    </row>
    <row r="736" spans="1:9" ht="15" customHeight="1" x14ac:dyDescent="0.3">
      <c r="A736" s="21" t="s">
        <v>1112</v>
      </c>
      <c r="B736" s="21">
        <v>2018</v>
      </c>
      <c r="C736" s="21">
        <v>7</v>
      </c>
      <c r="D736" s="21">
        <v>27</v>
      </c>
      <c r="E736" s="21" t="s">
        <v>313</v>
      </c>
      <c r="F736" s="21">
        <v>0</v>
      </c>
      <c r="G736" s="21">
        <v>8.17</v>
      </c>
      <c r="H736" s="21">
        <v>287.2</v>
      </c>
      <c r="I736" s="21">
        <v>351.53</v>
      </c>
    </row>
    <row r="737" spans="1:9" ht="15" customHeight="1" x14ac:dyDescent="0.3">
      <c r="A737" s="21" t="s">
        <v>1113</v>
      </c>
      <c r="B737" s="21">
        <v>2018</v>
      </c>
      <c r="C737" s="21">
        <v>7</v>
      </c>
      <c r="D737" s="21">
        <v>28</v>
      </c>
      <c r="E737" s="21" t="s">
        <v>316</v>
      </c>
      <c r="F737" s="21">
        <v>1</v>
      </c>
      <c r="G737" s="21">
        <v>6.47</v>
      </c>
      <c r="H737" s="21">
        <v>227.34</v>
      </c>
      <c r="I737" s="21">
        <v>351.38</v>
      </c>
    </row>
    <row r="738" spans="1:9" ht="15" customHeight="1" x14ac:dyDescent="0.3">
      <c r="A738" s="21" t="s">
        <v>1114</v>
      </c>
      <c r="B738" s="21">
        <v>2018</v>
      </c>
      <c r="C738" s="21">
        <v>7</v>
      </c>
      <c r="D738" s="21">
        <v>29</v>
      </c>
      <c r="E738" s="21" t="s">
        <v>319</v>
      </c>
      <c r="F738" s="21">
        <v>1</v>
      </c>
      <c r="G738" s="21">
        <v>6.54</v>
      </c>
      <c r="H738" s="21">
        <v>229.98</v>
      </c>
      <c r="I738" s="21">
        <v>351.65</v>
      </c>
    </row>
    <row r="739" spans="1:9" ht="15" customHeight="1" x14ac:dyDescent="0.3">
      <c r="A739" s="21" t="s">
        <v>1115</v>
      </c>
      <c r="B739" s="21">
        <v>2018</v>
      </c>
      <c r="C739" s="21">
        <v>7</v>
      </c>
      <c r="D739" s="21">
        <v>30</v>
      </c>
      <c r="E739" s="21" t="s">
        <v>299</v>
      </c>
      <c r="F739" s="21">
        <v>0</v>
      </c>
      <c r="G739" s="21">
        <v>9.0399999999999991</v>
      </c>
      <c r="H739" s="21">
        <v>317.77999999999997</v>
      </c>
      <c r="I739" s="21">
        <v>351.53</v>
      </c>
    </row>
    <row r="740" spans="1:9" ht="15" customHeight="1" x14ac:dyDescent="0.3">
      <c r="A740" s="21" t="s">
        <v>1116</v>
      </c>
      <c r="B740" s="21">
        <v>2018</v>
      </c>
      <c r="C740" s="21">
        <v>7</v>
      </c>
      <c r="D740" s="21">
        <v>31</v>
      </c>
      <c r="E740" s="21" t="s">
        <v>303</v>
      </c>
      <c r="F740" s="21">
        <v>0</v>
      </c>
      <c r="G740" s="21">
        <v>8.5399999999999991</v>
      </c>
      <c r="H740" s="21">
        <v>300.20999999999998</v>
      </c>
      <c r="I740" s="21">
        <v>351.53</v>
      </c>
    </row>
    <row r="741" spans="1:9" ht="15" customHeight="1" x14ac:dyDescent="0.3">
      <c r="A741" s="21" t="s">
        <v>122</v>
      </c>
      <c r="B741" s="21">
        <v>2018</v>
      </c>
      <c r="C741" s="21">
        <v>8</v>
      </c>
      <c r="D741" s="21">
        <v>1</v>
      </c>
      <c r="E741" s="21" t="s">
        <v>307</v>
      </c>
      <c r="F741" s="21">
        <v>0</v>
      </c>
      <c r="G741" s="21">
        <v>11.65</v>
      </c>
      <c r="H741" s="21">
        <v>394.98</v>
      </c>
      <c r="I741" s="21">
        <v>339.04</v>
      </c>
    </row>
    <row r="742" spans="1:9" ht="15" customHeight="1" x14ac:dyDescent="0.3">
      <c r="A742" s="21" t="s">
        <v>1117</v>
      </c>
      <c r="B742" s="21">
        <v>2018</v>
      </c>
      <c r="C742" s="21">
        <v>8</v>
      </c>
      <c r="D742" s="21">
        <v>2</v>
      </c>
      <c r="E742" s="21" t="s">
        <v>310</v>
      </c>
      <c r="F742" s="21">
        <v>0</v>
      </c>
      <c r="G742" s="21">
        <v>11.25</v>
      </c>
      <c r="H742" s="21">
        <v>381.14</v>
      </c>
      <c r="I742" s="21">
        <v>338.79</v>
      </c>
    </row>
    <row r="743" spans="1:9" ht="15" customHeight="1" x14ac:dyDescent="0.3">
      <c r="A743" s="21" t="s">
        <v>1118</v>
      </c>
      <c r="B743" s="21">
        <v>2018</v>
      </c>
      <c r="C743" s="21">
        <v>8</v>
      </c>
      <c r="D743" s="21">
        <v>3</v>
      </c>
      <c r="E743" s="21" t="s">
        <v>313</v>
      </c>
      <c r="F743" s="21">
        <v>0</v>
      </c>
      <c r="G743" s="21">
        <v>11</v>
      </c>
      <c r="H743" s="21">
        <v>372.95</v>
      </c>
      <c r="I743" s="21">
        <v>339.05</v>
      </c>
    </row>
    <row r="744" spans="1:9" ht="15" customHeight="1" x14ac:dyDescent="0.3">
      <c r="A744" s="21" t="s">
        <v>1119</v>
      </c>
      <c r="B744" s="21">
        <v>2018</v>
      </c>
      <c r="C744" s="21">
        <v>8</v>
      </c>
      <c r="D744" s="21">
        <v>4</v>
      </c>
      <c r="E744" s="21" t="s">
        <v>316</v>
      </c>
      <c r="F744" s="21">
        <v>1</v>
      </c>
      <c r="G744" s="21">
        <v>8.0500000000000007</v>
      </c>
      <c r="H744" s="21">
        <v>272.79000000000002</v>
      </c>
      <c r="I744" s="21">
        <v>338.87</v>
      </c>
    </row>
    <row r="745" spans="1:9" ht="15" customHeight="1" x14ac:dyDescent="0.3">
      <c r="A745" s="21" t="s">
        <v>1120</v>
      </c>
      <c r="B745" s="21">
        <v>2018</v>
      </c>
      <c r="C745" s="21">
        <v>8</v>
      </c>
      <c r="D745" s="21">
        <v>5</v>
      </c>
      <c r="E745" s="21" t="s">
        <v>319</v>
      </c>
      <c r="F745" s="21">
        <v>1</v>
      </c>
      <c r="G745" s="21">
        <v>8.8699999999999992</v>
      </c>
      <c r="H745" s="21">
        <v>300.77999999999997</v>
      </c>
      <c r="I745" s="21">
        <v>339.1</v>
      </c>
    </row>
    <row r="746" spans="1:9" ht="15" customHeight="1" x14ac:dyDescent="0.3">
      <c r="A746" s="21" t="s">
        <v>1121</v>
      </c>
      <c r="B746" s="21">
        <v>2018</v>
      </c>
      <c r="C746" s="21">
        <v>8</v>
      </c>
      <c r="D746" s="21">
        <v>6</v>
      </c>
      <c r="E746" s="21" t="s">
        <v>299</v>
      </c>
      <c r="F746" s="21">
        <v>0</v>
      </c>
      <c r="G746" s="21">
        <v>10.72</v>
      </c>
      <c r="H746" s="21">
        <v>363.37</v>
      </c>
      <c r="I746" s="21">
        <v>338.96</v>
      </c>
    </row>
    <row r="747" spans="1:9" ht="15" customHeight="1" x14ac:dyDescent="0.3">
      <c r="A747" s="21" t="s">
        <v>1122</v>
      </c>
      <c r="B747" s="21">
        <v>2018</v>
      </c>
      <c r="C747" s="21">
        <v>8</v>
      </c>
      <c r="D747" s="21">
        <v>7</v>
      </c>
      <c r="E747" s="21" t="s">
        <v>303</v>
      </c>
      <c r="F747" s="21">
        <v>0</v>
      </c>
      <c r="G747" s="21">
        <v>10.15</v>
      </c>
      <c r="H747" s="21">
        <v>344.07</v>
      </c>
      <c r="I747" s="21">
        <v>338.99</v>
      </c>
    </row>
    <row r="748" spans="1:9" ht="15" customHeight="1" x14ac:dyDescent="0.3">
      <c r="A748" s="21" t="s">
        <v>1123</v>
      </c>
      <c r="B748" s="21">
        <v>2018</v>
      </c>
      <c r="C748" s="21">
        <v>8</v>
      </c>
      <c r="D748" s="21">
        <v>8</v>
      </c>
      <c r="E748" s="21" t="s">
        <v>307</v>
      </c>
      <c r="F748" s="21">
        <v>0</v>
      </c>
      <c r="G748" s="21">
        <v>10.37</v>
      </c>
      <c r="H748" s="21">
        <v>351.52</v>
      </c>
      <c r="I748" s="21">
        <v>338.98</v>
      </c>
    </row>
    <row r="749" spans="1:9" ht="15" customHeight="1" x14ac:dyDescent="0.3">
      <c r="A749" s="21" t="s">
        <v>1124</v>
      </c>
      <c r="B749" s="21">
        <v>2018</v>
      </c>
      <c r="C749" s="21">
        <v>8</v>
      </c>
      <c r="D749" s="21">
        <v>9</v>
      </c>
      <c r="E749" s="21" t="s">
        <v>310</v>
      </c>
      <c r="F749" s="21">
        <v>0</v>
      </c>
      <c r="G749" s="21">
        <v>10.58</v>
      </c>
      <c r="H749" s="21">
        <v>358.51</v>
      </c>
      <c r="I749" s="21">
        <v>338.86</v>
      </c>
    </row>
    <row r="750" spans="1:9" ht="15" customHeight="1" x14ac:dyDescent="0.3">
      <c r="A750" s="21" t="s">
        <v>1125</v>
      </c>
      <c r="B750" s="21">
        <v>2018</v>
      </c>
      <c r="C750" s="21">
        <v>8</v>
      </c>
      <c r="D750" s="21">
        <v>10</v>
      </c>
      <c r="E750" s="21" t="s">
        <v>313</v>
      </c>
      <c r="F750" s="21">
        <v>0</v>
      </c>
      <c r="G750" s="21">
        <v>11.19</v>
      </c>
      <c r="H750" s="21">
        <v>379.16</v>
      </c>
      <c r="I750" s="21">
        <v>338.84</v>
      </c>
    </row>
    <row r="751" spans="1:9" ht="15" customHeight="1" x14ac:dyDescent="0.3">
      <c r="A751" s="21" t="s">
        <v>1126</v>
      </c>
      <c r="B751" s="21">
        <v>2018</v>
      </c>
      <c r="C751" s="21">
        <v>8</v>
      </c>
      <c r="D751" s="21">
        <v>11</v>
      </c>
      <c r="E751" s="21" t="s">
        <v>316</v>
      </c>
      <c r="F751" s="21">
        <v>1</v>
      </c>
      <c r="G751" s="21">
        <v>8.01</v>
      </c>
      <c r="H751" s="21">
        <v>271.38</v>
      </c>
      <c r="I751" s="21">
        <v>338.8</v>
      </c>
    </row>
    <row r="752" spans="1:9" ht="15" customHeight="1" x14ac:dyDescent="0.3">
      <c r="A752" s="21" t="s">
        <v>1127</v>
      </c>
      <c r="B752" s="21">
        <v>2018</v>
      </c>
      <c r="C752" s="21">
        <v>8</v>
      </c>
      <c r="D752" s="21">
        <v>12</v>
      </c>
      <c r="E752" s="21" t="s">
        <v>319</v>
      </c>
      <c r="F752" s="21">
        <v>1</v>
      </c>
      <c r="G752" s="21">
        <v>8.18</v>
      </c>
      <c r="H752" s="21">
        <v>277.13</v>
      </c>
      <c r="I752" s="21">
        <v>338.79</v>
      </c>
    </row>
    <row r="753" spans="1:9" ht="15" customHeight="1" x14ac:dyDescent="0.3">
      <c r="A753" s="21" t="s">
        <v>1128</v>
      </c>
      <c r="B753" s="21">
        <v>2018</v>
      </c>
      <c r="C753" s="21">
        <v>8</v>
      </c>
      <c r="D753" s="21">
        <v>13</v>
      </c>
      <c r="E753" s="21" t="s">
        <v>299</v>
      </c>
      <c r="F753" s="21">
        <v>0</v>
      </c>
      <c r="G753" s="21">
        <v>10.39</v>
      </c>
      <c r="H753" s="21">
        <v>352.12</v>
      </c>
      <c r="I753" s="21">
        <v>338.9</v>
      </c>
    </row>
    <row r="754" spans="1:9" ht="15" customHeight="1" x14ac:dyDescent="0.3">
      <c r="A754" s="21" t="s">
        <v>1129</v>
      </c>
      <c r="B754" s="21">
        <v>2018</v>
      </c>
      <c r="C754" s="21">
        <v>8</v>
      </c>
      <c r="D754" s="21">
        <v>14</v>
      </c>
      <c r="E754" s="21" t="s">
        <v>303</v>
      </c>
      <c r="F754" s="21">
        <v>0</v>
      </c>
      <c r="G754" s="21">
        <v>10.08</v>
      </c>
      <c r="H754" s="21">
        <v>341.72</v>
      </c>
      <c r="I754" s="21">
        <v>339.01</v>
      </c>
    </row>
    <row r="755" spans="1:9" ht="15" customHeight="1" x14ac:dyDescent="0.3">
      <c r="A755" s="21" t="s">
        <v>1130</v>
      </c>
      <c r="B755" s="21">
        <v>2018</v>
      </c>
      <c r="C755" s="21">
        <v>8</v>
      </c>
      <c r="D755" s="21">
        <v>15</v>
      </c>
      <c r="E755" s="21" t="s">
        <v>307</v>
      </c>
      <c r="F755" s="21">
        <v>0</v>
      </c>
      <c r="G755" s="21">
        <v>10.23</v>
      </c>
      <c r="H755" s="21">
        <v>346.75</v>
      </c>
      <c r="I755" s="21">
        <v>338.95</v>
      </c>
    </row>
    <row r="756" spans="1:9" ht="15" customHeight="1" x14ac:dyDescent="0.3">
      <c r="A756" s="21" t="s">
        <v>1131</v>
      </c>
      <c r="B756" s="21">
        <v>2018</v>
      </c>
      <c r="C756" s="21">
        <v>8</v>
      </c>
      <c r="D756" s="21">
        <v>16</v>
      </c>
      <c r="E756" s="21" t="s">
        <v>310</v>
      </c>
      <c r="F756" s="21">
        <v>0</v>
      </c>
      <c r="G756" s="21">
        <v>9.85</v>
      </c>
      <c r="H756" s="21">
        <v>334.02</v>
      </c>
      <c r="I756" s="21">
        <v>339.11</v>
      </c>
    </row>
    <row r="757" spans="1:9" ht="15" customHeight="1" x14ac:dyDescent="0.3">
      <c r="A757" s="21" t="s">
        <v>1132</v>
      </c>
      <c r="B757" s="21">
        <v>2018</v>
      </c>
      <c r="C757" s="21">
        <v>8</v>
      </c>
      <c r="D757" s="21">
        <v>17</v>
      </c>
      <c r="E757" s="21" t="s">
        <v>313</v>
      </c>
      <c r="F757" s="21">
        <v>0</v>
      </c>
      <c r="G757" s="21">
        <v>10.94</v>
      </c>
      <c r="H757" s="21">
        <v>370.68</v>
      </c>
      <c r="I757" s="21">
        <v>338.83</v>
      </c>
    </row>
    <row r="758" spans="1:9" ht="15" customHeight="1" x14ac:dyDescent="0.3">
      <c r="A758" s="21" t="s">
        <v>1133</v>
      </c>
      <c r="B758" s="21">
        <v>2018</v>
      </c>
      <c r="C758" s="21">
        <v>8</v>
      </c>
      <c r="D758" s="21">
        <v>18</v>
      </c>
      <c r="E758" s="21" t="s">
        <v>316</v>
      </c>
      <c r="F758" s="21">
        <v>1</v>
      </c>
      <c r="G758" s="21">
        <v>8.33</v>
      </c>
      <c r="H758" s="21">
        <v>282.5</v>
      </c>
      <c r="I758" s="21">
        <v>339.14</v>
      </c>
    </row>
    <row r="759" spans="1:9" ht="15" customHeight="1" x14ac:dyDescent="0.3">
      <c r="A759" s="21" t="s">
        <v>1134</v>
      </c>
      <c r="B759" s="21">
        <v>2018</v>
      </c>
      <c r="C759" s="21">
        <v>8</v>
      </c>
      <c r="D759" s="21">
        <v>19</v>
      </c>
      <c r="E759" s="21" t="s">
        <v>319</v>
      </c>
      <c r="F759" s="21">
        <v>1</v>
      </c>
      <c r="G759" s="21">
        <v>8.3800000000000008</v>
      </c>
      <c r="H759" s="21">
        <v>283.97000000000003</v>
      </c>
      <c r="I759" s="21">
        <v>338.87</v>
      </c>
    </row>
    <row r="760" spans="1:9" ht="15" customHeight="1" x14ac:dyDescent="0.3">
      <c r="A760" s="21" t="s">
        <v>1135</v>
      </c>
      <c r="B760" s="21">
        <v>2018</v>
      </c>
      <c r="C760" s="21">
        <v>8</v>
      </c>
      <c r="D760" s="21">
        <v>20</v>
      </c>
      <c r="E760" s="21" t="s">
        <v>299</v>
      </c>
      <c r="F760" s="21">
        <v>0</v>
      </c>
      <c r="G760" s="21">
        <v>10.15</v>
      </c>
      <c r="H760" s="21">
        <v>344.11</v>
      </c>
      <c r="I760" s="21">
        <v>339.02</v>
      </c>
    </row>
    <row r="761" spans="1:9" ht="15" customHeight="1" x14ac:dyDescent="0.3">
      <c r="A761" s="21" t="s">
        <v>1136</v>
      </c>
      <c r="B761" s="21">
        <v>2018</v>
      </c>
      <c r="C761" s="21">
        <v>8</v>
      </c>
      <c r="D761" s="21">
        <v>21</v>
      </c>
      <c r="E761" s="21" t="s">
        <v>303</v>
      </c>
      <c r="F761" s="21">
        <v>0</v>
      </c>
      <c r="G761" s="21">
        <v>9.8000000000000007</v>
      </c>
      <c r="H761" s="21">
        <v>331.99</v>
      </c>
      <c r="I761" s="21">
        <v>338.77</v>
      </c>
    </row>
    <row r="762" spans="1:9" ht="15" customHeight="1" x14ac:dyDescent="0.3">
      <c r="A762" s="21" t="s">
        <v>1137</v>
      </c>
      <c r="B762" s="21">
        <v>2018</v>
      </c>
      <c r="C762" s="21">
        <v>8</v>
      </c>
      <c r="D762" s="21">
        <v>22</v>
      </c>
      <c r="E762" s="21" t="s">
        <v>307</v>
      </c>
      <c r="F762" s="21">
        <v>0</v>
      </c>
      <c r="G762" s="21">
        <v>9.67</v>
      </c>
      <c r="H762" s="21">
        <v>327.61</v>
      </c>
      <c r="I762" s="21">
        <v>338.79</v>
      </c>
    </row>
    <row r="763" spans="1:9" ht="15" customHeight="1" x14ac:dyDescent="0.3">
      <c r="A763" s="21" t="s">
        <v>1138</v>
      </c>
      <c r="B763" s="21">
        <v>2018</v>
      </c>
      <c r="C763" s="21">
        <v>8</v>
      </c>
      <c r="D763" s="21">
        <v>23</v>
      </c>
      <c r="E763" s="21" t="s">
        <v>310</v>
      </c>
      <c r="F763" s="21">
        <v>0</v>
      </c>
      <c r="G763" s="21">
        <v>9.7799999999999994</v>
      </c>
      <c r="H763" s="21">
        <v>331.46</v>
      </c>
      <c r="I763" s="21">
        <v>338.92</v>
      </c>
    </row>
    <row r="764" spans="1:9" ht="15" customHeight="1" x14ac:dyDescent="0.3">
      <c r="A764" s="21" t="s">
        <v>1139</v>
      </c>
      <c r="B764" s="21">
        <v>2018</v>
      </c>
      <c r="C764" s="21">
        <v>8</v>
      </c>
      <c r="D764" s="21">
        <v>24</v>
      </c>
      <c r="E764" s="21" t="s">
        <v>313</v>
      </c>
      <c r="F764" s="21">
        <v>0</v>
      </c>
      <c r="G764" s="21">
        <v>11.2</v>
      </c>
      <c r="H764" s="21">
        <v>379.56</v>
      </c>
      <c r="I764" s="21">
        <v>338.89</v>
      </c>
    </row>
    <row r="765" spans="1:9" ht="15" customHeight="1" x14ac:dyDescent="0.3">
      <c r="A765" s="21" t="s">
        <v>1140</v>
      </c>
      <c r="B765" s="21">
        <v>2018</v>
      </c>
      <c r="C765" s="21">
        <v>8</v>
      </c>
      <c r="D765" s="21">
        <v>25</v>
      </c>
      <c r="E765" s="21" t="s">
        <v>316</v>
      </c>
      <c r="F765" s="21">
        <v>1</v>
      </c>
      <c r="G765" s="21">
        <v>8.2799999999999994</v>
      </c>
      <c r="H765" s="21">
        <v>280.51</v>
      </c>
      <c r="I765" s="21">
        <v>338.78</v>
      </c>
    </row>
    <row r="766" spans="1:9" ht="15" customHeight="1" x14ac:dyDescent="0.3">
      <c r="A766" s="21" t="s">
        <v>1141</v>
      </c>
      <c r="B766" s="21">
        <v>2018</v>
      </c>
      <c r="C766" s="21">
        <v>8</v>
      </c>
      <c r="D766" s="21">
        <v>26</v>
      </c>
      <c r="E766" s="21" t="s">
        <v>319</v>
      </c>
      <c r="F766" s="21">
        <v>1</v>
      </c>
      <c r="G766" s="21">
        <v>9.36</v>
      </c>
      <c r="H766" s="21">
        <v>317.2</v>
      </c>
      <c r="I766" s="21">
        <v>338.89</v>
      </c>
    </row>
    <row r="767" spans="1:9" ht="15" customHeight="1" x14ac:dyDescent="0.3">
      <c r="A767" s="21" t="s">
        <v>1142</v>
      </c>
      <c r="B767" s="21">
        <v>2018</v>
      </c>
      <c r="C767" s="21">
        <v>8</v>
      </c>
      <c r="D767" s="21">
        <v>27</v>
      </c>
      <c r="E767" s="21" t="s">
        <v>299</v>
      </c>
      <c r="F767" s="21">
        <v>0</v>
      </c>
      <c r="G767" s="21">
        <v>10.73</v>
      </c>
      <c r="H767" s="21">
        <v>363.58</v>
      </c>
      <c r="I767" s="21">
        <v>338.84</v>
      </c>
    </row>
    <row r="768" spans="1:9" ht="15" customHeight="1" x14ac:dyDescent="0.3">
      <c r="A768" s="21" t="s">
        <v>1143</v>
      </c>
      <c r="B768" s="21">
        <v>2018</v>
      </c>
      <c r="C768" s="21">
        <v>8</v>
      </c>
      <c r="D768" s="21">
        <v>28</v>
      </c>
      <c r="E768" s="21" t="s">
        <v>303</v>
      </c>
      <c r="F768" s="21">
        <v>0</v>
      </c>
      <c r="G768" s="21">
        <v>10.130000000000001</v>
      </c>
      <c r="H768" s="21">
        <v>343.34</v>
      </c>
      <c r="I768" s="21">
        <v>338.93</v>
      </c>
    </row>
    <row r="769" spans="1:9" ht="15" customHeight="1" x14ac:dyDescent="0.3">
      <c r="A769" s="21" t="s">
        <v>1144</v>
      </c>
      <c r="B769" s="21">
        <v>2018</v>
      </c>
      <c r="C769" s="21">
        <v>8</v>
      </c>
      <c r="D769" s="21">
        <v>29</v>
      </c>
      <c r="E769" s="21" t="s">
        <v>307</v>
      </c>
      <c r="F769" s="21">
        <v>0</v>
      </c>
      <c r="G769" s="21">
        <v>9.81</v>
      </c>
      <c r="H769" s="21">
        <v>332.66</v>
      </c>
      <c r="I769" s="21">
        <v>339.1</v>
      </c>
    </row>
    <row r="770" spans="1:9" ht="15" customHeight="1" x14ac:dyDescent="0.3">
      <c r="A770" s="21" t="s">
        <v>1145</v>
      </c>
      <c r="B770" s="21">
        <v>2018</v>
      </c>
      <c r="C770" s="21">
        <v>8</v>
      </c>
      <c r="D770" s="21">
        <v>30</v>
      </c>
      <c r="E770" s="21" t="s">
        <v>310</v>
      </c>
      <c r="F770" s="21">
        <v>0</v>
      </c>
      <c r="G770" s="21">
        <v>11.83</v>
      </c>
      <c r="H770" s="21">
        <v>400.92</v>
      </c>
      <c r="I770" s="21">
        <v>338.9</v>
      </c>
    </row>
    <row r="771" spans="1:9" ht="15" customHeight="1" x14ac:dyDescent="0.3">
      <c r="A771" s="21" t="s">
        <v>1146</v>
      </c>
      <c r="B771" s="21">
        <v>2018</v>
      </c>
      <c r="C771" s="21">
        <v>8</v>
      </c>
      <c r="D771" s="21">
        <v>31</v>
      </c>
      <c r="E771" s="21" t="s">
        <v>313</v>
      </c>
      <c r="F771" s="21">
        <v>0</v>
      </c>
      <c r="G771" s="21">
        <v>12.31</v>
      </c>
      <c r="H771" s="21">
        <v>417.3</v>
      </c>
      <c r="I771" s="21">
        <v>338.99</v>
      </c>
    </row>
    <row r="772" spans="1:9" ht="15" customHeight="1" x14ac:dyDescent="0.3">
      <c r="A772" s="21" t="s">
        <v>123</v>
      </c>
      <c r="B772" s="21">
        <v>2018</v>
      </c>
      <c r="C772" s="21">
        <v>9</v>
      </c>
      <c r="D772" s="21">
        <v>1</v>
      </c>
      <c r="E772" s="21" t="s">
        <v>316</v>
      </c>
      <c r="F772" s="21">
        <v>1</v>
      </c>
      <c r="G772" s="21">
        <v>13.28</v>
      </c>
      <c r="H772" s="21">
        <v>463.43</v>
      </c>
      <c r="I772" s="21">
        <v>348.97</v>
      </c>
    </row>
    <row r="773" spans="1:9" ht="15" customHeight="1" x14ac:dyDescent="0.3">
      <c r="A773" s="21" t="s">
        <v>1147</v>
      </c>
      <c r="B773" s="21">
        <v>2018</v>
      </c>
      <c r="C773" s="21">
        <v>9</v>
      </c>
      <c r="D773" s="21">
        <v>2</v>
      </c>
      <c r="E773" s="21" t="s">
        <v>319</v>
      </c>
      <c r="F773" s="21">
        <v>1</v>
      </c>
      <c r="G773" s="21">
        <v>14.42</v>
      </c>
      <c r="H773" s="21">
        <v>503.14</v>
      </c>
      <c r="I773" s="21">
        <v>348.92</v>
      </c>
    </row>
    <row r="774" spans="1:9" ht="15" customHeight="1" x14ac:dyDescent="0.3">
      <c r="A774" s="21" t="s">
        <v>1148</v>
      </c>
      <c r="B774" s="21">
        <v>2018</v>
      </c>
      <c r="C774" s="21">
        <v>9</v>
      </c>
      <c r="D774" s="21">
        <v>3</v>
      </c>
      <c r="E774" s="21" t="s">
        <v>299</v>
      </c>
      <c r="F774" s="21">
        <v>0</v>
      </c>
      <c r="G774" s="21">
        <v>14.16</v>
      </c>
      <c r="H774" s="21">
        <v>494.31</v>
      </c>
      <c r="I774" s="21">
        <v>349.09</v>
      </c>
    </row>
    <row r="775" spans="1:9" ht="15" customHeight="1" x14ac:dyDescent="0.3">
      <c r="A775" s="21" t="s">
        <v>1149</v>
      </c>
      <c r="B775" s="21">
        <v>2018</v>
      </c>
      <c r="C775" s="21">
        <v>9</v>
      </c>
      <c r="D775" s="21">
        <v>4</v>
      </c>
      <c r="E775" s="21" t="s">
        <v>303</v>
      </c>
      <c r="F775" s="21">
        <v>0</v>
      </c>
      <c r="G775" s="21">
        <v>13.99</v>
      </c>
      <c r="H775" s="21">
        <v>488.34</v>
      </c>
      <c r="I775" s="21">
        <v>349.06</v>
      </c>
    </row>
    <row r="776" spans="1:9" ht="15" customHeight="1" x14ac:dyDescent="0.3">
      <c r="A776" s="21" t="s">
        <v>1150</v>
      </c>
      <c r="B776" s="21">
        <v>2018</v>
      </c>
      <c r="C776" s="21">
        <v>9</v>
      </c>
      <c r="D776" s="21">
        <v>5</v>
      </c>
      <c r="E776" s="21" t="s">
        <v>307</v>
      </c>
      <c r="F776" s="21">
        <v>0</v>
      </c>
      <c r="G776" s="21">
        <v>13.24</v>
      </c>
      <c r="H776" s="21">
        <v>462.11</v>
      </c>
      <c r="I776" s="21">
        <v>349.03</v>
      </c>
    </row>
    <row r="777" spans="1:9" ht="15" customHeight="1" x14ac:dyDescent="0.3">
      <c r="A777" s="21" t="s">
        <v>1151</v>
      </c>
      <c r="B777" s="21">
        <v>2018</v>
      </c>
      <c r="C777" s="21">
        <v>9</v>
      </c>
      <c r="D777" s="21">
        <v>6</v>
      </c>
      <c r="E777" s="21" t="s">
        <v>310</v>
      </c>
      <c r="F777" s="21">
        <v>0</v>
      </c>
      <c r="G777" s="21">
        <v>13.51</v>
      </c>
      <c r="H777" s="21">
        <v>471.57</v>
      </c>
      <c r="I777" s="21">
        <v>349.05</v>
      </c>
    </row>
    <row r="778" spans="1:9" ht="15" customHeight="1" x14ac:dyDescent="0.3">
      <c r="A778" s="21" t="s">
        <v>1152</v>
      </c>
      <c r="B778" s="21">
        <v>2018</v>
      </c>
      <c r="C778" s="21">
        <v>9</v>
      </c>
      <c r="D778" s="21">
        <v>7</v>
      </c>
      <c r="E778" s="21" t="s">
        <v>313</v>
      </c>
      <c r="F778" s="21">
        <v>0</v>
      </c>
      <c r="G778" s="21">
        <v>15.33</v>
      </c>
      <c r="H778" s="21">
        <v>534.91</v>
      </c>
      <c r="I778" s="21">
        <v>348.93</v>
      </c>
    </row>
    <row r="779" spans="1:9" ht="15" customHeight="1" x14ac:dyDescent="0.3">
      <c r="A779" s="21" t="s">
        <v>1153</v>
      </c>
      <c r="B779" s="21">
        <v>2018</v>
      </c>
      <c r="C779" s="21">
        <v>9</v>
      </c>
      <c r="D779" s="21">
        <v>8</v>
      </c>
      <c r="E779" s="21" t="s">
        <v>316</v>
      </c>
      <c r="F779" s="21">
        <v>1</v>
      </c>
      <c r="G779" s="21">
        <v>11.24</v>
      </c>
      <c r="H779" s="21">
        <v>392.38</v>
      </c>
      <c r="I779" s="21">
        <v>349.09</v>
      </c>
    </row>
    <row r="780" spans="1:9" ht="15" customHeight="1" x14ac:dyDescent="0.3">
      <c r="A780" s="21" t="s">
        <v>1154</v>
      </c>
      <c r="B780" s="21">
        <v>2018</v>
      </c>
      <c r="C780" s="21">
        <v>9</v>
      </c>
      <c r="D780" s="21">
        <v>9</v>
      </c>
      <c r="E780" s="21" t="s">
        <v>319</v>
      </c>
      <c r="F780" s="21">
        <v>1</v>
      </c>
      <c r="G780" s="21">
        <v>12.23</v>
      </c>
      <c r="H780" s="21">
        <v>426.92</v>
      </c>
      <c r="I780" s="21">
        <v>349.08</v>
      </c>
    </row>
    <row r="781" spans="1:9" ht="15" customHeight="1" x14ac:dyDescent="0.3">
      <c r="A781" s="21" t="s">
        <v>1155</v>
      </c>
      <c r="B781" s="21">
        <v>2018</v>
      </c>
      <c r="C781" s="21">
        <v>9</v>
      </c>
      <c r="D781" s="21">
        <v>10</v>
      </c>
      <c r="E781" s="21" t="s">
        <v>299</v>
      </c>
      <c r="F781" s="21">
        <v>0</v>
      </c>
      <c r="G781" s="21">
        <v>14.49</v>
      </c>
      <c r="H781" s="21">
        <v>505.69</v>
      </c>
      <c r="I781" s="21">
        <v>348.99</v>
      </c>
    </row>
    <row r="782" spans="1:9" ht="15" customHeight="1" x14ac:dyDescent="0.3">
      <c r="A782" s="21" t="s">
        <v>1156</v>
      </c>
      <c r="B782" s="21">
        <v>2018</v>
      </c>
      <c r="C782" s="21">
        <v>9</v>
      </c>
      <c r="D782" s="21">
        <v>11</v>
      </c>
      <c r="E782" s="21" t="s">
        <v>303</v>
      </c>
      <c r="F782" s="21">
        <v>0</v>
      </c>
      <c r="G782" s="21">
        <v>13.3</v>
      </c>
      <c r="H782" s="21">
        <v>464.1</v>
      </c>
      <c r="I782" s="21">
        <v>348.95</v>
      </c>
    </row>
    <row r="783" spans="1:9" ht="15" customHeight="1" x14ac:dyDescent="0.3">
      <c r="A783" s="21" t="s">
        <v>1157</v>
      </c>
      <c r="B783" s="21">
        <v>2018</v>
      </c>
      <c r="C783" s="21">
        <v>9</v>
      </c>
      <c r="D783" s="21">
        <v>12</v>
      </c>
      <c r="E783" s="21" t="s">
        <v>307</v>
      </c>
      <c r="F783" s="21">
        <v>0</v>
      </c>
      <c r="G783" s="21">
        <v>13.78</v>
      </c>
      <c r="H783" s="21">
        <v>481.02</v>
      </c>
      <c r="I783" s="21">
        <v>349.07</v>
      </c>
    </row>
    <row r="784" spans="1:9" ht="15" customHeight="1" x14ac:dyDescent="0.3">
      <c r="A784" s="21" t="s">
        <v>1158</v>
      </c>
      <c r="B784" s="21">
        <v>2018</v>
      </c>
      <c r="C784" s="21">
        <v>9</v>
      </c>
      <c r="D784" s="21">
        <v>13</v>
      </c>
      <c r="E784" s="21" t="s">
        <v>310</v>
      </c>
      <c r="F784" s="21">
        <v>0</v>
      </c>
      <c r="G784" s="21">
        <v>13.92</v>
      </c>
      <c r="H784" s="21">
        <v>485.84</v>
      </c>
      <c r="I784" s="21">
        <v>349.02</v>
      </c>
    </row>
    <row r="785" spans="1:9" ht="15" customHeight="1" x14ac:dyDescent="0.3">
      <c r="A785" s="21" t="s">
        <v>1159</v>
      </c>
      <c r="B785" s="21">
        <v>2018</v>
      </c>
      <c r="C785" s="21">
        <v>9</v>
      </c>
      <c r="D785" s="21">
        <v>14</v>
      </c>
      <c r="E785" s="21" t="s">
        <v>313</v>
      </c>
      <c r="F785" s="21">
        <v>0</v>
      </c>
      <c r="G785" s="21">
        <v>14.86</v>
      </c>
      <c r="H785" s="21">
        <v>518.64</v>
      </c>
      <c r="I785" s="21">
        <v>349.02</v>
      </c>
    </row>
    <row r="786" spans="1:9" ht="15" customHeight="1" x14ac:dyDescent="0.3">
      <c r="A786" s="21" t="s">
        <v>1160</v>
      </c>
      <c r="B786" s="21">
        <v>2018</v>
      </c>
      <c r="C786" s="21">
        <v>9</v>
      </c>
      <c r="D786" s="21">
        <v>15</v>
      </c>
      <c r="E786" s="21" t="s">
        <v>316</v>
      </c>
      <c r="F786" s="21">
        <v>1</v>
      </c>
      <c r="G786" s="21">
        <v>10.86</v>
      </c>
      <c r="H786" s="21">
        <v>379.02</v>
      </c>
      <c r="I786" s="21">
        <v>349.01</v>
      </c>
    </row>
    <row r="787" spans="1:9" ht="15" customHeight="1" x14ac:dyDescent="0.3">
      <c r="A787" s="21" t="s">
        <v>1161</v>
      </c>
      <c r="B787" s="21">
        <v>2018</v>
      </c>
      <c r="C787" s="21">
        <v>9</v>
      </c>
      <c r="D787" s="21">
        <v>16</v>
      </c>
      <c r="E787" s="21" t="s">
        <v>319</v>
      </c>
      <c r="F787" s="21">
        <v>1</v>
      </c>
      <c r="G787" s="21">
        <v>11.2</v>
      </c>
      <c r="H787" s="21">
        <v>390.96</v>
      </c>
      <c r="I787" s="21">
        <v>349.07</v>
      </c>
    </row>
    <row r="788" spans="1:9" ht="15" customHeight="1" x14ac:dyDescent="0.3">
      <c r="A788" s="21" t="s">
        <v>1162</v>
      </c>
      <c r="B788" s="21">
        <v>2018</v>
      </c>
      <c r="C788" s="21">
        <v>9</v>
      </c>
      <c r="D788" s="21">
        <v>17</v>
      </c>
      <c r="E788" s="21" t="s">
        <v>299</v>
      </c>
      <c r="F788" s="21">
        <v>0</v>
      </c>
      <c r="G788" s="21">
        <v>14.1</v>
      </c>
      <c r="H788" s="21">
        <v>492.16</v>
      </c>
      <c r="I788" s="21">
        <v>349.05</v>
      </c>
    </row>
    <row r="789" spans="1:9" ht="15" customHeight="1" x14ac:dyDescent="0.3">
      <c r="A789" s="21" t="s">
        <v>1163</v>
      </c>
      <c r="B789" s="21">
        <v>2018</v>
      </c>
      <c r="C789" s="21">
        <v>9</v>
      </c>
      <c r="D789" s="21">
        <v>18</v>
      </c>
      <c r="E789" s="21" t="s">
        <v>303</v>
      </c>
      <c r="F789" s="21">
        <v>0</v>
      </c>
      <c r="G789" s="21">
        <v>13.5</v>
      </c>
      <c r="H789" s="21">
        <v>471.01</v>
      </c>
      <c r="I789" s="21">
        <v>348.9</v>
      </c>
    </row>
    <row r="790" spans="1:9" ht="15" customHeight="1" x14ac:dyDescent="0.3">
      <c r="A790" s="21" t="s">
        <v>1164</v>
      </c>
      <c r="B790" s="21">
        <v>2018</v>
      </c>
      <c r="C790" s="21">
        <v>9</v>
      </c>
      <c r="D790" s="21">
        <v>19</v>
      </c>
      <c r="E790" s="21" t="s">
        <v>307</v>
      </c>
      <c r="F790" s="21">
        <v>0</v>
      </c>
      <c r="G790" s="21">
        <v>13.78</v>
      </c>
      <c r="H790" s="21">
        <v>480.86</v>
      </c>
      <c r="I790" s="21">
        <v>348.96</v>
      </c>
    </row>
    <row r="791" spans="1:9" ht="15" customHeight="1" x14ac:dyDescent="0.3">
      <c r="A791" s="21" t="s">
        <v>1165</v>
      </c>
      <c r="B791" s="21">
        <v>2018</v>
      </c>
      <c r="C791" s="21">
        <v>9</v>
      </c>
      <c r="D791" s="21">
        <v>20</v>
      </c>
      <c r="E791" s="21" t="s">
        <v>310</v>
      </c>
      <c r="F791" s="21">
        <v>0</v>
      </c>
      <c r="G791" s="21">
        <v>13.6</v>
      </c>
      <c r="H791" s="21">
        <v>474.58</v>
      </c>
      <c r="I791" s="21">
        <v>348.96</v>
      </c>
    </row>
    <row r="792" spans="1:9" ht="15" customHeight="1" x14ac:dyDescent="0.3">
      <c r="A792" s="21" t="s">
        <v>1166</v>
      </c>
      <c r="B792" s="21">
        <v>2018</v>
      </c>
      <c r="C792" s="21">
        <v>9</v>
      </c>
      <c r="D792" s="21">
        <v>21</v>
      </c>
      <c r="E792" s="21" t="s">
        <v>313</v>
      </c>
      <c r="F792" s="21">
        <v>0</v>
      </c>
      <c r="G792" s="21">
        <v>14.07</v>
      </c>
      <c r="H792" s="21">
        <v>490.92</v>
      </c>
      <c r="I792" s="21">
        <v>348.91</v>
      </c>
    </row>
    <row r="793" spans="1:9" ht="15" customHeight="1" x14ac:dyDescent="0.3">
      <c r="A793" s="21" t="s">
        <v>1167</v>
      </c>
      <c r="B793" s="21">
        <v>2018</v>
      </c>
      <c r="C793" s="21">
        <v>9</v>
      </c>
      <c r="D793" s="21">
        <v>22</v>
      </c>
      <c r="E793" s="21" t="s">
        <v>316</v>
      </c>
      <c r="F793" s="21">
        <v>1</v>
      </c>
      <c r="G793" s="21">
        <v>11.65</v>
      </c>
      <c r="H793" s="21">
        <v>406.64</v>
      </c>
      <c r="I793" s="21">
        <v>349.05</v>
      </c>
    </row>
    <row r="794" spans="1:9" ht="15" customHeight="1" x14ac:dyDescent="0.3">
      <c r="A794" s="21" t="s">
        <v>1168</v>
      </c>
      <c r="B794" s="21">
        <v>2018</v>
      </c>
      <c r="C794" s="21">
        <v>9</v>
      </c>
      <c r="D794" s="21">
        <v>23</v>
      </c>
      <c r="E794" s="21" t="s">
        <v>319</v>
      </c>
      <c r="F794" s="21">
        <v>1</v>
      </c>
      <c r="G794" s="21">
        <v>11.75</v>
      </c>
      <c r="H794" s="21">
        <v>409.9</v>
      </c>
      <c r="I794" s="21">
        <v>348.85</v>
      </c>
    </row>
    <row r="795" spans="1:9" ht="15" customHeight="1" x14ac:dyDescent="0.3">
      <c r="A795" s="21" t="s">
        <v>1169</v>
      </c>
      <c r="B795" s="21">
        <v>2018</v>
      </c>
      <c r="C795" s="21">
        <v>9</v>
      </c>
      <c r="D795" s="21">
        <v>24</v>
      </c>
      <c r="E795" s="21" t="s">
        <v>299</v>
      </c>
      <c r="F795" s="21">
        <v>0</v>
      </c>
      <c r="G795" s="21">
        <v>14.43</v>
      </c>
      <c r="H795" s="21">
        <v>503.6</v>
      </c>
      <c r="I795" s="21">
        <v>349</v>
      </c>
    </row>
    <row r="796" spans="1:9" ht="15" customHeight="1" x14ac:dyDescent="0.3">
      <c r="A796" s="21" t="s">
        <v>1170</v>
      </c>
      <c r="B796" s="21">
        <v>2018</v>
      </c>
      <c r="C796" s="21">
        <v>9</v>
      </c>
      <c r="D796" s="21">
        <v>25</v>
      </c>
      <c r="E796" s="21" t="s">
        <v>303</v>
      </c>
      <c r="F796" s="21">
        <v>0</v>
      </c>
      <c r="G796" s="21">
        <v>13.97</v>
      </c>
      <c r="H796" s="21">
        <v>487.37</v>
      </c>
      <c r="I796" s="21">
        <v>348.87</v>
      </c>
    </row>
    <row r="797" spans="1:9" ht="15" customHeight="1" x14ac:dyDescent="0.3">
      <c r="A797" s="21" t="s">
        <v>1171</v>
      </c>
      <c r="B797" s="21">
        <v>2018</v>
      </c>
      <c r="C797" s="21">
        <v>9</v>
      </c>
      <c r="D797" s="21">
        <v>26</v>
      </c>
      <c r="E797" s="21" t="s">
        <v>307</v>
      </c>
      <c r="F797" s="21">
        <v>0</v>
      </c>
      <c r="G797" s="21">
        <v>13.87</v>
      </c>
      <c r="H797" s="21">
        <v>483.88</v>
      </c>
      <c r="I797" s="21">
        <v>348.87</v>
      </c>
    </row>
    <row r="798" spans="1:9" ht="15" customHeight="1" x14ac:dyDescent="0.3">
      <c r="A798" s="21" t="s">
        <v>1172</v>
      </c>
      <c r="B798" s="21">
        <v>2018</v>
      </c>
      <c r="C798" s="21">
        <v>9</v>
      </c>
      <c r="D798" s="21">
        <v>27</v>
      </c>
      <c r="E798" s="21" t="s">
        <v>310</v>
      </c>
      <c r="F798" s="21">
        <v>0</v>
      </c>
      <c r="G798" s="21">
        <v>13.71</v>
      </c>
      <c r="H798" s="21">
        <v>478.57</v>
      </c>
      <c r="I798" s="21">
        <v>349.07</v>
      </c>
    </row>
    <row r="799" spans="1:9" ht="15" customHeight="1" x14ac:dyDescent="0.3">
      <c r="A799" s="21" t="s">
        <v>1173</v>
      </c>
      <c r="B799" s="21">
        <v>2018</v>
      </c>
      <c r="C799" s="21">
        <v>9</v>
      </c>
      <c r="D799" s="21">
        <v>28</v>
      </c>
      <c r="E799" s="21" t="s">
        <v>313</v>
      </c>
      <c r="F799" s="21">
        <v>0</v>
      </c>
      <c r="G799" s="21">
        <v>14.58</v>
      </c>
      <c r="H799" s="21">
        <v>508.84</v>
      </c>
      <c r="I799" s="21">
        <v>349</v>
      </c>
    </row>
    <row r="800" spans="1:9" ht="15" customHeight="1" x14ac:dyDescent="0.3">
      <c r="A800" s="21" t="s">
        <v>1174</v>
      </c>
      <c r="B800" s="21">
        <v>2018</v>
      </c>
      <c r="C800" s="21">
        <v>9</v>
      </c>
      <c r="D800" s="21">
        <v>29</v>
      </c>
      <c r="E800" s="21" t="s">
        <v>316</v>
      </c>
      <c r="F800" s="21">
        <v>1</v>
      </c>
      <c r="G800" s="21">
        <v>12.45</v>
      </c>
      <c r="H800" s="21">
        <v>434.39</v>
      </c>
      <c r="I800" s="21">
        <v>348.91</v>
      </c>
    </row>
    <row r="801" spans="1:9" ht="15" customHeight="1" x14ac:dyDescent="0.3">
      <c r="A801" s="21" t="s">
        <v>1175</v>
      </c>
      <c r="B801" s="21">
        <v>2018</v>
      </c>
      <c r="C801" s="21">
        <v>9</v>
      </c>
      <c r="D801" s="21">
        <v>30</v>
      </c>
      <c r="E801" s="21" t="s">
        <v>319</v>
      </c>
      <c r="F801" s="21">
        <v>1</v>
      </c>
      <c r="G801" s="21">
        <v>13.42</v>
      </c>
      <c r="H801" s="21">
        <v>468.44</v>
      </c>
      <c r="I801" s="21">
        <v>349.06</v>
      </c>
    </row>
    <row r="802" spans="1:9" ht="15" customHeight="1" x14ac:dyDescent="0.3">
      <c r="A802" s="21" t="s">
        <v>124</v>
      </c>
      <c r="B802" s="21">
        <v>2018</v>
      </c>
      <c r="C802" s="21">
        <v>10</v>
      </c>
      <c r="D802" s="21">
        <v>1</v>
      </c>
      <c r="E802" s="21" t="s">
        <v>299</v>
      </c>
      <c r="F802" s="21">
        <v>0</v>
      </c>
      <c r="G802" s="21">
        <v>18.899999999999999</v>
      </c>
      <c r="H802" s="21">
        <v>669.44</v>
      </c>
      <c r="I802" s="21">
        <v>354.2</v>
      </c>
    </row>
    <row r="803" spans="1:9" ht="15" customHeight="1" x14ac:dyDescent="0.3">
      <c r="A803" s="21" t="s">
        <v>1176</v>
      </c>
      <c r="B803" s="21">
        <v>2018</v>
      </c>
      <c r="C803" s="21">
        <v>10</v>
      </c>
      <c r="D803" s="21">
        <v>2</v>
      </c>
      <c r="E803" s="21" t="s">
        <v>303</v>
      </c>
      <c r="F803" s="21">
        <v>0</v>
      </c>
      <c r="G803" s="21">
        <v>18.04</v>
      </c>
      <c r="H803" s="21">
        <v>638.96</v>
      </c>
      <c r="I803" s="21">
        <v>354.19</v>
      </c>
    </row>
    <row r="804" spans="1:9" ht="15" customHeight="1" x14ac:dyDescent="0.3">
      <c r="A804" s="21" t="s">
        <v>1177</v>
      </c>
      <c r="B804" s="21">
        <v>2018</v>
      </c>
      <c r="C804" s="21">
        <v>10</v>
      </c>
      <c r="D804" s="21">
        <v>3</v>
      </c>
      <c r="E804" s="21" t="s">
        <v>307</v>
      </c>
      <c r="F804" s="21">
        <v>0</v>
      </c>
      <c r="G804" s="21">
        <v>14.96</v>
      </c>
      <c r="H804" s="21">
        <v>530.02</v>
      </c>
      <c r="I804" s="21">
        <v>354.29</v>
      </c>
    </row>
    <row r="805" spans="1:9" ht="15" customHeight="1" x14ac:dyDescent="0.3">
      <c r="A805" s="21" t="s">
        <v>1178</v>
      </c>
      <c r="B805" s="21">
        <v>2018</v>
      </c>
      <c r="C805" s="21">
        <v>10</v>
      </c>
      <c r="D805" s="21">
        <v>4</v>
      </c>
      <c r="E805" s="21" t="s">
        <v>310</v>
      </c>
      <c r="F805" s="21">
        <v>0</v>
      </c>
      <c r="G805" s="21">
        <v>15.05</v>
      </c>
      <c r="H805" s="21">
        <v>533.25</v>
      </c>
      <c r="I805" s="21">
        <v>354.32</v>
      </c>
    </row>
    <row r="806" spans="1:9" ht="15" customHeight="1" x14ac:dyDescent="0.3">
      <c r="A806" s="21" t="s">
        <v>1179</v>
      </c>
      <c r="B806" s="21">
        <v>2018</v>
      </c>
      <c r="C806" s="21">
        <v>10</v>
      </c>
      <c r="D806" s="21">
        <v>5</v>
      </c>
      <c r="E806" s="21" t="s">
        <v>313</v>
      </c>
      <c r="F806" s="21">
        <v>0</v>
      </c>
      <c r="G806" s="21">
        <v>17.29</v>
      </c>
      <c r="H806" s="21">
        <v>612.63</v>
      </c>
      <c r="I806" s="21">
        <v>354.33</v>
      </c>
    </row>
    <row r="807" spans="1:9" ht="15" customHeight="1" x14ac:dyDescent="0.3">
      <c r="A807" s="21" t="s">
        <v>1180</v>
      </c>
      <c r="B807" s="21">
        <v>2018</v>
      </c>
      <c r="C807" s="21">
        <v>10</v>
      </c>
      <c r="D807" s="21">
        <v>6</v>
      </c>
      <c r="E807" s="21" t="s">
        <v>316</v>
      </c>
      <c r="F807" s="21">
        <v>1</v>
      </c>
      <c r="G807" s="21">
        <v>13.21</v>
      </c>
      <c r="H807" s="21">
        <v>467.81</v>
      </c>
      <c r="I807" s="21">
        <v>354.13</v>
      </c>
    </row>
    <row r="808" spans="1:9" ht="15" customHeight="1" x14ac:dyDescent="0.3">
      <c r="A808" s="21" t="s">
        <v>1181</v>
      </c>
      <c r="B808" s="21">
        <v>2018</v>
      </c>
      <c r="C808" s="21">
        <v>10</v>
      </c>
      <c r="D808" s="21">
        <v>7</v>
      </c>
      <c r="E808" s="21" t="s">
        <v>319</v>
      </c>
      <c r="F808" s="21">
        <v>1</v>
      </c>
      <c r="G808" s="21">
        <v>13.54</v>
      </c>
      <c r="H808" s="21">
        <v>479.73</v>
      </c>
      <c r="I808" s="21">
        <v>354.31</v>
      </c>
    </row>
    <row r="809" spans="1:9" ht="15" customHeight="1" x14ac:dyDescent="0.3">
      <c r="A809" s="21" t="s">
        <v>1182</v>
      </c>
      <c r="B809" s="21">
        <v>2018</v>
      </c>
      <c r="C809" s="21">
        <v>10</v>
      </c>
      <c r="D809" s="21">
        <v>8</v>
      </c>
      <c r="E809" s="21" t="s">
        <v>299</v>
      </c>
      <c r="F809" s="21">
        <v>0</v>
      </c>
      <c r="G809" s="21">
        <v>16.350000000000001</v>
      </c>
      <c r="H809" s="21">
        <v>579.15</v>
      </c>
      <c r="I809" s="21">
        <v>354.22</v>
      </c>
    </row>
    <row r="810" spans="1:9" ht="15" customHeight="1" x14ac:dyDescent="0.3">
      <c r="A810" s="21" t="s">
        <v>1183</v>
      </c>
      <c r="B810" s="21">
        <v>2018</v>
      </c>
      <c r="C810" s="21">
        <v>10</v>
      </c>
      <c r="D810" s="21">
        <v>9</v>
      </c>
      <c r="E810" s="21" t="s">
        <v>303</v>
      </c>
      <c r="F810" s="21">
        <v>0</v>
      </c>
      <c r="G810" s="21">
        <v>15.57</v>
      </c>
      <c r="H810" s="21">
        <v>551.62</v>
      </c>
      <c r="I810" s="21">
        <v>354.28</v>
      </c>
    </row>
    <row r="811" spans="1:9" ht="15" customHeight="1" x14ac:dyDescent="0.3">
      <c r="A811" s="21" t="s">
        <v>1184</v>
      </c>
      <c r="B811" s="21">
        <v>2018</v>
      </c>
      <c r="C811" s="21">
        <v>10</v>
      </c>
      <c r="D811" s="21">
        <v>10</v>
      </c>
      <c r="E811" s="21" t="s">
        <v>307</v>
      </c>
      <c r="F811" s="21">
        <v>0</v>
      </c>
      <c r="G811" s="21">
        <v>16</v>
      </c>
      <c r="H811" s="21">
        <v>566.64</v>
      </c>
      <c r="I811" s="21">
        <v>354.15</v>
      </c>
    </row>
    <row r="812" spans="1:9" ht="15" customHeight="1" x14ac:dyDescent="0.3">
      <c r="A812" s="21" t="s">
        <v>1185</v>
      </c>
      <c r="B812" s="21">
        <v>2018</v>
      </c>
      <c r="C812" s="21">
        <v>10</v>
      </c>
      <c r="D812" s="21">
        <v>11</v>
      </c>
      <c r="E812" s="21" t="s">
        <v>310</v>
      </c>
      <c r="F812" s="21">
        <v>0</v>
      </c>
      <c r="G812" s="21">
        <v>15.32</v>
      </c>
      <c r="H812" s="21">
        <v>542.6</v>
      </c>
      <c r="I812" s="21">
        <v>354.18</v>
      </c>
    </row>
    <row r="813" spans="1:9" ht="15" customHeight="1" x14ac:dyDescent="0.3">
      <c r="A813" s="21" t="s">
        <v>1186</v>
      </c>
      <c r="B813" s="21">
        <v>2018</v>
      </c>
      <c r="C813" s="21">
        <v>10</v>
      </c>
      <c r="D813" s="21">
        <v>12</v>
      </c>
      <c r="E813" s="21" t="s">
        <v>313</v>
      </c>
      <c r="F813" s="21">
        <v>0</v>
      </c>
      <c r="G813" s="21">
        <v>16.850000000000001</v>
      </c>
      <c r="H813" s="21">
        <v>596.80999999999995</v>
      </c>
      <c r="I813" s="21">
        <v>354.19</v>
      </c>
    </row>
    <row r="814" spans="1:9" ht="15" customHeight="1" x14ac:dyDescent="0.3">
      <c r="A814" s="21" t="s">
        <v>1187</v>
      </c>
      <c r="B814" s="21">
        <v>2018</v>
      </c>
      <c r="C814" s="21">
        <v>10</v>
      </c>
      <c r="D814" s="21">
        <v>13</v>
      </c>
      <c r="E814" s="21" t="s">
        <v>316</v>
      </c>
      <c r="F814" s="21">
        <v>1</v>
      </c>
      <c r="G814" s="21">
        <v>13.01</v>
      </c>
      <c r="H814" s="21">
        <v>460.82</v>
      </c>
      <c r="I814" s="21">
        <v>354.2</v>
      </c>
    </row>
    <row r="815" spans="1:9" ht="15" customHeight="1" x14ac:dyDescent="0.3">
      <c r="A815" s="21" t="s">
        <v>1188</v>
      </c>
      <c r="B815" s="21">
        <v>2018</v>
      </c>
      <c r="C815" s="21">
        <v>10</v>
      </c>
      <c r="D815" s="21">
        <v>14</v>
      </c>
      <c r="E815" s="21" t="s">
        <v>319</v>
      </c>
      <c r="F815" s="21">
        <v>1</v>
      </c>
      <c r="G815" s="21">
        <v>13.02</v>
      </c>
      <c r="H815" s="21">
        <v>461.28</v>
      </c>
      <c r="I815" s="21">
        <v>354.29</v>
      </c>
    </row>
    <row r="816" spans="1:9" ht="15" customHeight="1" x14ac:dyDescent="0.3">
      <c r="A816" s="21" t="s">
        <v>1189</v>
      </c>
      <c r="B816" s="21">
        <v>2018</v>
      </c>
      <c r="C816" s="21">
        <v>10</v>
      </c>
      <c r="D816" s="21">
        <v>15</v>
      </c>
      <c r="E816" s="21" t="s">
        <v>299</v>
      </c>
      <c r="F816" s="21">
        <v>0</v>
      </c>
      <c r="G816" s="21">
        <v>17.809999999999999</v>
      </c>
      <c r="H816" s="21">
        <v>630.92999999999995</v>
      </c>
      <c r="I816" s="21">
        <v>354.26</v>
      </c>
    </row>
    <row r="817" spans="1:9" ht="15" customHeight="1" x14ac:dyDescent="0.3">
      <c r="A817" s="21" t="s">
        <v>1190</v>
      </c>
      <c r="B817" s="21">
        <v>2018</v>
      </c>
      <c r="C817" s="21">
        <v>10</v>
      </c>
      <c r="D817" s="21">
        <v>16</v>
      </c>
      <c r="E817" s="21" t="s">
        <v>303</v>
      </c>
      <c r="F817" s="21">
        <v>0</v>
      </c>
      <c r="G817" s="21">
        <v>17.23</v>
      </c>
      <c r="H817" s="21">
        <v>610.28</v>
      </c>
      <c r="I817" s="21">
        <v>354.2</v>
      </c>
    </row>
    <row r="818" spans="1:9" ht="15" customHeight="1" x14ac:dyDescent="0.3">
      <c r="A818" s="21" t="s">
        <v>1191</v>
      </c>
      <c r="B818" s="21">
        <v>2018</v>
      </c>
      <c r="C818" s="21">
        <v>10</v>
      </c>
      <c r="D818" s="21">
        <v>17</v>
      </c>
      <c r="E818" s="21" t="s">
        <v>307</v>
      </c>
      <c r="F818" s="21">
        <v>0</v>
      </c>
      <c r="G818" s="21">
        <v>16.87</v>
      </c>
      <c r="H818" s="21">
        <v>597.53</v>
      </c>
      <c r="I818" s="21">
        <v>354.2</v>
      </c>
    </row>
    <row r="819" spans="1:9" ht="15" customHeight="1" x14ac:dyDescent="0.3">
      <c r="A819" s="21" t="s">
        <v>1192</v>
      </c>
      <c r="B819" s="21">
        <v>2018</v>
      </c>
      <c r="C819" s="21">
        <v>10</v>
      </c>
      <c r="D819" s="21">
        <v>18</v>
      </c>
      <c r="E819" s="21" t="s">
        <v>310</v>
      </c>
      <c r="F819" s="21">
        <v>0</v>
      </c>
      <c r="G819" s="21">
        <v>17.760000000000002</v>
      </c>
      <c r="H819" s="21">
        <v>629.08000000000004</v>
      </c>
      <c r="I819" s="21">
        <v>354.21</v>
      </c>
    </row>
    <row r="820" spans="1:9" ht="15" customHeight="1" x14ac:dyDescent="0.3">
      <c r="A820" s="21" t="s">
        <v>1193</v>
      </c>
      <c r="B820" s="21">
        <v>2018</v>
      </c>
      <c r="C820" s="21">
        <v>10</v>
      </c>
      <c r="D820" s="21">
        <v>19</v>
      </c>
      <c r="E820" s="21" t="s">
        <v>313</v>
      </c>
      <c r="F820" s="21">
        <v>0</v>
      </c>
      <c r="G820" s="21">
        <v>18.02</v>
      </c>
      <c r="H820" s="21">
        <v>638.47</v>
      </c>
      <c r="I820" s="21">
        <v>354.31</v>
      </c>
    </row>
    <row r="821" spans="1:9" ht="15" customHeight="1" x14ac:dyDescent="0.3">
      <c r="A821" s="21" t="s">
        <v>1194</v>
      </c>
      <c r="B821" s="21">
        <v>2018</v>
      </c>
      <c r="C821" s="21">
        <v>10</v>
      </c>
      <c r="D821" s="21">
        <v>20</v>
      </c>
      <c r="E821" s="21" t="s">
        <v>316</v>
      </c>
      <c r="F821" s="21">
        <v>1</v>
      </c>
      <c r="G821" s="21">
        <v>14.45</v>
      </c>
      <c r="H821" s="21">
        <v>511.91</v>
      </c>
      <c r="I821" s="21">
        <v>354.26</v>
      </c>
    </row>
    <row r="822" spans="1:9" ht="15" customHeight="1" x14ac:dyDescent="0.3">
      <c r="A822" s="21" t="s">
        <v>1195</v>
      </c>
      <c r="B822" s="21">
        <v>2018</v>
      </c>
      <c r="C822" s="21">
        <v>10</v>
      </c>
      <c r="D822" s="21">
        <v>21</v>
      </c>
      <c r="E822" s="21" t="s">
        <v>319</v>
      </c>
      <c r="F822" s="21">
        <v>1</v>
      </c>
      <c r="G822" s="21">
        <v>14.32</v>
      </c>
      <c r="H822" s="21">
        <v>507.31</v>
      </c>
      <c r="I822" s="21">
        <v>354.27</v>
      </c>
    </row>
    <row r="823" spans="1:9" ht="15" customHeight="1" x14ac:dyDescent="0.3">
      <c r="A823" s="21" t="s">
        <v>1196</v>
      </c>
      <c r="B823" s="21">
        <v>2018</v>
      </c>
      <c r="C823" s="21">
        <v>10</v>
      </c>
      <c r="D823" s="21">
        <v>22</v>
      </c>
      <c r="E823" s="21" t="s">
        <v>299</v>
      </c>
      <c r="F823" s="21">
        <v>0</v>
      </c>
      <c r="G823" s="21">
        <v>18.71</v>
      </c>
      <c r="H823" s="21">
        <v>662.87</v>
      </c>
      <c r="I823" s="21">
        <v>354.29</v>
      </c>
    </row>
    <row r="824" spans="1:9" ht="15" customHeight="1" x14ac:dyDescent="0.3">
      <c r="A824" s="21" t="s">
        <v>1197</v>
      </c>
      <c r="B824" s="21">
        <v>2018</v>
      </c>
      <c r="C824" s="21">
        <v>10</v>
      </c>
      <c r="D824" s="21">
        <v>23</v>
      </c>
      <c r="E824" s="21" t="s">
        <v>303</v>
      </c>
      <c r="F824" s="21">
        <v>0</v>
      </c>
      <c r="G824" s="21">
        <v>17.21</v>
      </c>
      <c r="H824" s="21">
        <v>609.82000000000005</v>
      </c>
      <c r="I824" s="21">
        <v>354.34</v>
      </c>
    </row>
    <row r="825" spans="1:9" ht="15" customHeight="1" x14ac:dyDescent="0.3">
      <c r="A825" s="21" t="s">
        <v>1198</v>
      </c>
      <c r="B825" s="21">
        <v>2018</v>
      </c>
      <c r="C825" s="21">
        <v>10</v>
      </c>
      <c r="D825" s="21">
        <v>24</v>
      </c>
      <c r="E825" s="21" t="s">
        <v>307</v>
      </c>
      <c r="F825" s="21">
        <v>0</v>
      </c>
      <c r="G825" s="21">
        <v>17.64</v>
      </c>
      <c r="H825" s="21">
        <v>625.01</v>
      </c>
      <c r="I825" s="21">
        <v>354.31</v>
      </c>
    </row>
    <row r="826" spans="1:9" ht="15" customHeight="1" x14ac:dyDescent="0.3">
      <c r="A826" s="21" t="s">
        <v>1199</v>
      </c>
      <c r="B826" s="21">
        <v>2018</v>
      </c>
      <c r="C826" s="21">
        <v>10</v>
      </c>
      <c r="D826" s="21">
        <v>25</v>
      </c>
      <c r="E826" s="21" t="s">
        <v>310</v>
      </c>
      <c r="F826" s="21">
        <v>0</v>
      </c>
      <c r="G826" s="21">
        <v>16.350000000000001</v>
      </c>
      <c r="H826" s="21">
        <v>579.22</v>
      </c>
      <c r="I826" s="21">
        <v>354.26</v>
      </c>
    </row>
    <row r="827" spans="1:9" ht="15" customHeight="1" x14ac:dyDescent="0.3">
      <c r="A827" s="21" t="s">
        <v>1200</v>
      </c>
      <c r="B827" s="21">
        <v>2018</v>
      </c>
      <c r="C827" s="21">
        <v>10</v>
      </c>
      <c r="D827" s="21">
        <v>26</v>
      </c>
      <c r="E827" s="21" t="s">
        <v>313</v>
      </c>
      <c r="F827" s="21">
        <v>0</v>
      </c>
      <c r="G827" s="21">
        <v>16.93</v>
      </c>
      <c r="H827" s="21">
        <v>599.63</v>
      </c>
      <c r="I827" s="21">
        <v>354.18</v>
      </c>
    </row>
    <row r="828" spans="1:9" ht="15" customHeight="1" x14ac:dyDescent="0.3">
      <c r="A828" s="21" t="s">
        <v>1201</v>
      </c>
      <c r="B828" s="21">
        <v>2018</v>
      </c>
      <c r="C828" s="21">
        <v>10</v>
      </c>
      <c r="D828" s="21">
        <v>27</v>
      </c>
      <c r="E828" s="21" t="s">
        <v>316</v>
      </c>
      <c r="F828" s="21">
        <v>1</v>
      </c>
      <c r="G828" s="21">
        <v>13.64</v>
      </c>
      <c r="H828" s="21">
        <v>483.17</v>
      </c>
      <c r="I828" s="21">
        <v>354.23</v>
      </c>
    </row>
    <row r="829" spans="1:9" ht="15" customHeight="1" x14ac:dyDescent="0.3">
      <c r="A829" s="21" t="s">
        <v>1202</v>
      </c>
      <c r="B829" s="21">
        <v>2018</v>
      </c>
      <c r="C829" s="21">
        <v>10</v>
      </c>
      <c r="D829" s="21">
        <v>28</v>
      </c>
      <c r="E829" s="21" t="s">
        <v>319</v>
      </c>
      <c r="F829" s="21">
        <v>1</v>
      </c>
      <c r="G829" s="21">
        <v>13.26</v>
      </c>
      <c r="H829" s="21">
        <v>469.82</v>
      </c>
      <c r="I829" s="21">
        <v>354.31</v>
      </c>
    </row>
    <row r="830" spans="1:9" ht="15" customHeight="1" x14ac:dyDescent="0.3">
      <c r="A830" s="21" t="s">
        <v>1203</v>
      </c>
      <c r="B830" s="21">
        <v>2018</v>
      </c>
      <c r="C830" s="21">
        <v>10</v>
      </c>
      <c r="D830" s="21">
        <v>29</v>
      </c>
      <c r="E830" s="21" t="s">
        <v>299</v>
      </c>
      <c r="F830" s="21">
        <v>0</v>
      </c>
      <c r="G830" s="21">
        <v>16.829999999999998</v>
      </c>
      <c r="H830" s="21">
        <v>596.29999999999995</v>
      </c>
      <c r="I830" s="21">
        <v>354.31</v>
      </c>
    </row>
    <row r="831" spans="1:9" ht="15" customHeight="1" x14ac:dyDescent="0.3">
      <c r="A831" s="21" t="s">
        <v>1204</v>
      </c>
      <c r="B831" s="21">
        <v>2018</v>
      </c>
      <c r="C831" s="21">
        <v>10</v>
      </c>
      <c r="D831" s="21">
        <v>30</v>
      </c>
      <c r="E831" s="21" t="s">
        <v>303</v>
      </c>
      <c r="F831" s="21">
        <v>0</v>
      </c>
      <c r="G831" s="21">
        <v>17.61</v>
      </c>
      <c r="H831" s="21">
        <v>623.96</v>
      </c>
      <c r="I831" s="21">
        <v>354.32</v>
      </c>
    </row>
    <row r="832" spans="1:9" ht="15" customHeight="1" x14ac:dyDescent="0.3">
      <c r="A832" s="21" t="s">
        <v>1205</v>
      </c>
      <c r="B832" s="21">
        <v>2018</v>
      </c>
      <c r="C832" s="21">
        <v>10</v>
      </c>
      <c r="D832" s="21">
        <v>31</v>
      </c>
      <c r="E832" s="21" t="s">
        <v>307</v>
      </c>
      <c r="F832" s="21">
        <v>0</v>
      </c>
      <c r="G832" s="21">
        <v>18.649999999999999</v>
      </c>
      <c r="H832" s="21">
        <v>660.6</v>
      </c>
      <c r="I832" s="21">
        <v>354.21</v>
      </c>
    </row>
    <row r="833" spans="1:9" ht="15" customHeight="1" x14ac:dyDescent="0.3">
      <c r="A833" s="21" t="s">
        <v>125</v>
      </c>
      <c r="B833" s="21">
        <v>2018</v>
      </c>
      <c r="C833" s="21">
        <v>11</v>
      </c>
      <c r="D833" s="21">
        <v>1</v>
      </c>
      <c r="E833" s="21" t="s">
        <v>310</v>
      </c>
      <c r="F833" s="21">
        <v>0</v>
      </c>
      <c r="G833" s="21">
        <v>21.51</v>
      </c>
      <c r="H833" s="21">
        <v>747.22</v>
      </c>
      <c r="I833" s="21">
        <v>347.38</v>
      </c>
    </row>
    <row r="834" spans="1:9" ht="15" customHeight="1" x14ac:dyDescent="0.3">
      <c r="A834" s="21" t="s">
        <v>1206</v>
      </c>
      <c r="B834" s="21">
        <v>2018</v>
      </c>
      <c r="C834" s="21">
        <v>11</v>
      </c>
      <c r="D834" s="21">
        <v>2</v>
      </c>
      <c r="E834" s="21" t="s">
        <v>313</v>
      </c>
      <c r="F834" s="21">
        <v>0</v>
      </c>
      <c r="G834" s="21">
        <v>21.51</v>
      </c>
      <c r="H834" s="21">
        <v>747.32</v>
      </c>
      <c r="I834" s="21">
        <v>347.43</v>
      </c>
    </row>
    <row r="835" spans="1:9" ht="15" customHeight="1" x14ac:dyDescent="0.3">
      <c r="A835" s="21" t="s">
        <v>1207</v>
      </c>
      <c r="B835" s="21">
        <v>2018</v>
      </c>
      <c r="C835" s="21">
        <v>11</v>
      </c>
      <c r="D835" s="21">
        <v>3</v>
      </c>
      <c r="E835" s="21" t="s">
        <v>316</v>
      </c>
      <c r="F835" s="21">
        <v>1</v>
      </c>
      <c r="G835" s="21">
        <v>14.64</v>
      </c>
      <c r="H835" s="21">
        <v>508.53</v>
      </c>
      <c r="I835" s="21">
        <v>347.36</v>
      </c>
    </row>
    <row r="836" spans="1:9" ht="15" customHeight="1" x14ac:dyDescent="0.3">
      <c r="A836" s="21" t="s">
        <v>1208</v>
      </c>
      <c r="B836" s="21">
        <v>2018</v>
      </c>
      <c r="C836" s="21">
        <v>11</v>
      </c>
      <c r="D836" s="21">
        <v>4</v>
      </c>
      <c r="E836" s="21" t="s">
        <v>319</v>
      </c>
      <c r="F836" s="21">
        <v>1</v>
      </c>
      <c r="G836" s="21">
        <v>15.64</v>
      </c>
      <c r="H836" s="21">
        <v>543.16</v>
      </c>
      <c r="I836" s="21">
        <v>347.29</v>
      </c>
    </row>
    <row r="837" spans="1:9" ht="15" customHeight="1" x14ac:dyDescent="0.3">
      <c r="A837" s="21" t="s">
        <v>1209</v>
      </c>
      <c r="B837" s="21">
        <v>2018</v>
      </c>
      <c r="C837" s="21">
        <v>11</v>
      </c>
      <c r="D837" s="21">
        <v>5</v>
      </c>
      <c r="E837" s="21" t="s">
        <v>299</v>
      </c>
      <c r="F837" s="21">
        <v>0</v>
      </c>
      <c r="G837" s="21">
        <v>19.2</v>
      </c>
      <c r="H837" s="21">
        <v>667.03</v>
      </c>
      <c r="I837" s="21">
        <v>347.41</v>
      </c>
    </row>
    <row r="838" spans="1:9" ht="15" customHeight="1" x14ac:dyDescent="0.3">
      <c r="A838" s="21" t="s">
        <v>1210</v>
      </c>
      <c r="B838" s="21">
        <v>2018</v>
      </c>
      <c r="C838" s="21">
        <v>11</v>
      </c>
      <c r="D838" s="21">
        <v>6</v>
      </c>
      <c r="E838" s="21" t="s">
        <v>303</v>
      </c>
      <c r="F838" s="21">
        <v>0</v>
      </c>
      <c r="G838" s="21">
        <v>17.22</v>
      </c>
      <c r="H838" s="21">
        <v>598.29999999999995</v>
      </c>
      <c r="I838" s="21">
        <v>347.44</v>
      </c>
    </row>
    <row r="839" spans="1:9" ht="15" customHeight="1" x14ac:dyDescent="0.3">
      <c r="A839" s="21" t="s">
        <v>1211</v>
      </c>
      <c r="B839" s="21">
        <v>2018</v>
      </c>
      <c r="C839" s="21">
        <v>11</v>
      </c>
      <c r="D839" s="21">
        <v>7</v>
      </c>
      <c r="E839" s="21" t="s">
        <v>307</v>
      </c>
      <c r="F839" s="21">
        <v>0</v>
      </c>
      <c r="G839" s="21">
        <v>17.28</v>
      </c>
      <c r="H839" s="21">
        <v>600.16999999999996</v>
      </c>
      <c r="I839" s="21">
        <v>347.32</v>
      </c>
    </row>
    <row r="840" spans="1:9" ht="15" customHeight="1" x14ac:dyDescent="0.3">
      <c r="A840" s="21" t="s">
        <v>1212</v>
      </c>
      <c r="B840" s="21">
        <v>2018</v>
      </c>
      <c r="C840" s="21">
        <v>11</v>
      </c>
      <c r="D840" s="21">
        <v>8</v>
      </c>
      <c r="E840" s="21" t="s">
        <v>310</v>
      </c>
      <c r="F840" s="21">
        <v>0</v>
      </c>
      <c r="G840" s="21">
        <v>17.350000000000001</v>
      </c>
      <c r="H840" s="21">
        <v>602.69000000000005</v>
      </c>
      <c r="I840" s="21">
        <v>347.37</v>
      </c>
    </row>
    <row r="841" spans="1:9" ht="15" customHeight="1" x14ac:dyDescent="0.3">
      <c r="A841" s="21" t="s">
        <v>1213</v>
      </c>
      <c r="B841" s="21">
        <v>2018</v>
      </c>
      <c r="C841" s="21">
        <v>11</v>
      </c>
      <c r="D841" s="21">
        <v>9</v>
      </c>
      <c r="E841" s="21" t="s">
        <v>313</v>
      </c>
      <c r="F841" s="21">
        <v>0</v>
      </c>
      <c r="G841" s="21">
        <v>18.190000000000001</v>
      </c>
      <c r="H841" s="21">
        <v>631.94000000000005</v>
      </c>
      <c r="I841" s="21">
        <v>347.41</v>
      </c>
    </row>
    <row r="842" spans="1:9" ht="15" customHeight="1" x14ac:dyDescent="0.3">
      <c r="A842" s="21" t="s">
        <v>1214</v>
      </c>
      <c r="B842" s="21">
        <v>2018</v>
      </c>
      <c r="C842" s="21">
        <v>11</v>
      </c>
      <c r="D842" s="21">
        <v>10</v>
      </c>
      <c r="E842" s="21" t="s">
        <v>316</v>
      </c>
      <c r="F842" s="21">
        <v>1</v>
      </c>
      <c r="G842" s="21">
        <v>14.39</v>
      </c>
      <c r="H842" s="21">
        <v>499.91</v>
      </c>
      <c r="I842" s="21">
        <v>347.4</v>
      </c>
    </row>
    <row r="843" spans="1:9" ht="15" customHeight="1" x14ac:dyDescent="0.3">
      <c r="A843" s="21" t="s">
        <v>1215</v>
      </c>
      <c r="B843" s="21">
        <v>2018</v>
      </c>
      <c r="C843" s="21">
        <v>11</v>
      </c>
      <c r="D843" s="21">
        <v>11</v>
      </c>
      <c r="E843" s="21" t="s">
        <v>319</v>
      </c>
      <c r="F843" s="21">
        <v>1</v>
      </c>
      <c r="G843" s="21">
        <v>14.35</v>
      </c>
      <c r="H843" s="21">
        <v>498.35</v>
      </c>
      <c r="I843" s="21">
        <v>347.28</v>
      </c>
    </row>
    <row r="844" spans="1:9" ht="15" customHeight="1" x14ac:dyDescent="0.3">
      <c r="A844" s="21" t="s">
        <v>1216</v>
      </c>
      <c r="B844" s="21">
        <v>2018</v>
      </c>
      <c r="C844" s="21">
        <v>11</v>
      </c>
      <c r="D844" s="21">
        <v>12</v>
      </c>
      <c r="E844" s="21" t="s">
        <v>299</v>
      </c>
      <c r="F844" s="21">
        <v>0</v>
      </c>
      <c r="G844" s="21">
        <v>17.97</v>
      </c>
      <c r="H844" s="21">
        <v>624.22</v>
      </c>
      <c r="I844" s="21">
        <v>347.37</v>
      </c>
    </row>
    <row r="845" spans="1:9" ht="15" customHeight="1" x14ac:dyDescent="0.3">
      <c r="A845" s="21" t="s">
        <v>1217</v>
      </c>
      <c r="B845" s="21">
        <v>2018</v>
      </c>
      <c r="C845" s="21">
        <v>11</v>
      </c>
      <c r="D845" s="21">
        <v>13</v>
      </c>
      <c r="E845" s="21" t="s">
        <v>303</v>
      </c>
      <c r="F845" s="21">
        <v>0</v>
      </c>
      <c r="G845" s="21">
        <v>17.48</v>
      </c>
      <c r="H845" s="21">
        <v>607.20000000000005</v>
      </c>
      <c r="I845" s="21">
        <v>347.37</v>
      </c>
    </row>
    <row r="846" spans="1:9" ht="15" customHeight="1" x14ac:dyDescent="0.3">
      <c r="A846" s="21" t="s">
        <v>1218</v>
      </c>
      <c r="B846" s="21">
        <v>2018</v>
      </c>
      <c r="C846" s="21">
        <v>11</v>
      </c>
      <c r="D846" s="21">
        <v>14</v>
      </c>
      <c r="E846" s="21" t="s">
        <v>307</v>
      </c>
      <c r="F846" s="21">
        <v>0</v>
      </c>
      <c r="G846" s="21">
        <v>17.62</v>
      </c>
      <c r="H846" s="21">
        <v>612.1</v>
      </c>
      <c r="I846" s="21">
        <v>347.39</v>
      </c>
    </row>
    <row r="847" spans="1:9" ht="15" customHeight="1" x14ac:dyDescent="0.3">
      <c r="A847" s="21" t="s">
        <v>1219</v>
      </c>
      <c r="B847" s="21">
        <v>2018</v>
      </c>
      <c r="C847" s="21">
        <v>11</v>
      </c>
      <c r="D847" s="21">
        <v>15</v>
      </c>
      <c r="E847" s="21" t="s">
        <v>310</v>
      </c>
      <c r="F847" s="21">
        <v>0</v>
      </c>
      <c r="G847" s="21">
        <v>20.14</v>
      </c>
      <c r="H847" s="21">
        <v>699.72</v>
      </c>
      <c r="I847" s="21">
        <v>347.43</v>
      </c>
    </row>
    <row r="848" spans="1:9" ht="15" customHeight="1" x14ac:dyDescent="0.3">
      <c r="A848" s="21" t="s">
        <v>1220</v>
      </c>
      <c r="B848" s="21">
        <v>2018</v>
      </c>
      <c r="C848" s="21">
        <v>11</v>
      </c>
      <c r="D848" s="21">
        <v>16</v>
      </c>
      <c r="E848" s="21" t="s">
        <v>313</v>
      </c>
      <c r="F848" s="21">
        <v>0</v>
      </c>
      <c r="G848" s="21">
        <v>20.21</v>
      </c>
      <c r="H848" s="21">
        <v>702.08</v>
      </c>
      <c r="I848" s="21">
        <v>347.39</v>
      </c>
    </row>
    <row r="849" spans="1:9" ht="15" customHeight="1" x14ac:dyDescent="0.3">
      <c r="A849" s="21" t="s">
        <v>1221</v>
      </c>
      <c r="B849" s="21">
        <v>2018</v>
      </c>
      <c r="C849" s="21">
        <v>11</v>
      </c>
      <c r="D849" s="21">
        <v>17</v>
      </c>
      <c r="E849" s="21" t="s">
        <v>316</v>
      </c>
      <c r="F849" s="21">
        <v>1</v>
      </c>
      <c r="G849" s="21">
        <v>16.93</v>
      </c>
      <c r="H849" s="21">
        <v>588.07000000000005</v>
      </c>
      <c r="I849" s="21">
        <v>347.35</v>
      </c>
    </row>
    <row r="850" spans="1:9" ht="15" customHeight="1" x14ac:dyDescent="0.3">
      <c r="A850" s="21" t="s">
        <v>1222</v>
      </c>
      <c r="B850" s="21">
        <v>2018</v>
      </c>
      <c r="C850" s="21">
        <v>11</v>
      </c>
      <c r="D850" s="21">
        <v>18</v>
      </c>
      <c r="E850" s="21" t="s">
        <v>319</v>
      </c>
      <c r="F850" s="21">
        <v>1</v>
      </c>
      <c r="G850" s="21">
        <v>16.239999999999998</v>
      </c>
      <c r="H850" s="21">
        <v>564.03</v>
      </c>
      <c r="I850" s="21">
        <v>347.31</v>
      </c>
    </row>
    <row r="851" spans="1:9" ht="15" customHeight="1" x14ac:dyDescent="0.3">
      <c r="A851" s="21" t="s">
        <v>1223</v>
      </c>
      <c r="B851" s="21">
        <v>2018</v>
      </c>
      <c r="C851" s="21">
        <v>11</v>
      </c>
      <c r="D851" s="21">
        <v>19</v>
      </c>
      <c r="E851" s="21" t="s">
        <v>299</v>
      </c>
      <c r="F851" s="21">
        <v>0</v>
      </c>
      <c r="G851" s="21">
        <v>20.18</v>
      </c>
      <c r="H851" s="21">
        <v>701.06</v>
      </c>
      <c r="I851" s="21">
        <v>347.4</v>
      </c>
    </row>
    <row r="852" spans="1:9" ht="15" customHeight="1" x14ac:dyDescent="0.3">
      <c r="A852" s="21" t="s">
        <v>1224</v>
      </c>
      <c r="B852" s="21">
        <v>2018</v>
      </c>
      <c r="C852" s="21">
        <v>11</v>
      </c>
      <c r="D852" s="21">
        <v>20</v>
      </c>
      <c r="E852" s="21" t="s">
        <v>303</v>
      </c>
      <c r="F852" s="21">
        <v>0</v>
      </c>
      <c r="G852" s="21">
        <v>19.64</v>
      </c>
      <c r="H852" s="21">
        <v>682.15</v>
      </c>
      <c r="I852" s="21">
        <v>347.33</v>
      </c>
    </row>
    <row r="853" spans="1:9" ht="15" customHeight="1" x14ac:dyDescent="0.3">
      <c r="A853" s="21" t="s">
        <v>1225</v>
      </c>
      <c r="B853" s="21">
        <v>2018</v>
      </c>
      <c r="C853" s="21">
        <v>11</v>
      </c>
      <c r="D853" s="21">
        <v>21</v>
      </c>
      <c r="E853" s="21" t="s">
        <v>307</v>
      </c>
      <c r="F853" s="21">
        <v>0</v>
      </c>
      <c r="G853" s="21">
        <v>18.600000000000001</v>
      </c>
      <c r="H853" s="21">
        <v>646.1</v>
      </c>
      <c r="I853" s="21">
        <v>347.37</v>
      </c>
    </row>
    <row r="854" spans="1:9" ht="15" customHeight="1" x14ac:dyDescent="0.3">
      <c r="A854" s="21" t="s">
        <v>1226</v>
      </c>
      <c r="B854" s="21">
        <v>2018</v>
      </c>
      <c r="C854" s="21">
        <v>11</v>
      </c>
      <c r="D854" s="21">
        <v>22</v>
      </c>
      <c r="E854" s="21" t="s">
        <v>310</v>
      </c>
      <c r="F854" s="21">
        <v>0</v>
      </c>
      <c r="G854" s="21">
        <v>19.47</v>
      </c>
      <c r="H854" s="21">
        <v>676.29</v>
      </c>
      <c r="I854" s="21">
        <v>347.35</v>
      </c>
    </row>
    <row r="855" spans="1:9" ht="15" customHeight="1" x14ac:dyDescent="0.3">
      <c r="A855" s="21" t="s">
        <v>1227</v>
      </c>
      <c r="B855" s="21">
        <v>2018</v>
      </c>
      <c r="C855" s="21">
        <v>11</v>
      </c>
      <c r="D855" s="21">
        <v>23</v>
      </c>
      <c r="E855" s="21" t="s">
        <v>313</v>
      </c>
      <c r="F855" s="21">
        <v>0</v>
      </c>
      <c r="G855" s="21">
        <v>20.88</v>
      </c>
      <c r="H855" s="21">
        <v>725.44</v>
      </c>
      <c r="I855" s="21">
        <v>347.43</v>
      </c>
    </row>
    <row r="856" spans="1:9" ht="15" customHeight="1" x14ac:dyDescent="0.3">
      <c r="A856" s="21" t="s">
        <v>1228</v>
      </c>
      <c r="B856" s="21">
        <v>2018</v>
      </c>
      <c r="C856" s="21">
        <v>11</v>
      </c>
      <c r="D856" s="21">
        <v>24</v>
      </c>
      <c r="E856" s="21" t="s">
        <v>316</v>
      </c>
      <c r="F856" s="21">
        <v>1</v>
      </c>
      <c r="G856" s="21">
        <v>16.64</v>
      </c>
      <c r="H856" s="21">
        <v>578.20000000000005</v>
      </c>
      <c r="I856" s="21">
        <v>347.48</v>
      </c>
    </row>
    <row r="857" spans="1:9" ht="15" customHeight="1" x14ac:dyDescent="0.3">
      <c r="A857" s="21" t="s">
        <v>1229</v>
      </c>
      <c r="B857" s="21">
        <v>2018</v>
      </c>
      <c r="C857" s="21">
        <v>11</v>
      </c>
      <c r="D857" s="21">
        <v>25</v>
      </c>
      <c r="E857" s="21" t="s">
        <v>319</v>
      </c>
      <c r="F857" s="21">
        <v>1</v>
      </c>
      <c r="G857" s="21">
        <v>16.53</v>
      </c>
      <c r="H857" s="21">
        <v>574.12</v>
      </c>
      <c r="I857" s="21">
        <v>347.32</v>
      </c>
    </row>
    <row r="858" spans="1:9" ht="15" customHeight="1" x14ac:dyDescent="0.3">
      <c r="A858" s="21" t="s">
        <v>1230</v>
      </c>
      <c r="B858" s="21">
        <v>2018</v>
      </c>
      <c r="C858" s="21">
        <v>11</v>
      </c>
      <c r="D858" s="21">
        <v>26</v>
      </c>
      <c r="E858" s="21" t="s">
        <v>299</v>
      </c>
      <c r="F858" s="21">
        <v>0</v>
      </c>
      <c r="G858" s="21">
        <v>19.66</v>
      </c>
      <c r="H858" s="21">
        <v>683</v>
      </c>
      <c r="I858" s="21">
        <v>347.41</v>
      </c>
    </row>
    <row r="859" spans="1:9" ht="15" customHeight="1" x14ac:dyDescent="0.3">
      <c r="A859" s="21" t="s">
        <v>1231</v>
      </c>
      <c r="B859" s="21">
        <v>2018</v>
      </c>
      <c r="C859" s="21">
        <v>11</v>
      </c>
      <c r="D859" s="21">
        <v>27</v>
      </c>
      <c r="E859" s="21" t="s">
        <v>303</v>
      </c>
      <c r="F859" s="21">
        <v>0</v>
      </c>
      <c r="G859" s="21">
        <v>17.16</v>
      </c>
      <c r="H859" s="21">
        <v>596.20000000000005</v>
      </c>
      <c r="I859" s="21">
        <v>347.44</v>
      </c>
    </row>
    <row r="860" spans="1:9" ht="15" customHeight="1" x14ac:dyDescent="0.3">
      <c r="A860" s="21" t="s">
        <v>1232</v>
      </c>
      <c r="B860" s="21">
        <v>2018</v>
      </c>
      <c r="C860" s="21">
        <v>11</v>
      </c>
      <c r="D860" s="21">
        <v>28</v>
      </c>
      <c r="E860" s="21" t="s">
        <v>307</v>
      </c>
      <c r="F860" s="21">
        <v>0</v>
      </c>
      <c r="G860" s="21">
        <v>17.22</v>
      </c>
      <c r="H860" s="21">
        <v>598.15</v>
      </c>
      <c r="I860" s="21">
        <v>347.36</v>
      </c>
    </row>
    <row r="861" spans="1:9" ht="15" customHeight="1" x14ac:dyDescent="0.3">
      <c r="A861" s="21" t="s">
        <v>1233</v>
      </c>
      <c r="B861" s="21">
        <v>2018</v>
      </c>
      <c r="C861" s="21">
        <v>11</v>
      </c>
      <c r="D861" s="21">
        <v>29</v>
      </c>
      <c r="E861" s="21" t="s">
        <v>310</v>
      </c>
      <c r="F861" s="21">
        <v>0</v>
      </c>
      <c r="G861" s="21">
        <v>19.75</v>
      </c>
      <c r="H861" s="21">
        <v>685.94</v>
      </c>
      <c r="I861" s="21">
        <v>347.31</v>
      </c>
    </row>
    <row r="862" spans="1:9" ht="15" customHeight="1" x14ac:dyDescent="0.3">
      <c r="A862" s="21" t="s">
        <v>1234</v>
      </c>
      <c r="B862" s="21">
        <v>2018</v>
      </c>
      <c r="C862" s="21">
        <v>11</v>
      </c>
      <c r="D862" s="21">
        <v>30</v>
      </c>
      <c r="E862" s="21" t="s">
        <v>313</v>
      </c>
      <c r="F862" s="21">
        <v>0</v>
      </c>
      <c r="G862" s="21">
        <v>21.4</v>
      </c>
      <c r="H862" s="21">
        <v>743.28</v>
      </c>
      <c r="I862" s="21">
        <v>347.33</v>
      </c>
    </row>
    <row r="863" spans="1:9" ht="15" customHeight="1" x14ac:dyDescent="0.3">
      <c r="A863" s="21" t="s">
        <v>126</v>
      </c>
      <c r="B863" s="21">
        <v>2018</v>
      </c>
      <c r="C863" s="21">
        <v>12</v>
      </c>
      <c r="D863" s="21">
        <v>1</v>
      </c>
      <c r="E863" s="21" t="s">
        <v>316</v>
      </c>
      <c r="F863" s="21">
        <v>1</v>
      </c>
      <c r="G863" s="21">
        <v>19.14</v>
      </c>
      <c r="H863" s="21">
        <v>649.55999999999995</v>
      </c>
      <c r="I863" s="21">
        <v>339.37</v>
      </c>
    </row>
    <row r="864" spans="1:9" ht="15" customHeight="1" x14ac:dyDescent="0.3">
      <c r="A864" s="21" t="s">
        <v>1235</v>
      </c>
      <c r="B864" s="21">
        <v>2018</v>
      </c>
      <c r="C864" s="21">
        <v>12</v>
      </c>
      <c r="D864" s="21">
        <v>2</v>
      </c>
      <c r="E864" s="21" t="s">
        <v>319</v>
      </c>
      <c r="F864" s="21">
        <v>1</v>
      </c>
      <c r="G864" s="21">
        <v>20.399999999999999</v>
      </c>
      <c r="H864" s="21">
        <v>692.4</v>
      </c>
      <c r="I864" s="21">
        <v>339.41</v>
      </c>
    </row>
    <row r="865" spans="1:9" ht="15" customHeight="1" x14ac:dyDescent="0.3">
      <c r="A865" s="21" t="s">
        <v>1236</v>
      </c>
      <c r="B865" s="21">
        <v>2018</v>
      </c>
      <c r="C865" s="21">
        <v>12</v>
      </c>
      <c r="D865" s="21">
        <v>3</v>
      </c>
      <c r="E865" s="21" t="s">
        <v>299</v>
      </c>
      <c r="F865" s="21">
        <v>0</v>
      </c>
      <c r="G865" s="21">
        <v>21.88</v>
      </c>
      <c r="H865" s="21">
        <v>742.77</v>
      </c>
      <c r="I865" s="21">
        <v>339.47</v>
      </c>
    </row>
    <row r="866" spans="1:9" ht="15" customHeight="1" x14ac:dyDescent="0.3">
      <c r="A866" s="21" t="s">
        <v>1237</v>
      </c>
      <c r="B866" s="21">
        <v>2018</v>
      </c>
      <c r="C866" s="21">
        <v>12</v>
      </c>
      <c r="D866" s="21">
        <v>4</v>
      </c>
      <c r="E866" s="21" t="s">
        <v>303</v>
      </c>
      <c r="F866" s="21">
        <v>0</v>
      </c>
      <c r="G866" s="21">
        <v>19.690000000000001</v>
      </c>
      <c r="H866" s="21">
        <v>668.17</v>
      </c>
      <c r="I866" s="21">
        <v>339.34</v>
      </c>
    </row>
    <row r="867" spans="1:9" ht="15" customHeight="1" x14ac:dyDescent="0.3">
      <c r="A867" s="21" t="s">
        <v>1238</v>
      </c>
      <c r="B867" s="21">
        <v>2018</v>
      </c>
      <c r="C867" s="21">
        <v>12</v>
      </c>
      <c r="D867" s="21">
        <v>5</v>
      </c>
      <c r="E867" s="21" t="s">
        <v>307</v>
      </c>
      <c r="F867" s="21">
        <v>0</v>
      </c>
      <c r="G867" s="21">
        <v>19.53</v>
      </c>
      <c r="H867" s="21">
        <v>662.83</v>
      </c>
      <c r="I867" s="21">
        <v>339.39</v>
      </c>
    </row>
    <row r="868" spans="1:9" ht="15" customHeight="1" x14ac:dyDescent="0.3">
      <c r="A868" s="21" t="s">
        <v>1239</v>
      </c>
      <c r="B868" s="21">
        <v>2018</v>
      </c>
      <c r="C868" s="21">
        <v>12</v>
      </c>
      <c r="D868" s="21">
        <v>6</v>
      </c>
      <c r="E868" s="21" t="s">
        <v>310</v>
      </c>
      <c r="F868" s="21">
        <v>0</v>
      </c>
      <c r="G868" s="21">
        <v>20.309999999999999</v>
      </c>
      <c r="H868" s="21">
        <v>689.42</v>
      </c>
      <c r="I868" s="21">
        <v>339.45</v>
      </c>
    </row>
    <row r="869" spans="1:9" ht="15" customHeight="1" x14ac:dyDescent="0.3">
      <c r="A869" s="21" t="s">
        <v>1240</v>
      </c>
      <c r="B869" s="21">
        <v>2018</v>
      </c>
      <c r="C869" s="21">
        <v>12</v>
      </c>
      <c r="D869" s="21">
        <v>7</v>
      </c>
      <c r="E869" s="21" t="s">
        <v>313</v>
      </c>
      <c r="F869" s="21">
        <v>0</v>
      </c>
      <c r="G869" s="21">
        <v>21.3</v>
      </c>
      <c r="H869" s="21">
        <v>722.93</v>
      </c>
      <c r="I869" s="21">
        <v>339.4</v>
      </c>
    </row>
    <row r="870" spans="1:9" ht="15" customHeight="1" x14ac:dyDescent="0.3">
      <c r="A870" s="21" t="s">
        <v>1241</v>
      </c>
      <c r="B870" s="21">
        <v>2018</v>
      </c>
      <c r="C870" s="21">
        <v>12</v>
      </c>
      <c r="D870" s="21">
        <v>8</v>
      </c>
      <c r="E870" s="21" t="s">
        <v>316</v>
      </c>
      <c r="F870" s="21">
        <v>1</v>
      </c>
      <c r="G870" s="21">
        <v>17.399999999999999</v>
      </c>
      <c r="H870" s="21">
        <v>590.74</v>
      </c>
      <c r="I870" s="21">
        <v>339.51</v>
      </c>
    </row>
    <row r="871" spans="1:9" ht="15" customHeight="1" x14ac:dyDescent="0.3">
      <c r="A871" s="21" t="s">
        <v>1242</v>
      </c>
      <c r="B871" s="21">
        <v>2018</v>
      </c>
      <c r="C871" s="21">
        <v>12</v>
      </c>
      <c r="D871" s="21">
        <v>9</v>
      </c>
      <c r="E871" s="21" t="s">
        <v>319</v>
      </c>
      <c r="F871" s="21">
        <v>1</v>
      </c>
      <c r="G871" s="21">
        <v>17.149999999999999</v>
      </c>
      <c r="H871" s="21">
        <v>581.97</v>
      </c>
      <c r="I871" s="21">
        <v>339.34</v>
      </c>
    </row>
    <row r="872" spans="1:9" ht="15" customHeight="1" x14ac:dyDescent="0.3">
      <c r="A872" s="21" t="s">
        <v>1243</v>
      </c>
      <c r="B872" s="21">
        <v>2018</v>
      </c>
      <c r="C872" s="21">
        <v>12</v>
      </c>
      <c r="D872" s="21">
        <v>10</v>
      </c>
      <c r="E872" s="21" t="s">
        <v>299</v>
      </c>
      <c r="F872" s="21">
        <v>0</v>
      </c>
      <c r="G872" s="21">
        <v>20.12</v>
      </c>
      <c r="H872" s="21">
        <v>682.88</v>
      </c>
      <c r="I872" s="21">
        <v>339.4</v>
      </c>
    </row>
    <row r="873" spans="1:9" ht="15" customHeight="1" x14ac:dyDescent="0.3">
      <c r="A873" s="21" t="s">
        <v>1244</v>
      </c>
      <c r="B873" s="21">
        <v>2018</v>
      </c>
      <c r="C873" s="21">
        <v>12</v>
      </c>
      <c r="D873" s="21">
        <v>11</v>
      </c>
      <c r="E873" s="21" t="s">
        <v>303</v>
      </c>
      <c r="F873" s="21">
        <v>0</v>
      </c>
      <c r="G873" s="21">
        <v>20.96</v>
      </c>
      <c r="H873" s="21">
        <v>711.37</v>
      </c>
      <c r="I873" s="21">
        <v>339.39</v>
      </c>
    </row>
    <row r="874" spans="1:9" ht="15" customHeight="1" x14ac:dyDescent="0.3">
      <c r="A874" s="21" t="s">
        <v>1245</v>
      </c>
      <c r="B874" s="21">
        <v>2018</v>
      </c>
      <c r="C874" s="21">
        <v>12</v>
      </c>
      <c r="D874" s="21">
        <v>12</v>
      </c>
      <c r="E874" s="21" t="s">
        <v>307</v>
      </c>
      <c r="F874" s="21">
        <v>0</v>
      </c>
      <c r="G874" s="21">
        <v>21.11</v>
      </c>
      <c r="H874" s="21">
        <v>716.43</v>
      </c>
      <c r="I874" s="21">
        <v>339.38</v>
      </c>
    </row>
    <row r="875" spans="1:9" ht="15" customHeight="1" x14ac:dyDescent="0.3">
      <c r="A875" s="21" t="s">
        <v>1246</v>
      </c>
      <c r="B875" s="21">
        <v>2018</v>
      </c>
      <c r="C875" s="21">
        <v>12</v>
      </c>
      <c r="D875" s="21">
        <v>13</v>
      </c>
      <c r="E875" s="21" t="s">
        <v>310</v>
      </c>
      <c r="F875" s="21">
        <v>0</v>
      </c>
      <c r="G875" s="21">
        <v>19.66</v>
      </c>
      <c r="H875" s="21">
        <v>667.31</v>
      </c>
      <c r="I875" s="21">
        <v>339.43</v>
      </c>
    </row>
    <row r="876" spans="1:9" ht="15" customHeight="1" x14ac:dyDescent="0.3">
      <c r="A876" s="21" t="s">
        <v>1247</v>
      </c>
      <c r="B876" s="21">
        <v>2018</v>
      </c>
      <c r="C876" s="21">
        <v>12</v>
      </c>
      <c r="D876" s="21">
        <v>14</v>
      </c>
      <c r="E876" s="21" t="s">
        <v>313</v>
      </c>
      <c r="F876" s="21">
        <v>0</v>
      </c>
      <c r="G876" s="21">
        <v>21.4</v>
      </c>
      <c r="H876" s="21">
        <v>726.28</v>
      </c>
      <c r="I876" s="21">
        <v>339.38</v>
      </c>
    </row>
    <row r="877" spans="1:9" ht="15" customHeight="1" x14ac:dyDescent="0.3">
      <c r="A877" s="21" t="s">
        <v>1248</v>
      </c>
      <c r="B877" s="21">
        <v>2018</v>
      </c>
      <c r="C877" s="21">
        <v>12</v>
      </c>
      <c r="D877" s="21">
        <v>15</v>
      </c>
      <c r="E877" s="21" t="s">
        <v>316</v>
      </c>
      <c r="F877" s="21">
        <v>1</v>
      </c>
      <c r="G877" s="21">
        <v>17.2</v>
      </c>
      <c r="H877" s="21">
        <v>583.66999999999996</v>
      </c>
      <c r="I877" s="21">
        <v>339.34</v>
      </c>
    </row>
    <row r="878" spans="1:9" ht="15" customHeight="1" x14ac:dyDescent="0.3">
      <c r="A878" s="21" t="s">
        <v>1249</v>
      </c>
      <c r="B878" s="21">
        <v>2018</v>
      </c>
      <c r="C878" s="21">
        <v>12</v>
      </c>
      <c r="D878" s="21">
        <v>16</v>
      </c>
      <c r="E878" s="21" t="s">
        <v>319</v>
      </c>
      <c r="F878" s="21">
        <v>1</v>
      </c>
      <c r="G878" s="21">
        <v>17.23</v>
      </c>
      <c r="H878" s="21">
        <v>584.66</v>
      </c>
      <c r="I878" s="21">
        <v>339.33</v>
      </c>
    </row>
    <row r="879" spans="1:9" ht="15" customHeight="1" x14ac:dyDescent="0.3">
      <c r="A879" s="21" t="s">
        <v>1250</v>
      </c>
      <c r="B879" s="21">
        <v>2018</v>
      </c>
      <c r="C879" s="21">
        <v>12</v>
      </c>
      <c r="D879" s="21">
        <v>17</v>
      </c>
      <c r="E879" s="21" t="s">
        <v>299</v>
      </c>
      <c r="F879" s="21">
        <v>0</v>
      </c>
      <c r="G879" s="21">
        <v>21.43</v>
      </c>
      <c r="H879" s="21">
        <v>727.23</v>
      </c>
      <c r="I879" s="21">
        <v>339.35</v>
      </c>
    </row>
    <row r="880" spans="1:9" ht="15" customHeight="1" x14ac:dyDescent="0.3">
      <c r="A880" s="21" t="s">
        <v>1251</v>
      </c>
      <c r="B880" s="21">
        <v>2018</v>
      </c>
      <c r="C880" s="21">
        <v>12</v>
      </c>
      <c r="D880" s="21">
        <v>18</v>
      </c>
      <c r="E880" s="21" t="s">
        <v>303</v>
      </c>
      <c r="F880" s="21">
        <v>0</v>
      </c>
      <c r="G880" s="21">
        <v>21.24</v>
      </c>
      <c r="H880" s="21">
        <v>720.8</v>
      </c>
      <c r="I880" s="21">
        <v>339.36</v>
      </c>
    </row>
    <row r="881" spans="1:9" ht="15" customHeight="1" x14ac:dyDescent="0.3">
      <c r="A881" s="21" t="s">
        <v>1252</v>
      </c>
      <c r="B881" s="21">
        <v>2018</v>
      </c>
      <c r="C881" s="21">
        <v>12</v>
      </c>
      <c r="D881" s="21">
        <v>19</v>
      </c>
      <c r="E881" s="21" t="s">
        <v>307</v>
      </c>
      <c r="F881" s="21">
        <v>0</v>
      </c>
      <c r="G881" s="21">
        <v>19.920000000000002</v>
      </c>
      <c r="H881" s="21">
        <v>676.2</v>
      </c>
      <c r="I881" s="21">
        <v>339.46</v>
      </c>
    </row>
    <row r="882" spans="1:9" ht="15" customHeight="1" x14ac:dyDescent="0.3">
      <c r="A882" s="21" t="s">
        <v>1253</v>
      </c>
      <c r="B882" s="21">
        <v>2018</v>
      </c>
      <c r="C882" s="21">
        <v>12</v>
      </c>
      <c r="D882" s="21">
        <v>20</v>
      </c>
      <c r="E882" s="21" t="s">
        <v>310</v>
      </c>
      <c r="F882" s="21">
        <v>0</v>
      </c>
      <c r="G882" s="21">
        <v>19.55</v>
      </c>
      <c r="H882" s="21">
        <v>663.53</v>
      </c>
      <c r="I882" s="21">
        <v>339.4</v>
      </c>
    </row>
    <row r="883" spans="1:9" ht="15" customHeight="1" x14ac:dyDescent="0.3">
      <c r="A883" s="21" t="s">
        <v>1254</v>
      </c>
      <c r="B883" s="21">
        <v>2018</v>
      </c>
      <c r="C883" s="21">
        <v>12</v>
      </c>
      <c r="D883" s="21">
        <v>21</v>
      </c>
      <c r="E883" s="21" t="s">
        <v>313</v>
      </c>
      <c r="F883" s="21">
        <v>0</v>
      </c>
      <c r="G883" s="21">
        <v>20.8</v>
      </c>
      <c r="H883" s="21">
        <v>706.06</v>
      </c>
      <c r="I883" s="21">
        <v>339.45</v>
      </c>
    </row>
    <row r="884" spans="1:9" ht="15" customHeight="1" x14ac:dyDescent="0.3">
      <c r="A884" s="21" t="s">
        <v>1255</v>
      </c>
      <c r="B884" s="21">
        <v>2018</v>
      </c>
      <c r="C884" s="21">
        <v>12</v>
      </c>
      <c r="D884" s="21">
        <v>22</v>
      </c>
      <c r="E884" s="21" t="s">
        <v>316</v>
      </c>
      <c r="F884" s="21">
        <v>1</v>
      </c>
      <c r="G884" s="21">
        <v>16.59</v>
      </c>
      <c r="H884" s="21">
        <v>562.92999999999995</v>
      </c>
      <c r="I884" s="21">
        <v>339.32</v>
      </c>
    </row>
    <row r="885" spans="1:9" ht="15" customHeight="1" x14ac:dyDescent="0.3">
      <c r="A885" s="21" t="s">
        <v>1256</v>
      </c>
      <c r="B885" s="21">
        <v>2018</v>
      </c>
      <c r="C885" s="21">
        <v>12</v>
      </c>
      <c r="D885" s="21">
        <v>23</v>
      </c>
      <c r="E885" s="21" t="s">
        <v>319</v>
      </c>
      <c r="F885" s="21">
        <v>1</v>
      </c>
      <c r="G885" s="21">
        <v>17</v>
      </c>
      <c r="H885" s="21">
        <v>577.16</v>
      </c>
      <c r="I885" s="21">
        <v>339.51</v>
      </c>
    </row>
    <row r="886" spans="1:9" ht="15" customHeight="1" x14ac:dyDescent="0.3">
      <c r="A886" s="21" t="s">
        <v>1257</v>
      </c>
      <c r="B886" s="21">
        <v>2018</v>
      </c>
      <c r="C886" s="21">
        <v>12</v>
      </c>
      <c r="D886" s="21">
        <v>24</v>
      </c>
      <c r="E886" s="21" t="s">
        <v>299</v>
      </c>
      <c r="F886" s="21">
        <v>0</v>
      </c>
      <c r="G886" s="21">
        <v>22.11</v>
      </c>
      <c r="H886" s="21">
        <v>750.4</v>
      </c>
      <c r="I886" s="21">
        <v>339.39</v>
      </c>
    </row>
    <row r="887" spans="1:9" ht="15" customHeight="1" x14ac:dyDescent="0.3">
      <c r="A887" s="21" t="s">
        <v>1258</v>
      </c>
      <c r="B887" s="21">
        <v>2018</v>
      </c>
      <c r="C887" s="21">
        <v>12</v>
      </c>
      <c r="D887" s="21">
        <v>25</v>
      </c>
      <c r="E887" s="21" t="s">
        <v>303</v>
      </c>
      <c r="F887" s="21">
        <v>0</v>
      </c>
      <c r="G887" s="21">
        <v>19.72</v>
      </c>
      <c r="H887" s="21">
        <v>669.25</v>
      </c>
      <c r="I887" s="21">
        <v>339.38</v>
      </c>
    </row>
    <row r="888" spans="1:9" ht="15" customHeight="1" x14ac:dyDescent="0.3">
      <c r="A888" s="21" t="s">
        <v>1259</v>
      </c>
      <c r="B888" s="21">
        <v>2018</v>
      </c>
      <c r="C888" s="21">
        <v>12</v>
      </c>
      <c r="D888" s="21">
        <v>26</v>
      </c>
      <c r="E888" s="21" t="s">
        <v>307</v>
      </c>
      <c r="F888" s="21">
        <v>0</v>
      </c>
      <c r="G888" s="21">
        <v>20.16</v>
      </c>
      <c r="H888" s="21">
        <v>684.37</v>
      </c>
      <c r="I888" s="21">
        <v>339.47</v>
      </c>
    </row>
    <row r="889" spans="1:9" ht="15" customHeight="1" x14ac:dyDescent="0.3">
      <c r="A889" s="21" t="s">
        <v>1260</v>
      </c>
      <c r="B889" s="21">
        <v>2018</v>
      </c>
      <c r="C889" s="21">
        <v>12</v>
      </c>
      <c r="D889" s="21">
        <v>27</v>
      </c>
      <c r="E889" s="21" t="s">
        <v>310</v>
      </c>
      <c r="F889" s="21">
        <v>0</v>
      </c>
      <c r="G889" s="21">
        <v>20.02</v>
      </c>
      <c r="H889" s="21">
        <v>679.47</v>
      </c>
      <c r="I889" s="21">
        <v>339.4</v>
      </c>
    </row>
    <row r="890" spans="1:9" ht="15" customHeight="1" x14ac:dyDescent="0.3">
      <c r="A890" s="21" t="s">
        <v>1261</v>
      </c>
      <c r="B890" s="21">
        <v>2018</v>
      </c>
      <c r="C890" s="21">
        <v>12</v>
      </c>
      <c r="D890" s="21">
        <v>28</v>
      </c>
      <c r="E890" s="21" t="s">
        <v>313</v>
      </c>
      <c r="F890" s="21">
        <v>0</v>
      </c>
      <c r="G890" s="21">
        <v>22.35</v>
      </c>
      <c r="H890" s="21">
        <v>758.43</v>
      </c>
      <c r="I890" s="21">
        <v>339.34</v>
      </c>
    </row>
    <row r="891" spans="1:9" ht="15" customHeight="1" x14ac:dyDescent="0.3">
      <c r="A891" s="21" t="s">
        <v>1262</v>
      </c>
      <c r="B891" s="21">
        <v>2018</v>
      </c>
      <c r="C891" s="21">
        <v>12</v>
      </c>
      <c r="D891" s="21">
        <v>29</v>
      </c>
      <c r="E891" s="21" t="s">
        <v>316</v>
      </c>
      <c r="F891" s="21">
        <v>1</v>
      </c>
      <c r="G891" s="21">
        <v>18.54</v>
      </c>
      <c r="H891" s="21">
        <v>629.37</v>
      </c>
      <c r="I891" s="21">
        <v>339.47</v>
      </c>
    </row>
    <row r="892" spans="1:9" ht="15" customHeight="1" x14ac:dyDescent="0.3">
      <c r="A892" s="21" t="s">
        <v>1263</v>
      </c>
      <c r="B892" s="21">
        <v>2018</v>
      </c>
      <c r="C892" s="21">
        <v>12</v>
      </c>
      <c r="D892" s="21">
        <v>30</v>
      </c>
      <c r="E892" s="21" t="s">
        <v>319</v>
      </c>
      <c r="F892" s="21">
        <v>1</v>
      </c>
      <c r="G892" s="21">
        <v>19.21</v>
      </c>
      <c r="H892" s="21">
        <v>652.05999999999995</v>
      </c>
      <c r="I892" s="21">
        <v>339.44</v>
      </c>
    </row>
    <row r="893" spans="1:9" ht="15" customHeight="1" x14ac:dyDescent="0.3">
      <c r="A893" s="21" t="s">
        <v>1264</v>
      </c>
      <c r="B893" s="21">
        <v>2018</v>
      </c>
      <c r="C893" s="21">
        <v>12</v>
      </c>
      <c r="D893" s="21">
        <v>31</v>
      </c>
      <c r="E893" s="21" t="s">
        <v>299</v>
      </c>
      <c r="F893" s="21">
        <v>0</v>
      </c>
      <c r="G893" s="21">
        <v>23.85</v>
      </c>
      <c r="H893" s="21">
        <v>809.39</v>
      </c>
      <c r="I893" s="21">
        <v>339.37</v>
      </c>
    </row>
    <row r="894" spans="1:9" ht="15" customHeight="1" x14ac:dyDescent="0.3">
      <c r="A894" s="21" t="s">
        <v>127</v>
      </c>
      <c r="B894" s="21">
        <v>2019</v>
      </c>
      <c r="C894" s="21">
        <v>1</v>
      </c>
      <c r="D894" s="21">
        <v>1</v>
      </c>
      <c r="E894" s="21" t="s">
        <v>303</v>
      </c>
      <c r="F894" s="21">
        <v>0</v>
      </c>
      <c r="G894" s="21">
        <v>25.74</v>
      </c>
      <c r="H894" s="21">
        <v>883.4</v>
      </c>
      <c r="I894" s="21">
        <v>343.2</v>
      </c>
    </row>
    <row r="895" spans="1:9" ht="15" customHeight="1" x14ac:dyDescent="0.3">
      <c r="A895" s="21" t="s">
        <v>1265</v>
      </c>
      <c r="B895" s="21">
        <v>2019</v>
      </c>
      <c r="C895" s="21">
        <v>1</v>
      </c>
      <c r="D895" s="21">
        <v>2</v>
      </c>
      <c r="E895" s="21" t="s">
        <v>307</v>
      </c>
      <c r="F895" s="21">
        <v>0</v>
      </c>
      <c r="G895" s="21">
        <v>25.47</v>
      </c>
      <c r="H895" s="21">
        <v>874.09</v>
      </c>
      <c r="I895" s="21">
        <v>343.18</v>
      </c>
    </row>
    <row r="896" spans="1:9" ht="15" customHeight="1" x14ac:dyDescent="0.3">
      <c r="A896" s="21" t="s">
        <v>1266</v>
      </c>
      <c r="B896" s="21">
        <v>2019</v>
      </c>
      <c r="C896" s="21">
        <v>1</v>
      </c>
      <c r="D896" s="21">
        <v>3</v>
      </c>
      <c r="E896" s="21" t="s">
        <v>310</v>
      </c>
      <c r="F896" s="21">
        <v>0</v>
      </c>
      <c r="G896" s="21">
        <v>22.9</v>
      </c>
      <c r="H896" s="21">
        <v>786.1</v>
      </c>
      <c r="I896" s="21">
        <v>343.28</v>
      </c>
    </row>
    <row r="897" spans="1:9" ht="15" customHeight="1" x14ac:dyDescent="0.3">
      <c r="A897" s="21" t="s">
        <v>1267</v>
      </c>
      <c r="B897" s="21">
        <v>2019</v>
      </c>
      <c r="C897" s="21">
        <v>1</v>
      </c>
      <c r="D897" s="21">
        <v>4</v>
      </c>
      <c r="E897" s="21" t="s">
        <v>313</v>
      </c>
      <c r="F897" s="21">
        <v>0</v>
      </c>
      <c r="G897" s="21">
        <v>23.82</v>
      </c>
      <c r="H897" s="21">
        <v>817.47</v>
      </c>
      <c r="I897" s="21">
        <v>343.19</v>
      </c>
    </row>
    <row r="898" spans="1:9" ht="15" customHeight="1" x14ac:dyDescent="0.3">
      <c r="A898" s="21" t="s">
        <v>1268</v>
      </c>
      <c r="B898" s="21">
        <v>2019</v>
      </c>
      <c r="C898" s="21">
        <v>1</v>
      </c>
      <c r="D898" s="21">
        <v>5</v>
      </c>
      <c r="E898" s="21" t="s">
        <v>316</v>
      </c>
      <c r="F898" s="21">
        <v>1</v>
      </c>
      <c r="G898" s="21">
        <v>18.21</v>
      </c>
      <c r="H898" s="21">
        <v>625.08000000000004</v>
      </c>
      <c r="I898" s="21">
        <v>343.26</v>
      </c>
    </row>
    <row r="899" spans="1:9" ht="15" customHeight="1" x14ac:dyDescent="0.3">
      <c r="A899" s="21" t="s">
        <v>1269</v>
      </c>
      <c r="B899" s="21">
        <v>2019</v>
      </c>
      <c r="C899" s="21">
        <v>1</v>
      </c>
      <c r="D899" s="21">
        <v>6</v>
      </c>
      <c r="E899" s="21" t="s">
        <v>319</v>
      </c>
      <c r="F899" s="21">
        <v>1</v>
      </c>
      <c r="G899" s="21">
        <v>18.829999999999998</v>
      </c>
      <c r="H899" s="21">
        <v>646.30999999999995</v>
      </c>
      <c r="I899" s="21">
        <v>343.23</v>
      </c>
    </row>
    <row r="900" spans="1:9" ht="15" customHeight="1" x14ac:dyDescent="0.3">
      <c r="A900" s="21" t="s">
        <v>1270</v>
      </c>
      <c r="B900" s="21">
        <v>2019</v>
      </c>
      <c r="C900" s="21">
        <v>1</v>
      </c>
      <c r="D900" s="21">
        <v>7</v>
      </c>
      <c r="E900" s="21" t="s">
        <v>299</v>
      </c>
      <c r="F900" s="21">
        <v>0</v>
      </c>
      <c r="G900" s="21">
        <v>23.51</v>
      </c>
      <c r="H900" s="21">
        <v>806.85</v>
      </c>
      <c r="I900" s="21">
        <v>343.19</v>
      </c>
    </row>
    <row r="901" spans="1:9" ht="15" customHeight="1" x14ac:dyDescent="0.3">
      <c r="A901" s="21" t="s">
        <v>1271</v>
      </c>
      <c r="B901" s="21">
        <v>2019</v>
      </c>
      <c r="C901" s="21">
        <v>1</v>
      </c>
      <c r="D901" s="21">
        <v>8</v>
      </c>
      <c r="E901" s="21" t="s">
        <v>303</v>
      </c>
      <c r="F901" s="21">
        <v>0</v>
      </c>
      <c r="G901" s="21">
        <v>22.23</v>
      </c>
      <c r="H901" s="21">
        <v>763.17</v>
      </c>
      <c r="I901" s="21">
        <v>343.31</v>
      </c>
    </row>
    <row r="902" spans="1:9" ht="15" customHeight="1" x14ac:dyDescent="0.3">
      <c r="A902" s="21" t="s">
        <v>1272</v>
      </c>
      <c r="B902" s="21">
        <v>2019</v>
      </c>
      <c r="C902" s="21">
        <v>1</v>
      </c>
      <c r="D902" s="21">
        <v>9</v>
      </c>
      <c r="E902" s="21" t="s">
        <v>307</v>
      </c>
      <c r="F902" s="21">
        <v>0</v>
      </c>
      <c r="G902" s="21">
        <v>22.03</v>
      </c>
      <c r="H902" s="21">
        <v>756.17</v>
      </c>
      <c r="I902" s="21">
        <v>343.25</v>
      </c>
    </row>
    <row r="903" spans="1:9" ht="15" customHeight="1" x14ac:dyDescent="0.3">
      <c r="A903" s="21" t="s">
        <v>1273</v>
      </c>
      <c r="B903" s="21">
        <v>2019</v>
      </c>
      <c r="C903" s="21">
        <v>1</v>
      </c>
      <c r="D903" s="21">
        <v>10</v>
      </c>
      <c r="E903" s="21" t="s">
        <v>310</v>
      </c>
      <c r="F903" s="21">
        <v>0</v>
      </c>
      <c r="G903" s="21">
        <v>22.39</v>
      </c>
      <c r="H903" s="21">
        <v>768.67</v>
      </c>
      <c r="I903" s="21">
        <v>343.31</v>
      </c>
    </row>
    <row r="904" spans="1:9" ht="15" customHeight="1" x14ac:dyDescent="0.3">
      <c r="A904" s="21" t="s">
        <v>1274</v>
      </c>
      <c r="B904" s="21">
        <v>2019</v>
      </c>
      <c r="C904" s="21">
        <v>1</v>
      </c>
      <c r="D904" s="21">
        <v>11</v>
      </c>
      <c r="E904" s="21" t="s">
        <v>313</v>
      </c>
      <c r="F904" s="21">
        <v>0</v>
      </c>
      <c r="G904" s="21">
        <v>24.2</v>
      </c>
      <c r="H904" s="21">
        <v>830.55</v>
      </c>
      <c r="I904" s="21">
        <v>343.2</v>
      </c>
    </row>
    <row r="905" spans="1:9" ht="15" customHeight="1" x14ac:dyDescent="0.3">
      <c r="A905" s="21" t="s">
        <v>1275</v>
      </c>
      <c r="B905" s="21">
        <v>2019</v>
      </c>
      <c r="C905" s="21">
        <v>1</v>
      </c>
      <c r="D905" s="21">
        <v>12</v>
      </c>
      <c r="E905" s="21" t="s">
        <v>316</v>
      </c>
      <c r="F905" s="21">
        <v>1</v>
      </c>
      <c r="G905" s="21">
        <v>19.34</v>
      </c>
      <c r="H905" s="21">
        <v>664</v>
      </c>
      <c r="I905" s="21">
        <v>343.33</v>
      </c>
    </row>
    <row r="906" spans="1:9" ht="15" customHeight="1" x14ac:dyDescent="0.3">
      <c r="A906" s="21" t="s">
        <v>1276</v>
      </c>
      <c r="B906" s="21">
        <v>2019</v>
      </c>
      <c r="C906" s="21">
        <v>1</v>
      </c>
      <c r="D906" s="21">
        <v>13</v>
      </c>
      <c r="E906" s="21" t="s">
        <v>319</v>
      </c>
      <c r="F906" s="21">
        <v>1</v>
      </c>
      <c r="G906" s="21">
        <v>18.87</v>
      </c>
      <c r="H906" s="21">
        <v>647.61</v>
      </c>
      <c r="I906" s="21">
        <v>343.2</v>
      </c>
    </row>
    <row r="907" spans="1:9" ht="15" customHeight="1" x14ac:dyDescent="0.3">
      <c r="A907" s="21" t="s">
        <v>1277</v>
      </c>
      <c r="B907" s="21">
        <v>2019</v>
      </c>
      <c r="C907" s="21">
        <v>1</v>
      </c>
      <c r="D907" s="21">
        <v>14</v>
      </c>
      <c r="E907" s="21" t="s">
        <v>299</v>
      </c>
      <c r="F907" s="21">
        <v>0</v>
      </c>
      <c r="G907" s="21">
        <v>22.68</v>
      </c>
      <c r="H907" s="21">
        <v>778.35</v>
      </c>
      <c r="I907" s="21">
        <v>343.19</v>
      </c>
    </row>
    <row r="908" spans="1:9" ht="15" customHeight="1" x14ac:dyDescent="0.3">
      <c r="A908" s="21" t="s">
        <v>1278</v>
      </c>
      <c r="B908" s="21">
        <v>2019</v>
      </c>
      <c r="C908" s="21">
        <v>1</v>
      </c>
      <c r="D908" s="21">
        <v>15</v>
      </c>
      <c r="E908" s="21" t="s">
        <v>303</v>
      </c>
      <c r="F908" s="21">
        <v>0</v>
      </c>
      <c r="G908" s="21">
        <v>21.8</v>
      </c>
      <c r="H908" s="21">
        <v>748.12</v>
      </c>
      <c r="I908" s="21">
        <v>343.17</v>
      </c>
    </row>
    <row r="909" spans="1:9" ht="15" customHeight="1" x14ac:dyDescent="0.3">
      <c r="A909" s="21" t="s">
        <v>1279</v>
      </c>
      <c r="B909" s="21">
        <v>2019</v>
      </c>
      <c r="C909" s="21">
        <v>1</v>
      </c>
      <c r="D909" s="21">
        <v>16</v>
      </c>
      <c r="E909" s="21" t="s">
        <v>307</v>
      </c>
      <c r="F909" s="21">
        <v>0</v>
      </c>
      <c r="G909" s="21">
        <v>22.49</v>
      </c>
      <c r="H909" s="21">
        <v>771.8</v>
      </c>
      <c r="I909" s="21">
        <v>343.17</v>
      </c>
    </row>
    <row r="910" spans="1:9" ht="15" customHeight="1" x14ac:dyDescent="0.3">
      <c r="A910" s="21" t="s">
        <v>1280</v>
      </c>
      <c r="B910" s="21">
        <v>2019</v>
      </c>
      <c r="C910" s="21">
        <v>1</v>
      </c>
      <c r="D910" s="21">
        <v>17</v>
      </c>
      <c r="E910" s="21" t="s">
        <v>310</v>
      </c>
      <c r="F910" s="21">
        <v>0</v>
      </c>
      <c r="G910" s="21">
        <v>21.17</v>
      </c>
      <c r="H910" s="21">
        <v>726.58</v>
      </c>
      <c r="I910" s="21">
        <v>343.21</v>
      </c>
    </row>
    <row r="911" spans="1:9" ht="15" customHeight="1" x14ac:dyDescent="0.3">
      <c r="A911" s="21" t="s">
        <v>1281</v>
      </c>
      <c r="B911" s="21">
        <v>2019</v>
      </c>
      <c r="C911" s="21">
        <v>1</v>
      </c>
      <c r="D911" s="21">
        <v>18</v>
      </c>
      <c r="E911" s="21" t="s">
        <v>313</v>
      </c>
      <c r="F911" s="21">
        <v>0</v>
      </c>
      <c r="G911" s="21">
        <v>23.68</v>
      </c>
      <c r="H911" s="21">
        <v>812.66</v>
      </c>
      <c r="I911" s="21">
        <v>343.18</v>
      </c>
    </row>
    <row r="912" spans="1:9" ht="15" customHeight="1" x14ac:dyDescent="0.3">
      <c r="A912" s="21" t="s">
        <v>1282</v>
      </c>
      <c r="B912" s="21">
        <v>2019</v>
      </c>
      <c r="C912" s="21">
        <v>1</v>
      </c>
      <c r="D912" s="21">
        <v>19</v>
      </c>
      <c r="E912" s="21" t="s">
        <v>316</v>
      </c>
      <c r="F912" s="21">
        <v>1</v>
      </c>
      <c r="G912" s="21">
        <v>18.190000000000001</v>
      </c>
      <c r="H912" s="21">
        <v>624.32000000000005</v>
      </c>
      <c r="I912" s="21">
        <v>343.22</v>
      </c>
    </row>
    <row r="913" spans="1:9" ht="15" customHeight="1" x14ac:dyDescent="0.3">
      <c r="A913" s="21" t="s">
        <v>1283</v>
      </c>
      <c r="B913" s="21">
        <v>2019</v>
      </c>
      <c r="C913" s="21">
        <v>1</v>
      </c>
      <c r="D913" s="21">
        <v>20</v>
      </c>
      <c r="E913" s="21" t="s">
        <v>319</v>
      </c>
      <c r="F913" s="21">
        <v>1</v>
      </c>
      <c r="G913" s="21">
        <v>18.46</v>
      </c>
      <c r="H913" s="21">
        <v>633.76</v>
      </c>
      <c r="I913" s="21">
        <v>343.32</v>
      </c>
    </row>
    <row r="914" spans="1:9" ht="15" customHeight="1" x14ac:dyDescent="0.3">
      <c r="A914" s="21" t="s">
        <v>1284</v>
      </c>
      <c r="B914" s="21">
        <v>2019</v>
      </c>
      <c r="C914" s="21">
        <v>1</v>
      </c>
      <c r="D914" s="21">
        <v>21</v>
      </c>
      <c r="E914" s="21" t="s">
        <v>299</v>
      </c>
      <c r="F914" s="21">
        <v>0</v>
      </c>
      <c r="G914" s="21">
        <v>23.62</v>
      </c>
      <c r="H914" s="21">
        <v>810.65</v>
      </c>
      <c r="I914" s="21">
        <v>343.2</v>
      </c>
    </row>
    <row r="915" spans="1:9" ht="15" customHeight="1" x14ac:dyDescent="0.3">
      <c r="A915" s="21" t="s">
        <v>1285</v>
      </c>
      <c r="B915" s="21">
        <v>2019</v>
      </c>
      <c r="C915" s="21">
        <v>1</v>
      </c>
      <c r="D915" s="21">
        <v>22</v>
      </c>
      <c r="E915" s="21" t="s">
        <v>303</v>
      </c>
      <c r="F915" s="21">
        <v>0</v>
      </c>
      <c r="G915" s="21">
        <v>21.82</v>
      </c>
      <c r="H915" s="21">
        <v>749.11</v>
      </c>
      <c r="I915" s="21">
        <v>343.31</v>
      </c>
    </row>
    <row r="916" spans="1:9" ht="15" customHeight="1" x14ac:dyDescent="0.3">
      <c r="A916" s="21" t="s">
        <v>1286</v>
      </c>
      <c r="B916" s="21">
        <v>2019</v>
      </c>
      <c r="C916" s="21">
        <v>1</v>
      </c>
      <c r="D916" s="21">
        <v>23</v>
      </c>
      <c r="E916" s="21" t="s">
        <v>307</v>
      </c>
      <c r="F916" s="21">
        <v>0</v>
      </c>
      <c r="G916" s="21">
        <v>21.73</v>
      </c>
      <c r="H916" s="21">
        <v>745.88</v>
      </c>
      <c r="I916" s="21">
        <v>343.25</v>
      </c>
    </row>
    <row r="917" spans="1:9" ht="15" customHeight="1" x14ac:dyDescent="0.3">
      <c r="A917" s="21" t="s">
        <v>1287</v>
      </c>
      <c r="B917" s="21">
        <v>2019</v>
      </c>
      <c r="C917" s="21">
        <v>1</v>
      </c>
      <c r="D917" s="21">
        <v>24</v>
      </c>
      <c r="E917" s="21" t="s">
        <v>310</v>
      </c>
      <c r="F917" s="21">
        <v>0</v>
      </c>
      <c r="G917" s="21">
        <v>20.81</v>
      </c>
      <c r="H917" s="21">
        <v>714.45</v>
      </c>
      <c r="I917" s="21">
        <v>343.32</v>
      </c>
    </row>
    <row r="918" spans="1:9" ht="15" customHeight="1" x14ac:dyDescent="0.3">
      <c r="A918" s="21" t="s">
        <v>1288</v>
      </c>
      <c r="B918" s="21">
        <v>2019</v>
      </c>
      <c r="C918" s="21">
        <v>1</v>
      </c>
      <c r="D918" s="21">
        <v>25</v>
      </c>
      <c r="E918" s="21" t="s">
        <v>313</v>
      </c>
      <c r="F918" s="21">
        <v>0</v>
      </c>
      <c r="G918" s="21">
        <v>23.92</v>
      </c>
      <c r="H918" s="21">
        <v>821.1</v>
      </c>
      <c r="I918" s="21">
        <v>343.27</v>
      </c>
    </row>
    <row r="919" spans="1:9" ht="15" customHeight="1" x14ac:dyDescent="0.3">
      <c r="A919" s="21" t="s">
        <v>1289</v>
      </c>
      <c r="B919" s="21">
        <v>2019</v>
      </c>
      <c r="C919" s="21">
        <v>1</v>
      </c>
      <c r="D919" s="21">
        <v>26</v>
      </c>
      <c r="E919" s="21" t="s">
        <v>316</v>
      </c>
      <c r="F919" s="21">
        <v>1</v>
      </c>
      <c r="G919" s="21">
        <v>18.87</v>
      </c>
      <c r="H919" s="21">
        <v>647.54</v>
      </c>
      <c r="I919" s="21">
        <v>343.16</v>
      </c>
    </row>
    <row r="920" spans="1:9" ht="15" customHeight="1" x14ac:dyDescent="0.3">
      <c r="A920" s="21" t="s">
        <v>1290</v>
      </c>
      <c r="B920" s="21">
        <v>2019</v>
      </c>
      <c r="C920" s="21">
        <v>1</v>
      </c>
      <c r="D920" s="21">
        <v>27</v>
      </c>
      <c r="E920" s="21" t="s">
        <v>319</v>
      </c>
      <c r="F920" s="21">
        <v>1</v>
      </c>
      <c r="G920" s="21">
        <v>19.850000000000001</v>
      </c>
      <c r="H920" s="21">
        <v>681.45</v>
      </c>
      <c r="I920" s="21">
        <v>343.3</v>
      </c>
    </row>
    <row r="921" spans="1:9" ht="15" customHeight="1" x14ac:dyDescent="0.3">
      <c r="A921" s="21" t="s">
        <v>1291</v>
      </c>
      <c r="B921" s="21">
        <v>2019</v>
      </c>
      <c r="C921" s="21">
        <v>1</v>
      </c>
      <c r="D921" s="21">
        <v>28</v>
      </c>
      <c r="E921" s="21" t="s">
        <v>299</v>
      </c>
      <c r="F921" s="21">
        <v>0</v>
      </c>
      <c r="G921" s="21">
        <v>22.58</v>
      </c>
      <c r="H921" s="21">
        <v>775.2</v>
      </c>
      <c r="I921" s="21">
        <v>343.31</v>
      </c>
    </row>
    <row r="922" spans="1:9" ht="15" customHeight="1" x14ac:dyDescent="0.3">
      <c r="A922" s="21" t="s">
        <v>1292</v>
      </c>
      <c r="B922" s="21">
        <v>2019</v>
      </c>
      <c r="C922" s="21">
        <v>1</v>
      </c>
      <c r="D922" s="21">
        <v>29</v>
      </c>
      <c r="E922" s="21" t="s">
        <v>303</v>
      </c>
      <c r="F922" s="21">
        <v>0</v>
      </c>
      <c r="G922" s="21">
        <v>21.84</v>
      </c>
      <c r="H922" s="21">
        <v>749.74</v>
      </c>
      <c r="I922" s="21">
        <v>343.29</v>
      </c>
    </row>
    <row r="923" spans="1:9" ht="15" customHeight="1" x14ac:dyDescent="0.3">
      <c r="A923" s="21" t="s">
        <v>1293</v>
      </c>
      <c r="B923" s="21">
        <v>2019</v>
      </c>
      <c r="C923" s="21">
        <v>1</v>
      </c>
      <c r="D923" s="21">
        <v>30</v>
      </c>
      <c r="E923" s="21" t="s">
        <v>307</v>
      </c>
      <c r="F923" s="21">
        <v>0</v>
      </c>
      <c r="G923" s="21">
        <v>25.14</v>
      </c>
      <c r="H923" s="21">
        <v>862.97</v>
      </c>
      <c r="I923" s="21">
        <v>343.27</v>
      </c>
    </row>
    <row r="924" spans="1:9" ht="15" customHeight="1" x14ac:dyDescent="0.3">
      <c r="A924" s="21" t="s">
        <v>1294</v>
      </c>
      <c r="B924" s="21">
        <v>2019</v>
      </c>
      <c r="C924" s="21">
        <v>1</v>
      </c>
      <c r="D924" s="21">
        <v>31</v>
      </c>
      <c r="E924" s="21" t="s">
        <v>310</v>
      </c>
      <c r="F924" s="21">
        <v>0</v>
      </c>
      <c r="G924" s="21">
        <v>26.14</v>
      </c>
      <c r="H924" s="21">
        <v>897.1</v>
      </c>
      <c r="I924" s="21">
        <v>343.19</v>
      </c>
    </row>
    <row r="925" spans="1:9" ht="15" customHeight="1" x14ac:dyDescent="0.3">
      <c r="A925" s="21" t="s">
        <v>128</v>
      </c>
      <c r="B925" s="21">
        <v>2019</v>
      </c>
      <c r="C925" s="21">
        <v>2</v>
      </c>
      <c r="D925" s="21">
        <v>1</v>
      </c>
      <c r="E925" s="21" t="s">
        <v>313</v>
      </c>
      <c r="F925" s="21">
        <v>0</v>
      </c>
      <c r="G925" s="21">
        <v>29.83</v>
      </c>
      <c r="H925" s="21">
        <v>1019.55</v>
      </c>
      <c r="I925" s="21">
        <v>341.79</v>
      </c>
    </row>
    <row r="926" spans="1:9" ht="15" customHeight="1" x14ac:dyDescent="0.3">
      <c r="A926" s="21" t="s">
        <v>1295</v>
      </c>
      <c r="B926" s="21">
        <v>2019</v>
      </c>
      <c r="C926" s="21">
        <v>2</v>
      </c>
      <c r="D926" s="21">
        <v>2</v>
      </c>
      <c r="E926" s="21" t="s">
        <v>316</v>
      </c>
      <c r="F926" s="21">
        <v>1</v>
      </c>
      <c r="G926" s="21">
        <v>23.77</v>
      </c>
      <c r="H926" s="21">
        <v>812.48</v>
      </c>
      <c r="I926" s="21">
        <v>341.81</v>
      </c>
    </row>
    <row r="927" spans="1:9" ht="15" customHeight="1" x14ac:dyDescent="0.3">
      <c r="A927" s="21" t="s">
        <v>1296</v>
      </c>
      <c r="B927" s="21">
        <v>2019</v>
      </c>
      <c r="C927" s="21">
        <v>2</v>
      </c>
      <c r="D927" s="21">
        <v>3</v>
      </c>
      <c r="E927" s="21" t="s">
        <v>319</v>
      </c>
      <c r="F927" s="21">
        <v>1</v>
      </c>
      <c r="G927" s="21">
        <v>20.91</v>
      </c>
      <c r="H927" s="21">
        <v>714.62</v>
      </c>
      <c r="I927" s="21">
        <v>341.76</v>
      </c>
    </row>
    <row r="928" spans="1:9" ht="15" customHeight="1" x14ac:dyDescent="0.3">
      <c r="A928" s="21" t="s">
        <v>1297</v>
      </c>
      <c r="B928" s="21">
        <v>2019</v>
      </c>
      <c r="C928" s="21">
        <v>2</v>
      </c>
      <c r="D928" s="21">
        <v>4</v>
      </c>
      <c r="E928" s="21" t="s">
        <v>299</v>
      </c>
      <c r="F928" s="21">
        <v>0</v>
      </c>
      <c r="G928" s="21">
        <v>25.42</v>
      </c>
      <c r="H928" s="21">
        <v>868.83</v>
      </c>
      <c r="I928" s="21">
        <v>341.79</v>
      </c>
    </row>
    <row r="929" spans="1:9" ht="15" customHeight="1" x14ac:dyDescent="0.3">
      <c r="A929" s="21" t="s">
        <v>1298</v>
      </c>
      <c r="B929" s="21">
        <v>2019</v>
      </c>
      <c r="C929" s="21">
        <v>2</v>
      </c>
      <c r="D929" s="21">
        <v>5</v>
      </c>
      <c r="E929" s="21" t="s">
        <v>303</v>
      </c>
      <c r="F929" s="21">
        <v>0</v>
      </c>
      <c r="G929" s="21">
        <v>23.76</v>
      </c>
      <c r="H929" s="21">
        <v>812.05</v>
      </c>
      <c r="I929" s="21">
        <v>341.77</v>
      </c>
    </row>
    <row r="930" spans="1:9" ht="15" customHeight="1" x14ac:dyDescent="0.3">
      <c r="A930" s="21" t="s">
        <v>1299</v>
      </c>
      <c r="B930" s="21">
        <v>2019</v>
      </c>
      <c r="C930" s="21">
        <v>2</v>
      </c>
      <c r="D930" s="21">
        <v>6</v>
      </c>
      <c r="E930" s="21" t="s">
        <v>307</v>
      </c>
      <c r="F930" s="21">
        <v>0</v>
      </c>
      <c r="G930" s="21">
        <v>24.22</v>
      </c>
      <c r="H930" s="21">
        <v>827.86</v>
      </c>
      <c r="I930" s="21">
        <v>341.81</v>
      </c>
    </row>
    <row r="931" spans="1:9" ht="15" customHeight="1" x14ac:dyDescent="0.3">
      <c r="A931" s="21" t="s">
        <v>1300</v>
      </c>
      <c r="B931" s="21">
        <v>2019</v>
      </c>
      <c r="C931" s="21">
        <v>2</v>
      </c>
      <c r="D931" s="21">
        <v>7</v>
      </c>
      <c r="E931" s="21" t="s">
        <v>310</v>
      </c>
      <c r="F931" s="21">
        <v>0</v>
      </c>
      <c r="G931" s="21">
        <v>24.85</v>
      </c>
      <c r="H931" s="21">
        <v>849.58</v>
      </c>
      <c r="I931" s="21">
        <v>341.88</v>
      </c>
    </row>
    <row r="932" spans="1:9" ht="15" customHeight="1" x14ac:dyDescent="0.3">
      <c r="A932" s="21" t="s">
        <v>1301</v>
      </c>
      <c r="B932" s="21">
        <v>2019</v>
      </c>
      <c r="C932" s="21">
        <v>2</v>
      </c>
      <c r="D932" s="21">
        <v>8</v>
      </c>
      <c r="E932" s="21" t="s">
        <v>313</v>
      </c>
      <c r="F932" s="21">
        <v>0</v>
      </c>
      <c r="G932" s="21">
        <v>25.26</v>
      </c>
      <c r="H932" s="21">
        <v>863.57</v>
      </c>
      <c r="I932" s="21">
        <v>341.87</v>
      </c>
    </row>
    <row r="933" spans="1:9" ht="15" customHeight="1" x14ac:dyDescent="0.3">
      <c r="A933" s="21" t="s">
        <v>1302</v>
      </c>
      <c r="B933" s="21">
        <v>2019</v>
      </c>
      <c r="C933" s="21">
        <v>2</v>
      </c>
      <c r="D933" s="21">
        <v>9</v>
      </c>
      <c r="E933" s="21" t="s">
        <v>316</v>
      </c>
      <c r="F933" s="21">
        <v>1</v>
      </c>
      <c r="G933" s="21">
        <v>20.56</v>
      </c>
      <c r="H933" s="21">
        <v>702.89</v>
      </c>
      <c r="I933" s="21">
        <v>341.87</v>
      </c>
    </row>
    <row r="934" spans="1:9" ht="15" customHeight="1" x14ac:dyDescent="0.3">
      <c r="A934" s="21" t="s">
        <v>1303</v>
      </c>
      <c r="B934" s="21">
        <v>2019</v>
      </c>
      <c r="C934" s="21">
        <v>2</v>
      </c>
      <c r="D934" s="21">
        <v>10</v>
      </c>
      <c r="E934" s="21" t="s">
        <v>319</v>
      </c>
      <c r="F934" s="21">
        <v>1</v>
      </c>
      <c r="G934" s="21">
        <v>19.96</v>
      </c>
      <c r="H934" s="21">
        <v>682.32</v>
      </c>
      <c r="I934" s="21">
        <v>341.84</v>
      </c>
    </row>
    <row r="935" spans="1:9" ht="15" customHeight="1" x14ac:dyDescent="0.3">
      <c r="A935" s="21" t="s">
        <v>1304</v>
      </c>
      <c r="B935" s="21">
        <v>2019</v>
      </c>
      <c r="C935" s="21">
        <v>2</v>
      </c>
      <c r="D935" s="21">
        <v>11</v>
      </c>
      <c r="E935" s="21" t="s">
        <v>299</v>
      </c>
      <c r="F935" s="21">
        <v>0</v>
      </c>
      <c r="G935" s="21">
        <v>26.15</v>
      </c>
      <c r="H935" s="21">
        <v>893.73</v>
      </c>
      <c r="I935" s="21">
        <v>341.77</v>
      </c>
    </row>
    <row r="936" spans="1:9" ht="15" customHeight="1" x14ac:dyDescent="0.3">
      <c r="A936" s="21" t="s">
        <v>1305</v>
      </c>
      <c r="B936" s="21">
        <v>2019</v>
      </c>
      <c r="C936" s="21">
        <v>2</v>
      </c>
      <c r="D936" s="21">
        <v>12</v>
      </c>
      <c r="E936" s="21" t="s">
        <v>303</v>
      </c>
      <c r="F936" s="21">
        <v>0</v>
      </c>
      <c r="G936" s="21">
        <v>22.98</v>
      </c>
      <c r="H936" s="21">
        <v>785.46</v>
      </c>
      <c r="I936" s="21">
        <v>341.8</v>
      </c>
    </row>
    <row r="937" spans="1:9" ht="15" customHeight="1" x14ac:dyDescent="0.3">
      <c r="A937" s="21" t="s">
        <v>1306</v>
      </c>
      <c r="B937" s="21">
        <v>2019</v>
      </c>
      <c r="C937" s="21">
        <v>2</v>
      </c>
      <c r="D937" s="21">
        <v>13</v>
      </c>
      <c r="E937" s="21" t="s">
        <v>307</v>
      </c>
      <c r="F937" s="21">
        <v>0</v>
      </c>
      <c r="G937" s="21">
        <v>23.67</v>
      </c>
      <c r="H937" s="21">
        <v>809.27</v>
      </c>
      <c r="I937" s="21">
        <v>341.9</v>
      </c>
    </row>
    <row r="938" spans="1:9" ht="15" customHeight="1" x14ac:dyDescent="0.3">
      <c r="A938" s="21" t="s">
        <v>1307</v>
      </c>
      <c r="B938" s="21">
        <v>2019</v>
      </c>
      <c r="C938" s="21">
        <v>2</v>
      </c>
      <c r="D938" s="21">
        <v>14</v>
      </c>
      <c r="E938" s="21" t="s">
        <v>310</v>
      </c>
      <c r="F938" s="21">
        <v>0</v>
      </c>
      <c r="G938" s="21">
        <v>24.35</v>
      </c>
      <c r="H938" s="21">
        <v>832.39</v>
      </c>
      <c r="I938" s="21">
        <v>341.84</v>
      </c>
    </row>
    <row r="939" spans="1:9" ht="15" customHeight="1" x14ac:dyDescent="0.3">
      <c r="A939" s="21" t="s">
        <v>1308</v>
      </c>
      <c r="B939" s="21">
        <v>2019</v>
      </c>
      <c r="C939" s="21">
        <v>2</v>
      </c>
      <c r="D939" s="21">
        <v>15</v>
      </c>
      <c r="E939" s="21" t="s">
        <v>313</v>
      </c>
      <c r="F939" s="21">
        <v>0</v>
      </c>
      <c r="G939" s="21">
        <v>27.14</v>
      </c>
      <c r="H939" s="21">
        <v>927.57</v>
      </c>
      <c r="I939" s="21">
        <v>341.77</v>
      </c>
    </row>
    <row r="940" spans="1:9" ht="15" customHeight="1" x14ac:dyDescent="0.3">
      <c r="A940" s="21" t="s">
        <v>1309</v>
      </c>
      <c r="B940" s="21">
        <v>2019</v>
      </c>
      <c r="C940" s="21">
        <v>2</v>
      </c>
      <c r="D940" s="21">
        <v>16</v>
      </c>
      <c r="E940" s="21" t="s">
        <v>316</v>
      </c>
      <c r="F940" s="21">
        <v>1</v>
      </c>
      <c r="G940" s="21">
        <v>20.420000000000002</v>
      </c>
      <c r="H940" s="21">
        <v>697.99</v>
      </c>
      <c r="I940" s="21">
        <v>341.82</v>
      </c>
    </row>
    <row r="941" spans="1:9" ht="15" customHeight="1" x14ac:dyDescent="0.3">
      <c r="A941" s="21" t="s">
        <v>1310</v>
      </c>
      <c r="B941" s="21">
        <v>2019</v>
      </c>
      <c r="C941" s="21">
        <v>2</v>
      </c>
      <c r="D941" s="21">
        <v>17</v>
      </c>
      <c r="E941" s="21" t="s">
        <v>319</v>
      </c>
      <c r="F941" s="21">
        <v>1</v>
      </c>
      <c r="G941" s="21">
        <v>20.07</v>
      </c>
      <c r="H941" s="21">
        <v>685.9</v>
      </c>
      <c r="I941" s="21">
        <v>341.75</v>
      </c>
    </row>
    <row r="942" spans="1:9" ht="15" customHeight="1" x14ac:dyDescent="0.3">
      <c r="A942" s="21" t="s">
        <v>1311</v>
      </c>
      <c r="B942" s="21">
        <v>2019</v>
      </c>
      <c r="C942" s="21">
        <v>2</v>
      </c>
      <c r="D942" s="21">
        <v>18</v>
      </c>
      <c r="E942" s="21" t="s">
        <v>299</v>
      </c>
      <c r="F942" s="21">
        <v>0</v>
      </c>
      <c r="G942" s="21">
        <v>26.64</v>
      </c>
      <c r="H942" s="21">
        <v>910.67</v>
      </c>
      <c r="I942" s="21">
        <v>341.84</v>
      </c>
    </row>
    <row r="943" spans="1:9" ht="15" customHeight="1" x14ac:dyDescent="0.3">
      <c r="A943" s="21" t="s">
        <v>1312</v>
      </c>
      <c r="B943" s="21">
        <v>2019</v>
      </c>
      <c r="C943" s="21">
        <v>2</v>
      </c>
      <c r="D943" s="21">
        <v>19</v>
      </c>
      <c r="E943" s="21" t="s">
        <v>303</v>
      </c>
      <c r="F943" s="21">
        <v>0</v>
      </c>
      <c r="G943" s="21">
        <v>23.03</v>
      </c>
      <c r="H943" s="21">
        <v>787.32</v>
      </c>
      <c r="I943" s="21">
        <v>341.87</v>
      </c>
    </row>
    <row r="944" spans="1:9" ht="15" customHeight="1" x14ac:dyDescent="0.3">
      <c r="A944" s="21" t="s">
        <v>1313</v>
      </c>
      <c r="B944" s="21">
        <v>2019</v>
      </c>
      <c r="C944" s="21">
        <v>2</v>
      </c>
      <c r="D944" s="21">
        <v>20</v>
      </c>
      <c r="E944" s="21" t="s">
        <v>307</v>
      </c>
      <c r="F944" s="21">
        <v>0</v>
      </c>
      <c r="G944" s="21">
        <v>22.49</v>
      </c>
      <c r="H944" s="21">
        <v>768.78</v>
      </c>
      <c r="I944" s="21">
        <v>341.83</v>
      </c>
    </row>
    <row r="945" spans="1:9" ht="15" customHeight="1" x14ac:dyDescent="0.3">
      <c r="A945" s="21" t="s">
        <v>1314</v>
      </c>
      <c r="B945" s="21">
        <v>2019</v>
      </c>
      <c r="C945" s="21">
        <v>2</v>
      </c>
      <c r="D945" s="21">
        <v>21</v>
      </c>
      <c r="E945" s="21" t="s">
        <v>310</v>
      </c>
      <c r="F945" s="21">
        <v>0</v>
      </c>
      <c r="G945" s="21">
        <v>24.4</v>
      </c>
      <c r="H945" s="21">
        <v>833.94</v>
      </c>
      <c r="I945" s="21">
        <v>341.78</v>
      </c>
    </row>
    <row r="946" spans="1:9" ht="15" customHeight="1" x14ac:dyDescent="0.3">
      <c r="A946" s="21" t="s">
        <v>1315</v>
      </c>
      <c r="B946" s="21">
        <v>2019</v>
      </c>
      <c r="C946" s="21">
        <v>2</v>
      </c>
      <c r="D946" s="21">
        <v>22</v>
      </c>
      <c r="E946" s="21" t="s">
        <v>313</v>
      </c>
      <c r="F946" s="21">
        <v>0</v>
      </c>
      <c r="G946" s="21">
        <v>25.64</v>
      </c>
      <c r="H946" s="21">
        <v>876.52</v>
      </c>
      <c r="I946" s="21">
        <v>341.86</v>
      </c>
    </row>
    <row r="947" spans="1:9" ht="15" customHeight="1" x14ac:dyDescent="0.3">
      <c r="A947" s="21" t="s">
        <v>1316</v>
      </c>
      <c r="B947" s="21">
        <v>2019</v>
      </c>
      <c r="C947" s="21">
        <v>2</v>
      </c>
      <c r="D947" s="21">
        <v>23</v>
      </c>
      <c r="E947" s="21" t="s">
        <v>316</v>
      </c>
      <c r="F947" s="21">
        <v>1</v>
      </c>
      <c r="G947" s="21">
        <v>19.73</v>
      </c>
      <c r="H947" s="21">
        <v>674.39</v>
      </c>
      <c r="I947" s="21">
        <v>341.81</v>
      </c>
    </row>
    <row r="948" spans="1:9" ht="15" customHeight="1" x14ac:dyDescent="0.3">
      <c r="A948" s="21" t="s">
        <v>1317</v>
      </c>
      <c r="B948" s="21">
        <v>2019</v>
      </c>
      <c r="C948" s="21">
        <v>2</v>
      </c>
      <c r="D948" s="21">
        <v>24</v>
      </c>
      <c r="E948" s="21" t="s">
        <v>319</v>
      </c>
      <c r="F948" s="21">
        <v>1</v>
      </c>
      <c r="G948" s="21">
        <v>20.98</v>
      </c>
      <c r="H948" s="21">
        <v>717.1</v>
      </c>
      <c r="I948" s="21">
        <v>341.8</v>
      </c>
    </row>
    <row r="949" spans="1:9" ht="15" customHeight="1" x14ac:dyDescent="0.3">
      <c r="A949" s="21" t="s">
        <v>1318</v>
      </c>
      <c r="B949" s="21">
        <v>2019</v>
      </c>
      <c r="C949" s="21">
        <v>2</v>
      </c>
      <c r="D949" s="21">
        <v>25</v>
      </c>
      <c r="E949" s="21" t="s">
        <v>299</v>
      </c>
      <c r="F949" s="21">
        <v>0</v>
      </c>
      <c r="G949" s="21">
        <v>25.46</v>
      </c>
      <c r="H949" s="21">
        <v>870.24</v>
      </c>
      <c r="I949" s="21">
        <v>341.81</v>
      </c>
    </row>
    <row r="950" spans="1:9" ht="15" customHeight="1" x14ac:dyDescent="0.3">
      <c r="A950" s="21" t="s">
        <v>1319</v>
      </c>
      <c r="B950" s="21">
        <v>2019</v>
      </c>
      <c r="C950" s="21">
        <v>2</v>
      </c>
      <c r="D950" s="21">
        <v>26</v>
      </c>
      <c r="E950" s="21" t="s">
        <v>303</v>
      </c>
      <c r="F950" s="21">
        <v>0</v>
      </c>
      <c r="G950" s="21">
        <v>23.67</v>
      </c>
      <c r="H950" s="21">
        <v>809.14</v>
      </c>
      <c r="I950" s="21">
        <v>341.84</v>
      </c>
    </row>
    <row r="951" spans="1:9" ht="15" customHeight="1" x14ac:dyDescent="0.3">
      <c r="A951" s="21" t="s">
        <v>1320</v>
      </c>
      <c r="B951" s="21">
        <v>2019</v>
      </c>
      <c r="C951" s="21">
        <v>2</v>
      </c>
      <c r="D951" s="21">
        <v>27</v>
      </c>
      <c r="E951" s="21" t="s">
        <v>307</v>
      </c>
      <c r="F951" s="21">
        <v>0</v>
      </c>
      <c r="G951" s="21">
        <v>26.63</v>
      </c>
      <c r="H951" s="21">
        <v>910.18</v>
      </c>
      <c r="I951" s="21">
        <v>341.79</v>
      </c>
    </row>
    <row r="952" spans="1:9" ht="15" customHeight="1" x14ac:dyDescent="0.3">
      <c r="A952" s="21" t="s">
        <v>1321</v>
      </c>
      <c r="B952" s="21">
        <v>2019</v>
      </c>
      <c r="C952" s="21">
        <v>2</v>
      </c>
      <c r="D952" s="21">
        <v>28</v>
      </c>
      <c r="E952" s="21" t="s">
        <v>310</v>
      </c>
      <c r="F952" s="21">
        <v>0</v>
      </c>
      <c r="G952" s="21">
        <v>28.42</v>
      </c>
      <c r="H952" s="21">
        <v>971.31</v>
      </c>
      <c r="I952" s="21">
        <v>341.77</v>
      </c>
    </row>
    <row r="953" spans="1:9" ht="15" customHeight="1" x14ac:dyDescent="0.3">
      <c r="A953" s="21" t="s">
        <v>129</v>
      </c>
      <c r="B953" s="21">
        <v>2019</v>
      </c>
      <c r="C953" s="21">
        <v>3</v>
      </c>
      <c r="D953" s="21">
        <v>1</v>
      </c>
      <c r="E953" s="21" t="s">
        <v>313</v>
      </c>
      <c r="F953" s="21">
        <v>0</v>
      </c>
      <c r="G953" s="21">
        <v>32.61</v>
      </c>
      <c r="H953" s="21">
        <v>1102.8699999999999</v>
      </c>
      <c r="I953" s="21">
        <v>338.2</v>
      </c>
    </row>
    <row r="954" spans="1:9" ht="15" customHeight="1" x14ac:dyDescent="0.3">
      <c r="A954" s="21" t="s">
        <v>1322</v>
      </c>
      <c r="B954" s="21">
        <v>2019</v>
      </c>
      <c r="C954" s="21">
        <v>3</v>
      </c>
      <c r="D954" s="21">
        <v>2</v>
      </c>
      <c r="E954" s="21" t="s">
        <v>316</v>
      </c>
      <c r="F954" s="21">
        <v>1</v>
      </c>
      <c r="G954" s="21">
        <v>25.12</v>
      </c>
      <c r="H954" s="21">
        <v>849.62</v>
      </c>
      <c r="I954" s="21">
        <v>338.22</v>
      </c>
    </row>
    <row r="955" spans="1:9" ht="15" customHeight="1" x14ac:dyDescent="0.3">
      <c r="A955" s="21" t="s">
        <v>1323</v>
      </c>
      <c r="B955" s="21">
        <v>2019</v>
      </c>
      <c r="C955" s="21">
        <v>3</v>
      </c>
      <c r="D955" s="21">
        <v>3</v>
      </c>
      <c r="E955" s="21" t="s">
        <v>319</v>
      </c>
      <c r="F955" s="21">
        <v>1</v>
      </c>
      <c r="G955" s="21">
        <v>23.35</v>
      </c>
      <c r="H955" s="21">
        <v>789.71</v>
      </c>
      <c r="I955" s="21">
        <v>338.21</v>
      </c>
    </row>
    <row r="956" spans="1:9" ht="15" customHeight="1" x14ac:dyDescent="0.3">
      <c r="A956" s="21" t="s">
        <v>1324</v>
      </c>
      <c r="B956" s="21">
        <v>2019</v>
      </c>
      <c r="C956" s="21">
        <v>3</v>
      </c>
      <c r="D956" s="21">
        <v>4</v>
      </c>
      <c r="E956" s="21" t="s">
        <v>299</v>
      </c>
      <c r="F956" s="21">
        <v>0</v>
      </c>
      <c r="G956" s="21">
        <v>26.25</v>
      </c>
      <c r="H956" s="21">
        <v>887.84</v>
      </c>
      <c r="I956" s="21">
        <v>338.22</v>
      </c>
    </row>
    <row r="957" spans="1:9" ht="15" customHeight="1" x14ac:dyDescent="0.3">
      <c r="A957" s="21" t="s">
        <v>1325</v>
      </c>
      <c r="B957" s="21">
        <v>2019</v>
      </c>
      <c r="C957" s="21">
        <v>3</v>
      </c>
      <c r="D957" s="21">
        <v>5</v>
      </c>
      <c r="E957" s="21" t="s">
        <v>303</v>
      </c>
      <c r="F957" s="21">
        <v>0</v>
      </c>
      <c r="G957" s="21">
        <v>24.61</v>
      </c>
      <c r="H957" s="21">
        <v>832.31</v>
      </c>
      <c r="I957" s="21">
        <v>338.2</v>
      </c>
    </row>
    <row r="958" spans="1:9" ht="15" customHeight="1" x14ac:dyDescent="0.3">
      <c r="A958" s="21" t="s">
        <v>1326</v>
      </c>
      <c r="B958" s="21">
        <v>2019</v>
      </c>
      <c r="C958" s="21">
        <v>3</v>
      </c>
      <c r="D958" s="21">
        <v>6</v>
      </c>
      <c r="E958" s="21" t="s">
        <v>307</v>
      </c>
      <c r="F958" s="21">
        <v>0</v>
      </c>
      <c r="G958" s="21">
        <v>25.25</v>
      </c>
      <c r="H958" s="21">
        <v>854.12</v>
      </c>
      <c r="I958" s="21">
        <v>338.27</v>
      </c>
    </row>
    <row r="959" spans="1:9" ht="15" customHeight="1" x14ac:dyDescent="0.3">
      <c r="A959" s="21" t="s">
        <v>1327</v>
      </c>
      <c r="B959" s="21">
        <v>2019</v>
      </c>
      <c r="C959" s="21">
        <v>3</v>
      </c>
      <c r="D959" s="21">
        <v>7</v>
      </c>
      <c r="E959" s="21" t="s">
        <v>310</v>
      </c>
      <c r="F959" s="21">
        <v>0</v>
      </c>
      <c r="G959" s="21">
        <v>25.76</v>
      </c>
      <c r="H959" s="21">
        <v>871.03</v>
      </c>
      <c r="I959" s="21">
        <v>338.13</v>
      </c>
    </row>
    <row r="960" spans="1:9" ht="15" customHeight="1" x14ac:dyDescent="0.3">
      <c r="A960" s="21" t="s">
        <v>1328</v>
      </c>
      <c r="B960" s="21">
        <v>2019</v>
      </c>
      <c r="C960" s="21">
        <v>3</v>
      </c>
      <c r="D960" s="21">
        <v>8</v>
      </c>
      <c r="E960" s="21" t="s">
        <v>313</v>
      </c>
      <c r="F960" s="21">
        <v>0</v>
      </c>
      <c r="G960" s="21">
        <v>28.04</v>
      </c>
      <c r="H960" s="21">
        <v>948.37</v>
      </c>
      <c r="I960" s="21">
        <v>338.22</v>
      </c>
    </row>
    <row r="961" spans="1:9" ht="15" customHeight="1" x14ac:dyDescent="0.3">
      <c r="A961" s="21" t="s">
        <v>1329</v>
      </c>
      <c r="B961" s="21">
        <v>2019</v>
      </c>
      <c r="C961" s="21">
        <v>3</v>
      </c>
      <c r="D961" s="21">
        <v>9</v>
      </c>
      <c r="E961" s="21" t="s">
        <v>316</v>
      </c>
      <c r="F961" s="21">
        <v>1</v>
      </c>
      <c r="G961" s="21">
        <v>21.74</v>
      </c>
      <c r="H961" s="21">
        <v>735.08</v>
      </c>
      <c r="I961" s="21">
        <v>338.12</v>
      </c>
    </row>
    <row r="962" spans="1:9" ht="15" customHeight="1" x14ac:dyDescent="0.3">
      <c r="A962" s="21" t="s">
        <v>1330</v>
      </c>
      <c r="B962" s="21">
        <v>2019</v>
      </c>
      <c r="C962" s="21">
        <v>3</v>
      </c>
      <c r="D962" s="21">
        <v>10</v>
      </c>
      <c r="E962" s="21" t="s">
        <v>319</v>
      </c>
      <c r="F962" s="21">
        <v>1</v>
      </c>
      <c r="G962" s="21">
        <v>22.19</v>
      </c>
      <c r="H962" s="21">
        <v>750.6</v>
      </c>
      <c r="I962" s="21">
        <v>338.26</v>
      </c>
    </row>
    <row r="963" spans="1:9" ht="15" customHeight="1" x14ac:dyDescent="0.3">
      <c r="A963" s="21" t="s">
        <v>1331</v>
      </c>
      <c r="B963" s="21">
        <v>2019</v>
      </c>
      <c r="C963" s="21">
        <v>3</v>
      </c>
      <c r="D963" s="21">
        <v>11</v>
      </c>
      <c r="E963" s="21" t="s">
        <v>299</v>
      </c>
      <c r="F963" s="21">
        <v>0</v>
      </c>
      <c r="G963" s="21">
        <v>26.11</v>
      </c>
      <c r="H963" s="21">
        <v>883.09</v>
      </c>
      <c r="I963" s="21">
        <v>338.22</v>
      </c>
    </row>
    <row r="964" spans="1:9" ht="15" customHeight="1" x14ac:dyDescent="0.3">
      <c r="A964" s="21" t="s">
        <v>1332</v>
      </c>
      <c r="B964" s="21">
        <v>2019</v>
      </c>
      <c r="C964" s="21">
        <v>3</v>
      </c>
      <c r="D964" s="21">
        <v>12</v>
      </c>
      <c r="E964" s="21" t="s">
        <v>303</v>
      </c>
      <c r="F964" s="21">
        <v>0</v>
      </c>
      <c r="G964" s="21">
        <v>26.91</v>
      </c>
      <c r="H964" s="21">
        <v>910</v>
      </c>
      <c r="I964" s="21">
        <v>338.16</v>
      </c>
    </row>
    <row r="965" spans="1:9" ht="15" customHeight="1" x14ac:dyDescent="0.3">
      <c r="A965" s="21" t="s">
        <v>1333</v>
      </c>
      <c r="B965" s="21">
        <v>2019</v>
      </c>
      <c r="C965" s="21">
        <v>3</v>
      </c>
      <c r="D965" s="21">
        <v>13</v>
      </c>
      <c r="E965" s="21" t="s">
        <v>307</v>
      </c>
      <c r="F965" s="21">
        <v>0</v>
      </c>
      <c r="G965" s="21">
        <v>25.73</v>
      </c>
      <c r="H965" s="21">
        <v>870.08</v>
      </c>
      <c r="I965" s="21">
        <v>338.16</v>
      </c>
    </row>
    <row r="966" spans="1:9" ht="15" customHeight="1" x14ac:dyDescent="0.3">
      <c r="A966" s="21" t="s">
        <v>1334</v>
      </c>
      <c r="B966" s="21">
        <v>2019</v>
      </c>
      <c r="C966" s="21">
        <v>3</v>
      </c>
      <c r="D966" s="21">
        <v>14</v>
      </c>
      <c r="E966" s="21" t="s">
        <v>310</v>
      </c>
      <c r="F966" s="21">
        <v>0</v>
      </c>
      <c r="G966" s="21">
        <v>26.65</v>
      </c>
      <c r="H966" s="21">
        <v>901.46</v>
      </c>
      <c r="I966" s="21">
        <v>338.26</v>
      </c>
    </row>
    <row r="967" spans="1:9" ht="15" customHeight="1" x14ac:dyDescent="0.3">
      <c r="A967" s="21" t="s">
        <v>1335</v>
      </c>
      <c r="B967" s="21">
        <v>2019</v>
      </c>
      <c r="C967" s="21">
        <v>3</v>
      </c>
      <c r="D967" s="21">
        <v>15</v>
      </c>
      <c r="E967" s="21" t="s">
        <v>313</v>
      </c>
      <c r="F967" s="21">
        <v>0</v>
      </c>
      <c r="G967" s="21">
        <v>28.12</v>
      </c>
      <c r="H967" s="21">
        <v>950.97</v>
      </c>
      <c r="I967" s="21">
        <v>338.18</v>
      </c>
    </row>
    <row r="968" spans="1:9" ht="15" customHeight="1" x14ac:dyDescent="0.3">
      <c r="A968" s="21" t="s">
        <v>1336</v>
      </c>
      <c r="B968" s="21">
        <v>2019</v>
      </c>
      <c r="C968" s="21">
        <v>3</v>
      </c>
      <c r="D968" s="21">
        <v>16</v>
      </c>
      <c r="E968" s="21" t="s">
        <v>316</v>
      </c>
      <c r="F968" s="21">
        <v>1</v>
      </c>
      <c r="G968" s="21">
        <v>22.28</v>
      </c>
      <c r="H968" s="21">
        <v>753.34</v>
      </c>
      <c r="I968" s="21">
        <v>338.12</v>
      </c>
    </row>
    <row r="969" spans="1:9" ht="15" customHeight="1" x14ac:dyDescent="0.3">
      <c r="A969" s="21" t="s">
        <v>1337</v>
      </c>
      <c r="B969" s="21">
        <v>2019</v>
      </c>
      <c r="C969" s="21">
        <v>3</v>
      </c>
      <c r="D969" s="21">
        <v>17</v>
      </c>
      <c r="E969" s="21" t="s">
        <v>319</v>
      </c>
      <c r="F969" s="21">
        <v>1</v>
      </c>
      <c r="G969" s="21">
        <v>22.36</v>
      </c>
      <c r="H969" s="21">
        <v>756.3</v>
      </c>
      <c r="I969" s="21">
        <v>338.24</v>
      </c>
    </row>
    <row r="970" spans="1:9" ht="15" customHeight="1" x14ac:dyDescent="0.3">
      <c r="A970" s="21" t="s">
        <v>1338</v>
      </c>
      <c r="B970" s="21">
        <v>2019</v>
      </c>
      <c r="C970" s="21">
        <v>3</v>
      </c>
      <c r="D970" s="21">
        <v>18</v>
      </c>
      <c r="E970" s="21" t="s">
        <v>299</v>
      </c>
      <c r="F970" s="21">
        <v>0</v>
      </c>
      <c r="G970" s="21">
        <v>27.43</v>
      </c>
      <c r="H970" s="21">
        <v>927.55</v>
      </c>
      <c r="I970" s="21">
        <v>338.15</v>
      </c>
    </row>
    <row r="971" spans="1:9" ht="15" customHeight="1" x14ac:dyDescent="0.3">
      <c r="A971" s="21" t="s">
        <v>1339</v>
      </c>
      <c r="B971" s="21">
        <v>2019</v>
      </c>
      <c r="C971" s="21">
        <v>3</v>
      </c>
      <c r="D971" s="21">
        <v>19</v>
      </c>
      <c r="E971" s="21" t="s">
        <v>303</v>
      </c>
      <c r="F971" s="21">
        <v>0</v>
      </c>
      <c r="G971" s="21">
        <v>26.29</v>
      </c>
      <c r="H971" s="21">
        <v>889.04</v>
      </c>
      <c r="I971" s="21">
        <v>338.17</v>
      </c>
    </row>
    <row r="972" spans="1:9" ht="15" customHeight="1" x14ac:dyDescent="0.3">
      <c r="A972" s="21" t="s">
        <v>1340</v>
      </c>
      <c r="B972" s="21">
        <v>2019</v>
      </c>
      <c r="C972" s="21">
        <v>3</v>
      </c>
      <c r="D972" s="21">
        <v>20</v>
      </c>
      <c r="E972" s="21" t="s">
        <v>307</v>
      </c>
      <c r="F972" s="21">
        <v>0</v>
      </c>
      <c r="G972" s="21">
        <v>26.82</v>
      </c>
      <c r="H972" s="21">
        <v>907.01</v>
      </c>
      <c r="I972" s="21">
        <v>338.18</v>
      </c>
    </row>
    <row r="973" spans="1:9" ht="15" customHeight="1" x14ac:dyDescent="0.3">
      <c r="A973" s="21" t="s">
        <v>1341</v>
      </c>
      <c r="B973" s="21">
        <v>2019</v>
      </c>
      <c r="C973" s="21">
        <v>3</v>
      </c>
      <c r="D973" s="21">
        <v>21</v>
      </c>
      <c r="E973" s="21" t="s">
        <v>310</v>
      </c>
      <c r="F973" s="21">
        <v>0</v>
      </c>
      <c r="G973" s="21">
        <v>25.94</v>
      </c>
      <c r="H973" s="21">
        <v>877.37</v>
      </c>
      <c r="I973" s="21">
        <v>338.23</v>
      </c>
    </row>
    <row r="974" spans="1:9" ht="15" customHeight="1" x14ac:dyDescent="0.3">
      <c r="A974" s="21" t="s">
        <v>1342</v>
      </c>
      <c r="B974" s="21">
        <v>2019</v>
      </c>
      <c r="C974" s="21">
        <v>3</v>
      </c>
      <c r="D974" s="21">
        <v>22</v>
      </c>
      <c r="E974" s="21" t="s">
        <v>313</v>
      </c>
      <c r="F974" s="21">
        <v>0</v>
      </c>
      <c r="G974" s="21">
        <v>28.4</v>
      </c>
      <c r="H974" s="21">
        <v>960.56</v>
      </c>
      <c r="I974" s="21">
        <v>338.23</v>
      </c>
    </row>
    <row r="975" spans="1:9" ht="15" customHeight="1" x14ac:dyDescent="0.3">
      <c r="A975" s="21" t="s">
        <v>1343</v>
      </c>
      <c r="B975" s="21">
        <v>2019</v>
      </c>
      <c r="C975" s="21">
        <v>3</v>
      </c>
      <c r="D975" s="21">
        <v>23</v>
      </c>
      <c r="E975" s="21" t="s">
        <v>316</v>
      </c>
      <c r="F975" s="21">
        <v>1</v>
      </c>
      <c r="G975" s="21">
        <v>21.85</v>
      </c>
      <c r="H975" s="21">
        <v>739.04</v>
      </c>
      <c r="I975" s="21">
        <v>338.23</v>
      </c>
    </row>
    <row r="976" spans="1:9" ht="15" customHeight="1" x14ac:dyDescent="0.3">
      <c r="A976" s="21" t="s">
        <v>1344</v>
      </c>
      <c r="B976" s="21">
        <v>2019</v>
      </c>
      <c r="C976" s="21">
        <v>3</v>
      </c>
      <c r="D976" s="21">
        <v>24</v>
      </c>
      <c r="E976" s="21" t="s">
        <v>319</v>
      </c>
      <c r="F976" s="21">
        <v>1</v>
      </c>
      <c r="G976" s="21">
        <v>23.04</v>
      </c>
      <c r="H976" s="21">
        <v>779.08</v>
      </c>
      <c r="I976" s="21">
        <v>338.14</v>
      </c>
    </row>
    <row r="977" spans="1:9" ht="15" customHeight="1" x14ac:dyDescent="0.3">
      <c r="A977" s="21" t="s">
        <v>1345</v>
      </c>
      <c r="B977" s="21">
        <v>2019</v>
      </c>
      <c r="C977" s="21">
        <v>3</v>
      </c>
      <c r="D977" s="21">
        <v>25</v>
      </c>
      <c r="E977" s="21" t="s">
        <v>299</v>
      </c>
      <c r="F977" s="21">
        <v>0</v>
      </c>
      <c r="G977" s="21">
        <v>26.56</v>
      </c>
      <c r="H977" s="21">
        <v>898.14</v>
      </c>
      <c r="I977" s="21">
        <v>338.16</v>
      </c>
    </row>
    <row r="978" spans="1:9" ht="15" customHeight="1" x14ac:dyDescent="0.3">
      <c r="A978" s="21" t="s">
        <v>1346</v>
      </c>
      <c r="B978" s="21">
        <v>2019</v>
      </c>
      <c r="C978" s="21">
        <v>3</v>
      </c>
      <c r="D978" s="21">
        <v>26</v>
      </c>
      <c r="E978" s="21" t="s">
        <v>303</v>
      </c>
      <c r="F978" s="21">
        <v>0</v>
      </c>
      <c r="G978" s="21">
        <v>27.18</v>
      </c>
      <c r="H978" s="21">
        <v>919.35</v>
      </c>
      <c r="I978" s="21">
        <v>338.25</v>
      </c>
    </row>
    <row r="979" spans="1:9" ht="15" customHeight="1" x14ac:dyDescent="0.3">
      <c r="A979" s="21" t="s">
        <v>1347</v>
      </c>
      <c r="B979" s="21">
        <v>2019</v>
      </c>
      <c r="C979" s="21">
        <v>3</v>
      </c>
      <c r="D979" s="21">
        <v>27</v>
      </c>
      <c r="E979" s="21" t="s">
        <v>307</v>
      </c>
      <c r="F979" s="21">
        <v>0</v>
      </c>
      <c r="G979" s="21">
        <v>25.76</v>
      </c>
      <c r="H979" s="21">
        <v>871.18</v>
      </c>
      <c r="I979" s="21">
        <v>338.19</v>
      </c>
    </row>
    <row r="980" spans="1:9" ht="15" customHeight="1" x14ac:dyDescent="0.3">
      <c r="A980" s="21" t="s">
        <v>1348</v>
      </c>
      <c r="B980" s="21">
        <v>2019</v>
      </c>
      <c r="C980" s="21">
        <v>3</v>
      </c>
      <c r="D980" s="21">
        <v>28</v>
      </c>
      <c r="E980" s="21" t="s">
        <v>310</v>
      </c>
      <c r="F980" s="21">
        <v>0</v>
      </c>
      <c r="G980" s="21">
        <v>24.68</v>
      </c>
      <c r="H980" s="21">
        <v>834.79</v>
      </c>
      <c r="I980" s="21">
        <v>338.25</v>
      </c>
    </row>
    <row r="981" spans="1:9" ht="15" customHeight="1" x14ac:dyDescent="0.3">
      <c r="A981" s="21" t="s">
        <v>1349</v>
      </c>
      <c r="B981" s="21">
        <v>2019</v>
      </c>
      <c r="C981" s="21">
        <v>3</v>
      </c>
      <c r="D981" s="21">
        <v>29</v>
      </c>
      <c r="E981" s="21" t="s">
        <v>313</v>
      </c>
      <c r="F981" s="21">
        <v>0</v>
      </c>
      <c r="G981" s="21">
        <v>27.95</v>
      </c>
      <c r="H981" s="21">
        <v>945.36</v>
      </c>
      <c r="I981" s="21">
        <v>338.23</v>
      </c>
    </row>
    <row r="982" spans="1:9" ht="15" customHeight="1" x14ac:dyDescent="0.3">
      <c r="A982" s="21" t="s">
        <v>1350</v>
      </c>
      <c r="B982" s="21">
        <v>2019</v>
      </c>
      <c r="C982" s="21">
        <v>3</v>
      </c>
      <c r="D982" s="21">
        <v>30</v>
      </c>
      <c r="E982" s="21" t="s">
        <v>316</v>
      </c>
      <c r="F982" s="21">
        <v>1</v>
      </c>
      <c r="G982" s="21">
        <v>24.6</v>
      </c>
      <c r="H982" s="21">
        <v>832.11</v>
      </c>
      <c r="I982" s="21">
        <v>338.26</v>
      </c>
    </row>
    <row r="983" spans="1:9" ht="15" customHeight="1" x14ac:dyDescent="0.3">
      <c r="A983" s="21" t="s">
        <v>1351</v>
      </c>
      <c r="B983" s="21">
        <v>2019</v>
      </c>
      <c r="C983" s="21">
        <v>3</v>
      </c>
      <c r="D983" s="21">
        <v>31</v>
      </c>
      <c r="E983" s="21" t="s">
        <v>319</v>
      </c>
      <c r="F983" s="21">
        <v>1</v>
      </c>
      <c r="G983" s="21">
        <v>25.96</v>
      </c>
      <c r="H983" s="21">
        <v>877.9</v>
      </c>
      <c r="I983" s="21">
        <v>338.17</v>
      </c>
    </row>
    <row r="984" spans="1:9" ht="15" customHeight="1" x14ac:dyDescent="0.3">
      <c r="A984" s="21" t="s">
        <v>130</v>
      </c>
      <c r="B984" s="21">
        <v>2019</v>
      </c>
      <c r="C984" s="21">
        <v>4</v>
      </c>
      <c r="D984" s="21">
        <v>1</v>
      </c>
      <c r="E984" s="21" t="s">
        <v>299</v>
      </c>
      <c r="F984" s="21">
        <v>0</v>
      </c>
      <c r="G984" s="21">
        <v>30.89</v>
      </c>
      <c r="H984" s="21">
        <v>1062.3</v>
      </c>
      <c r="I984" s="21">
        <v>343.9</v>
      </c>
    </row>
    <row r="985" spans="1:9" ht="15" customHeight="1" x14ac:dyDescent="0.3">
      <c r="A985" s="21" t="s">
        <v>1352</v>
      </c>
      <c r="B985" s="21">
        <v>2019</v>
      </c>
      <c r="C985" s="21">
        <v>4</v>
      </c>
      <c r="D985" s="21">
        <v>2</v>
      </c>
      <c r="E985" s="21" t="s">
        <v>303</v>
      </c>
      <c r="F985" s="21">
        <v>0</v>
      </c>
      <c r="G985" s="21">
        <v>29.58</v>
      </c>
      <c r="H985" s="21">
        <v>1017.14</v>
      </c>
      <c r="I985" s="21">
        <v>343.86</v>
      </c>
    </row>
    <row r="986" spans="1:9" ht="15" customHeight="1" x14ac:dyDescent="0.3">
      <c r="A986" s="21" t="s">
        <v>1353</v>
      </c>
      <c r="B986" s="21">
        <v>2019</v>
      </c>
      <c r="C986" s="21">
        <v>4</v>
      </c>
      <c r="D986" s="21">
        <v>3</v>
      </c>
      <c r="E986" s="21" t="s">
        <v>307</v>
      </c>
      <c r="F986" s="21">
        <v>0</v>
      </c>
      <c r="G986" s="21">
        <v>24.59</v>
      </c>
      <c r="H986" s="21">
        <v>845.65</v>
      </c>
      <c r="I986" s="21">
        <v>343.9</v>
      </c>
    </row>
    <row r="987" spans="1:9" ht="15" customHeight="1" x14ac:dyDescent="0.3">
      <c r="A987" s="21" t="s">
        <v>1354</v>
      </c>
      <c r="B987" s="21">
        <v>2019</v>
      </c>
      <c r="C987" s="21">
        <v>4</v>
      </c>
      <c r="D987" s="21">
        <v>4</v>
      </c>
      <c r="E987" s="21" t="s">
        <v>310</v>
      </c>
      <c r="F987" s="21">
        <v>0</v>
      </c>
      <c r="G987" s="21">
        <v>25.71</v>
      </c>
      <c r="H987" s="21">
        <v>884.3</v>
      </c>
      <c r="I987" s="21">
        <v>343.95</v>
      </c>
    </row>
    <row r="988" spans="1:9" ht="15" customHeight="1" x14ac:dyDescent="0.3">
      <c r="A988" s="21" t="s">
        <v>1355</v>
      </c>
      <c r="B988" s="21">
        <v>2019</v>
      </c>
      <c r="C988" s="21">
        <v>4</v>
      </c>
      <c r="D988" s="21">
        <v>5</v>
      </c>
      <c r="E988" s="21" t="s">
        <v>313</v>
      </c>
      <c r="F988" s="21">
        <v>0</v>
      </c>
      <c r="G988" s="21">
        <v>26.26</v>
      </c>
      <c r="H988" s="21">
        <v>903</v>
      </c>
      <c r="I988" s="21">
        <v>343.87</v>
      </c>
    </row>
    <row r="989" spans="1:9" ht="15" customHeight="1" x14ac:dyDescent="0.3">
      <c r="A989" s="21" t="s">
        <v>1356</v>
      </c>
      <c r="B989" s="21">
        <v>2019</v>
      </c>
      <c r="C989" s="21">
        <v>4</v>
      </c>
      <c r="D989" s="21">
        <v>6</v>
      </c>
      <c r="E989" s="21" t="s">
        <v>316</v>
      </c>
      <c r="F989" s="21">
        <v>1</v>
      </c>
      <c r="G989" s="21">
        <v>20.92</v>
      </c>
      <c r="H989" s="21">
        <v>719.4</v>
      </c>
      <c r="I989" s="21">
        <v>343.88</v>
      </c>
    </row>
    <row r="990" spans="1:9" ht="15" customHeight="1" x14ac:dyDescent="0.3">
      <c r="A990" s="21" t="s">
        <v>1357</v>
      </c>
      <c r="B990" s="21">
        <v>2019</v>
      </c>
      <c r="C990" s="21">
        <v>4</v>
      </c>
      <c r="D990" s="21">
        <v>7</v>
      </c>
      <c r="E990" s="21" t="s">
        <v>319</v>
      </c>
      <c r="F990" s="21">
        <v>1</v>
      </c>
      <c r="G990" s="21">
        <v>22.75</v>
      </c>
      <c r="H990" s="21">
        <v>782.45</v>
      </c>
      <c r="I990" s="21">
        <v>343.93</v>
      </c>
    </row>
    <row r="991" spans="1:9" ht="15" customHeight="1" x14ac:dyDescent="0.3">
      <c r="A991" s="21" t="s">
        <v>1358</v>
      </c>
      <c r="B991" s="21">
        <v>2019</v>
      </c>
      <c r="C991" s="21">
        <v>4</v>
      </c>
      <c r="D991" s="21">
        <v>8</v>
      </c>
      <c r="E991" s="21" t="s">
        <v>299</v>
      </c>
      <c r="F991" s="21">
        <v>0</v>
      </c>
      <c r="G991" s="21">
        <v>27.98</v>
      </c>
      <c r="H991" s="21">
        <v>962.42</v>
      </c>
      <c r="I991" s="21">
        <v>343.97</v>
      </c>
    </row>
    <row r="992" spans="1:9" ht="15" customHeight="1" x14ac:dyDescent="0.3">
      <c r="A992" s="21" t="s">
        <v>1359</v>
      </c>
      <c r="B992" s="21">
        <v>2019</v>
      </c>
      <c r="C992" s="21">
        <v>4</v>
      </c>
      <c r="D992" s="21">
        <v>9</v>
      </c>
      <c r="E992" s="21" t="s">
        <v>303</v>
      </c>
      <c r="F992" s="21">
        <v>0</v>
      </c>
      <c r="G992" s="21">
        <v>26.4</v>
      </c>
      <c r="H992" s="21">
        <v>907.91</v>
      </c>
      <c r="I992" s="21">
        <v>343.91</v>
      </c>
    </row>
    <row r="993" spans="1:9" ht="15" customHeight="1" x14ac:dyDescent="0.3">
      <c r="A993" s="21" t="s">
        <v>1360</v>
      </c>
      <c r="B993" s="21">
        <v>2019</v>
      </c>
      <c r="C993" s="21">
        <v>4</v>
      </c>
      <c r="D993" s="21">
        <v>10</v>
      </c>
      <c r="E993" s="21" t="s">
        <v>307</v>
      </c>
      <c r="F993" s="21">
        <v>0</v>
      </c>
      <c r="G993" s="21">
        <v>25.31</v>
      </c>
      <c r="H993" s="21">
        <v>870.46</v>
      </c>
      <c r="I993" s="21">
        <v>343.92</v>
      </c>
    </row>
    <row r="994" spans="1:9" ht="15" customHeight="1" x14ac:dyDescent="0.3">
      <c r="A994" s="21" t="s">
        <v>1361</v>
      </c>
      <c r="B994" s="21">
        <v>2019</v>
      </c>
      <c r="C994" s="21">
        <v>4</v>
      </c>
      <c r="D994" s="21">
        <v>11</v>
      </c>
      <c r="E994" s="21" t="s">
        <v>310</v>
      </c>
      <c r="F994" s="21">
        <v>0</v>
      </c>
      <c r="G994" s="21">
        <v>26.03</v>
      </c>
      <c r="H994" s="21">
        <v>895.18</v>
      </c>
      <c r="I994" s="21">
        <v>343.9</v>
      </c>
    </row>
    <row r="995" spans="1:9" ht="15" customHeight="1" x14ac:dyDescent="0.3">
      <c r="A995" s="21" t="s">
        <v>1362</v>
      </c>
      <c r="B995" s="21">
        <v>2019</v>
      </c>
      <c r="C995" s="21">
        <v>4</v>
      </c>
      <c r="D995" s="21">
        <v>12</v>
      </c>
      <c r="E995" s="21" t="s">
        <v>313</v>
      </c>
      <c r="F995" s="21">
        <v>0</v>
      </c>
      <c r="G995" s="21">
        <v>28.15</v>
      </c>
      <c r="H995" s="21">
        <v>968.09</v>
      </c>
      <c r="I995" s="21">
        <v>343.9</v>
      </c>
    </row>
    <row r="996" spans="1:9" ht="15" customHeight="1" x14ac:dyDescent="0.3">
      <c r="A996" s="21" t="s">
        <v>1363</v>
      </c>
      <c r="B996" s="21">
        <v>2019</v>
      </c>
      <c r="C996" s="21">
        <v>4</v>
      </c>
      <c r="D996" s="21">
        <v>13</v>
      </c>
      <c r="E996" s="21" t="s">
        <v>316</v>
      </c>
      <c r="F996" s="21">
        <v>1</v>
      </c>
      <c r="G996" s="21">
        <v>21.25</v>
      </c>
      <c r="H996" s="21">
        <v>730.84</v>
      </c>
      <c r="I996" s="21">
        <v>343.92</v>
      </c>
    </row>
    <row r="997" spans="1:9" ht="15" customHeight="1" x14ac:dyDescent="0.3">
      <c r="A997" s="21" t="s">
        <v>1364</v>
      </c>
      <c r="B997" s="21">
        <v>2019</v>
      </c>
      <c r="C997" s="21">
        <v>4</v>
      </c>
      <c r="D997" s="21">
        <v>14</v>
      </c>
      <c r="E997" s="21" t="s">
        <v>319</v>
      </c>
      <c r="F997" s="21">
        <v>1</v>
      </c>
      <c r="G997" s="21">
        <v>23.33</v>
      </c>
      <c r="H997" s="21">
        <v>802.43</v>
      </c>
      <c r="I997" s="21">
        <v>343.95</v>
      </c>
    </row>
    <row r="998" spans="1:9" ht="15" customHeight="1" x14ac:dyDescent="0.3">
      <c r="A998" s="21" t="s">
        <v>1365</v>
      </c>
      <c r="B998" s="21">
        <v>2019</v>
      </c>
      <c r="C998" s="21">
        <v>4</v>
      </c>
      <c r="D998" s="21">
        <v>15</v>
      </c>
      <c r="E998" s="21" t="s">
        <v>299</v>
      </c>
      <c r="F998" s="21">
        <v>0</v>
      </c>
      <c r="G998" s="21">
        <v>28.06</v>
      </c>
      <c r="H998" s="21">
        <v>964.89</v>
      </c>
      <c r="I998" s="21">
        <v>343.87</v>
      </c>
    </row>
    <row r="999" spans="1:9" ht="15" customHeight="1" x14ac:dyDescent="0.3">
      <c r="A999" s="21" t="s">
        <v>1366</v>
      </c>
      <c r="B999" s="21">
        <v>2019</v>
      </c>
      <c r="C999" s="21">
        <v>4</v>
      </c>
      <c r="D999" s="21">
        <v>16</v>
      </c>
      <c r="E999" s="21" t="s">
        <v>303</v>
      </c>
      <c r="F999" s="21">
        <v>0</v>
      </c>
      <c r="G999" s="21">
        <v>25.89</v>
      </c>
      <c r="H999" s="21">
        <v>890.52</v>
      </c>
      <c r="I999" s="21">
        <v>343.96</v>
      </c>
    </row>
    <row r="1000" spans="1:9" ht="15" customHeight="1" x14ac:dyDescent="0.3">
      <c r="A1000" s="21" t="s">
        <v>1367</v>
      </c>
      <c r="B1000" s="21">
        <v>2019</v>
      </c>
      <c r="C1000" s="21">
        <v>4</v>
      </c>
      <c r="D1000" s="21">
        <v>17</v>
      </c>
      <c r="E1000" s="21" t="s">
        <v>307</v>
      </c>
      <c r="F1000" s="21">
        <v>0</v>
      </c>
      <c r="G1000" s="21">
        <v>26.09</v>
      </c>
      <c r="H1000" s="21">
        <v>897.19</v>
      </c>
      <c r="I1000" s="21">
        <v>343.88</v>
      </c>
    </row>
    <row r="1001" spans="1:9" ht="15" customHeight="1" x14ac:dyDescent="0.3">
      <c r="A1001" s="21" t="s">
        <v>1368</v>
      </c>
      <c r="B1001" s="21">
        <v>2019</v>
      </c>
      <c r="C1001" s="21">
        <v>4</v>
      </c>
      <c r="D1001" s="21">
        <v>18</v>
      </c>
      <c r="E1001" s="21" t="s">
        <v>310</v>
      </c>
      <c r="F1001" s="21">
        <v>0</v>
      </c>
      <c r="G1001" s="21">
        <v>26.23</v>
      </c>
      <c r="H1001" s="21">
        <v>902.07</v>
      </c>
      <c r="I1001" s="21">
        <v>343.91</v>
      </c>
    </row>
    <row r="1002" spans="1:9" ht="15" customHeight="1" x14ac:dyDescent="0.3">
      <c r="A1002" s="21" t="s">
        <v>1369</v>
      </c>
      <c r="B1002" s="21">
        <v>2019</v>
      </c>
      <c r="C1002" s="21">
        <v>4</v>
      </c>
      <c r="D1002" s="21">
        <v>19</v>
      </c>
      <c r="E1002" s="21" t="s">
        <v>313</v>
      </c>
      <c r="F1002" s="21">
        <v>0</v>
      </c>
      <c r="G1002" s="21">
        <v>26.56</v>
      </c>
      <c r="H1002" s="21">
        <v>913.27</v>
      </c>
      <c r="I1002" s="21">
        <v>343.85</v>
      </c>
    </row>
    <row r="1003" spans="1:9" ht="15" customHeight="1" x14ac:dyDescent="0.3">
      <c r="A1003" s="21" t="s">
        <v>1370</v>
      </c>
      <c r="B1003" s="21">
        <v>2019</v>
      </c>
      <c r="C1003" s="21">
        <v>4</v>
      </c>
      <c r="D1003" s="21">
        <v>20</v>
      </c>
      <c r="E1003" s="21" t="s">
        <v>316</v>
      </c>
      <c r="F1003" s="21">
        <v>1</v>
      </c>
      <c r="G1003" s="21">
        <v>21.96</v>
      </c>
      <c r="H1003" s="21">
        <v>755.35</v>
      </c>
      <c r="I1003" s="21">
        <v>343.97</v>
      </c>
    </row>
    <row r="1004" spans="1:9" ht="15" customHeight="1" x14ac:dyDescent="0.3">
      <c r="A1004" s="21" t="s">
        <v>1371</v>
      </c>
      <c r="B1004" s="21">
        <v>2019</v>
      </c>
      <c r="C1004" s="21">
        <v>4</v>
      </c>
      <c r="D1004" s="21">
        <v>21</v>
      </c>
      <c r="E1004" s="21" t="s">
        <v>319</v>
      </c>
      <c r="F1004" s="21">
        <v>1</v>
      </c>
      <c r="G1004" s="21">
        <v>21.62</v>
      </c>
      <c r="H1004" s="21">
        <v>743.66</v>
      </c>
      <c r="I1004" s="21">
        <v>343.97</v>
      </c>
    </row>
    <row r="1005" spans="1:9" ht="15" customHeight="1" x14ac:dyDescent="0.3">
      <c r="A1005" s="21" t="s">
        <v>1372</v>
      </c>
      <c r="B1005" s="21">
        <v>2019</v>
      </c>
      <c r="C1005" s="21">
        <v>4</v>
      </c>
      <c r="D1005" s="21">
        <v>22</v>
      </c>
      <c r="E1005" s="21" t="s">
        <v>299</v>
      </c>
      <c r="F1005" s="21">
        <v>0</v>
      </c>
      <c r="G1005" s="21">
        <v>26.59</v>
      </c>
      <c r="H1005" s="21">
        <v>914.35</v>
      </c>
      <c r="I1005" s="21">
        <v>343.87</v>
      </c>
    </row>
    <row r="1006" spans="1:9" ht="15" customHeight="1" x14ac:dyDescent="0.3">
      <c r="A1006" s="21" t="s">
        <v>1373</v>
      </c>
      <c r="B1006" s="21">
        <v>2019</v>
      </c>
      <c r="C1006" s="21">
        <v>4</v>
      </c>
      <c r="D1006" s="21">
        <v>23</v>
      </c>
      <c r="E1006" s="21" t="s">
        <v>303</v>
      </c>
      <c r="F1006" s="21">
        <v>0</v>
      </c>
      <c r="G1006" s="21">
        <v>25.85</v>
      </c>
      <c r="H1006" s="21">
        <v>888.91</v>
      </c>
      <c r="I1006" s="21">
        <v>343.87</v>
      </c>
    </row>
    <row r="1007" spans="1:9" ht="15" customHeight="1" x14ac:dyDescent="0.3">
      <c r="A1007" s="21" t="s">
        <v>1374</v>
      </c>
      <c r="B1007" s="21">
        <v>2019</v>
      </c>
      <c r="C1007" s="21">
        <v>4</v>
      </c>
      <c r="D1007" s="21">
        <v>24</v>
      </c>
      <c r="E1007" s="21" t="s">
        <v>307</v>
      </c>
      <c r="F1007" s="21">
        <v>0</v>
      </c>
      <c r="G1007" s="21">
        <v>27.47</v>
      </c>
      <c r="H1007" s="21">
        <v>944.81</v>
      </c>
      <c r="I1007" s="21">
        <v>343.94</v>
      </c>
    </row>
    <row r="1008" spans="1:9" ht="15" customHeight="1" x14ac:dyDescent="0.3">
      <c r="A1008" s="21" t="s">
        <v>1375</v>
      </c>
      <c r="B1008" s="21">
        <v>2019</v>
      </c>
      <c r="C1008" s="21">
        <v>4</v>
      </c>
      <c r="D1008" s="21">
        <v>25</v>
      </c>
      <c r="E1008" s="21" t="s">
        <v>310</v>
      </c>
      <c r="F1008" s="21">
        <v>0</v>
      </c>
      <c r="G1008" s="21">
        <v>26.57</v>
      </c>
      <c r="H1008" s="21">
        <v>913.7</v>
      </c>
      <c r="I1008" s="21">
        <v>343.88</v>
      </c>
    </row>
    <row r="1009" spans="1:9" ht="15" customHeight="1" x14ac:dyDescent="0.3">
      <c r="A1009" s="21" t="s">
        <v>1376</v>
      </c>
      <c r="B1009" s="21">
        <v>2019</v>
      </c>
      <c r="C1009" s="21">
        <v>4</v>
      </c>
      <c r="D1009" s="21">
        <v>26</v>
      </c>
      <c r="E1009" s="21" t="s">
        <v>313</v>
      </c>
      <c r="F1009" s="21">
        <v>0</v>
      </c>
      <c r="G1009" s="21">
        <v>27.71</v>
      </c>
      <c r="H1009" s="21">
        <v>952.82</v>
      </c>
      <c r="I1009" s="21">
        <v>343.85</v>
      </c>
    </row>
    <row r="1010" spans="1:9" ht="15" customHeight="1" x14ac:dyDescent="0.3">
      <c r="A1010" s="21" t="s">
        <v>1377</v>
      </c>
      <c r="B1010" s="21">
        <v>2019</v>
      </c>
      <c r="C1010" s="21">
        <v>4</v>
      </c>
      <c r="D1010" s="21">
        <v>27</v>
      </c>
      <c r="E1010" s="21" t="s">
        <v>316</v>
      </c>
      <c r="F1010" s="21">
        <v>1</v>
      </c>
      <c r="G1010" s="21">
        <v>22.6</v>
      </c>
      <c r="H1010" s="21">
        <v>777.4</v>
      </c>
      <c r="I1010" s="21">
        <v>343.98</v>
      </c>
    </row>
    <row r="1011" spans="1:9" ht="15" customHeight="1" x14ac:dyDescent="0.3">
      <c r="A1011" s="21" t="s">
        <v>1378</v>
      </c>
      <c r="B1011" s="21">
        <v>2019</v>
      </c>
      <c r="C1011" s="21">
        <v>4</v>
      </c>
      <c r="D1011" s="21">
        <v>28</v>
      </c>
      <c r="E1011" s="21" t="s">
        <v>319</v>
      </c>
      <c r="F1011" s="21">
        <v>1</v>
      </c>
      <c r="G1011" s="21">
        <v>23.25</v>
      </c>
      <c r="H1011" s="21">
        <v>799.63</v>
      </c>
      <c r="I1011" s="21">
        <v>343.93</v>
      </c>
    </row>
    <row r="1012" spans="1:9" ht="15" customHeight="1" x14ac:dyDescent="0.3">
      <c r="A1012" s="21" t="s">
        <v>1379</v>
      </c>
      <c r="B1012" s="21">
        <v>2019</v>
      </c>
      <c r="C1012" s="21">
        <v>4</v>
      </c>
      <c r="D1012" s="21">
        <v>29</v>
      </c>
      <c r="E1012" s="21" t="s">
        <v>299</v>
      </c>
      <c r="F1012" s="21">
        <v>0</v>
      </c>
      <c r="G1012" s="21">
        <v>32.31</v>
      </c>
      <c r="H1012" s="21">
        <v>1111.08</v>
      </c>
      <c r="I1012" s="21">
        <v>343.88</v>
      </c>
    </row>
    <row r="1013" spans="1:9" ht="15" customHeight="1" x14ac:dyDescent="0.3">
      <c r="A1013" s="21" t="s">
        <v>1380</v>
      </c>
      <c r="B1013" s="21">
        <v>2019</v>
      </c>
      <c r="C1013" s="21">
        <v>4</v>
      </c>
      <c r="D1013" s="21">
        <v>30</v>
      </c>
      <c r="E1013" s="21" t="s">
        <v>303</v>
      </c>
      <c r="F1013" s="21">
        <v>0</v>
      </c>
      <c r="G1013" s="21">
        <v>30.03</v>
      </c>
      <c r="H1013" s="21">
        <v>1032.78</v>
      </c>
      <c r="I1013" s="21">
        <v>343.92</v>
      </c>
    </row>
    <row r="1014" spans="1:9" ht="15" customHeight="1" x14ac:dyDescent="0.3">
      <c r="A1014" s="21" t="s">
        <v>131</v>
      </c>
      <c r="B1014" s="21">
        <v>2019</v>
      </c>
      <c r="C1014" s="21">
        <v>5</v>
      </c>
      <c r="D1014" s="21">
        <v>1</v>
      </c>
      <c r="E1014" s="21" t="s">
        <v>307</v>
      </c>
      <c r="F1014" s="21">
        <v>0</v>
      </c>
      <c r="G1014" s="21">
        <v>26.68</v>
      </c>
      <c r="H1014" s="21">
        <v>912.69</v>
      </c>
      <c r="I1014" s="21">
        <v>342.09</v>
      </c>
    </row>
    <row r="1015" spans="1:9" ht="15" customHeight="1" x14ac:dyDescent="0.3">
      <c r="A1015" s="21" t="s">
        <v>1381</v>
      </c>
      <c r="B1015" s="21">
        <v>2019</v>
      </c>
      <c r="C1015" s="21">
        <v>5</v>
      </c>
      <c r="D1015" s="21">
        <v>2</v>
      </c>
      <c r="E1015" s="21" t="s">
        <v>310</v>
      </c>
      <c r="F1015" s="21">
        <v>0</v>
      </c>
      <c r="G1015" s="21">
        <v>27.78</v>
      </c>
      <c r="H1015" s="21">
        <v>950.25</v>
      </c>
      <c r="I1015" s="21">
        <v>342.06</v>
      </c>
    </row>
    <row r="1016" spans="1:9" ht="15" customHeight="1" x14ac:dyDescent="0.3">
      <c r="A1016" s="21" t="s">
        <v>1382</v>
      </c>
      <c r="B1016" s="21">
        <v>2019</v>
      </c>
      <c r="C1016" s="21">
        <v>5</v>
      </c>
      <c r="D1016" s="21">
        <v>3</v>
      </c>
      <c r="E1016" s="21" t="s">
        <v>313</v>
      </c>
      <c r="F1016" s="21">
        <v>0</v>
      </c>
      <c r="G1016" s="21">
        <v>25.83</v>
      </c>
      <c r="H1016" s="21">
        <v>883.66</v>
      </c>
      <c r="I1016" s="21">
        <v>342.11</v>
      </c>
    </row>
    <row r="1017" spans="1:9" ht="15" customHeight="1" x14ac:dyDescent="0.3">
      <c r="A1017" s="21" t="s">
        <v>1383</v>
      </c>
      <c r="B1017" s="21">
        <v>2019</v>
      </c>
      <c r="C1017" s="21">
        <v>5</v>
      </c>
      <c r="D1017" s="21">
        <v>4</v>
      </c>
      <c r="E1017" s="21" t="s">
        <v>316</v>
      </c>
      <c r="F1017" s="21">
        <v>1</v>
      </c>
      <c r="G1017" s="21">
        <v>20.74</v>
      </c>
      <c r="H1017" s="21">
        <v>709.69</v>
      </c>
      <c r="I1017" s="21">
        <v>342.18</v>
      </c>
    </row>
    <row r="1018" spans="1:9" ht="15" customHeight="1" x14ac:dyDescent="0.3">
      <c r="A1018" s="21" t="s">
        <v>1384</v>
      </c>
      <c r="B1018" s="21">
        <v>2019</v>
      </c>
      <c r="C1018" s="21">
        <v>5</v>
      </c>
      <c r="D1018" s="21">
        <v>5</v>
      </c>
      <c r="E1018" s="21" t="s">
        <v>319</v>
      </c>
      <c r="F1018" s="21">
        <v>1</v>
      </c>
      <c r="G1018" s="21">
        <v>20.56</v>
      </c>
      <c r="H1018" s="21">
        <v>703.37</v>
      </c>
      <c r="I1018" s="21">
        <v>342.11</v>
      </c>
    </row>
    <row r="1019" spans="1:9" ht="15" customHeight="1" x14ac:dyDescent="0.3">
      <c r="A1019" s="21" t="s">
        <v>1385</v>
      </c>
      <c r="B1019" s="21">
        <v>2019</v>
      </c>
      <c r="C1019" s="21">
        <v>5</v>
      </c>
      <c r="D1019" s="21">
        <v>6</v>
      </c>
      <c r="E1019" s="21" t="s">
        <v>299</v>
      </c>
      <c r="F1019" s="21">
        <v>0</v>
      </c>
      <c r="G1019" s="21">
        <v>25.59</v>
      </c>
      <c r="H1019" s="21">
        <v>875.31</v>
      </c>
      <c r="I1019" s="21">
        <v>342.05</v>
      </c>
    </row>
    <row r="1020" spans="1:9" ht="15" customHeight="1" x14ac:dyDescent="0.3">
      <c r="A1020" s="21" t="s">
        <v>1386</v>
      </c>
      <c r="B1020" s="21">
        <v>2019</v>
      </c>
      <c r="C1020" s="21">
        <v>5</v>
      </c>
      <c r="D1020" s="21">
        <v>7</v>
      </c>
      <c r="E1020" s="21" t="s">
        <v>303</v>
      </c>
      <c r="F1020" s="21">
        <v>0</v>
      </c>
      <c r="G1020" s="21">
        <v>23.28</v>
      </c>
      <c r="H1020" s="21">
        <v>796.36</v>
      </c>
      <c r="I1020" s="21">
        <v>342.08</v>
      </c>
    </row>
    <row r="1021" spans="1:9" ht="15" customHeight="1" x14ac:dyDescent="0.3">
      <c r="A1021" s="21" t="s">
        <v>1387</v>
      </c>
      <c r="B1021" s="21">
        <v>2019</v>
      </c>
      <c r="C1021" s="21">
        <v>5</v>
      </c>
      <c r="D1021" s="21">
        <v>8</v>
      </c>
      <c r="E1021" s="21" t="s">
        <v>307</v>
      </c>
      <c r="F1021" s="21">
        <v>0</v>
      </c>
      <c r="G1021" s="21">
        <v>24.59</v>
      </c>
      <c r="H1021" s="21">
        <v>841.34</v>
      </c>
      <c r="I1021" s="21">
        <v>342.15</v>
      </c>
    </row>
    <row r="1022" spans="1:9" ht="15" customHeight="1" x14ac:dyDescent="0.3">
      <c r="A1022" s="21" t="s">
        <v>1388</v>
      </c>
      <c r="B1022" s="21">
        <v>2019</v>
      </c>
      <c r="C1022" s="21">
        <v>5</v>
      </c>
      <c r="D1022" s="21">
        <v>9</v>
      </c>
      <c r="E1022" s="21" t="s">
        <v>310</v>
      </c>
      <c r="F1022" s="21">
        <v>0</v>
      </c>
      <c r="G1022" s="21">
        <v>23.8</v>
      </c>
      <c r="H1022" s="21">
        <v>814.15</v>
      </c>
      <c r="I1022" s="21">
        <v>342.08</v>
      </c>
    </row>
    <row r="1023" spans="1:9" ht="15" customHeight="1" x14ac:dyDescent="0.3">
      <c r="A1023" s="21" t="s">
        <v>1389</v>
      </c>
      <c r="B1023" s="21">
        <v>2019</v>
      </c>
      <c r="C1023" s="21">
        <v>5</v>
      </c>
      <c r="D1023" s="21">
        <v>10</v>
      </c>
      <c r="E1023" s="21" t="s">
        <v>313</v>
      </c>
      <c r="F1023" s="21">
        <v>0</v>
      </c>
      <c r="G1023" s="21">
        <v>27.02</v>
      </c>
      <c r="H1023" s="21">
        <v>924.49</v>
      </c>
      <c r="I1023" s="21">
        <v>342.15</v>
      </c>
    </row>
    <row r="1024" spans="1:9" ht="15" customHeight="1" x14ac:dyDescent="0.3">
      <c r="A1024" s="21" t="s">
        <v>1390</v>
      </c>
      <c r="B1024" s="21">
        <v>2019</v>
      </c>
      <c r="C1024" s="21">
        <v>5</v>
      </c>
      <c r="D1024" s="21">
        <v>11</v>
      </c>
      <c r="E1024" s="21" t="s">
        <v>316</v>
      </c>
      <c r="F1024" s="21">
        <v>1</v>
      </c>
      <c r="G1024" s="21">
        <v>19.62</v>
      </c>
      <c r="H1024" s="21">
        <v>671.22</v>
      </c>
      <c r="I1024" s="21">
        <v>342.11</v>
      </c>
    </row>
    <row r="1025" spans="1:9" ht="15" customHeight="1" x14ac:dyDescent="0.3">
      <c r="A1025" s="21" t="s">
        <v>1391</v>
      </c>
      <c r="B1025" s="21">
        <v>2019</v>
      </c>
      <c r="C1025" s="21">
        <v>5</v>
      </c>
      <c r="D1025" s="21">
        <v>12</v>
      </c>
      <c r="E1025" s="21" t="s">
        <v>319</v>
      </c>
      <c r="F1025" s="21">
        <v>1</v>
      </c>
      <c r="G1025" s="21">
        <v>21.34</v>
      </c>
      <c r="H1025" s="21">
        <v>730.1</v>
      </c>
      <c r="I1025" s="21">
        <v>342.13</v>
      </c>
    </row>
    <row r="1026" spans="1:9" ht="15" customHeight="1" x14ac:dyDescent="0.3">
      <c r="A1026" s="21" t="s">
        <v>1392</v>
      </c>
      <c r="B1026" s="21">
        <v>2019</v>
      </c>
      <c r="C1026" s="21">
        <v>5</v>
      </c>
      <c r="D1026" s="21">
        <v>13</v>
      </c>
      <c r="E1026" s="21" t="s">
        <v>299</v>
      </c>
      <c r="F1026" s="21">
        <v>0</v>
      </c>
      <c r="G1026" s="21">
        <v>24.98</v>
      </c>
      <c r="H1026" s="21">
        <v>854.63</v>
      </c>
      <c r="I1026" s="21">
        <v>342.13</v>
      </c>
    </row>
    <row r="1027" spans="1:9" ht="15" customHeight="1" x14ac:dyDescent="0.3">
      <c r="A1027" s="21" t="s">
        <v>1393</v>
      </c>
      <c r="B1027" s="21">
        <v>2019</v>
      </c>
      <c r="C1027" s="21">
        <v>5</v>
      </c>
      <c r="D1027" s="21">
        <v>14</v>
      </c>
      <c r="E1027" s="21" t="s">
        <v>303</v>
      </c>
      <c r="F1027" s="21">
        <v>0</v>
      </c>
      <c r="G1027" s="21">
        <v>23.2</v>
      </c>
      <c r="H1027" s="21">
        <v>793.54</v>
      </c>
      <c r="I1027" s="21">
        <v>342.04</v>
      </c>
    </row>
    <row r="1028" spans="1:9" ht="15" customHeight="1" x14ac:dyDescent="0.3">
      <c r="A1028" s="21" t="s">
        <v>1394</v>
      </c>
      <c r="B1028" s="21">
        <v>2019</v>
      </c>
      <c r="C1028" s="21">
        <v>5</v>
      </c>
      <c r="D1028" s="21">
        <v>15</v>
      </c>
      <c r="E1028" s="21" t="s">
        <v>307</v>
      </c>
      <c r="F1028" s="21">
        <v>0</v>
      </c>
      <c r="G1028" s="21">
        <v>23.31</v>
      </c>
      <c r="H1028" s="21">
        <v>797.61</v>
      </c>
      <c r="I1028" s="21">
        <v>342.18</v>
      </c>
    </row>
    <row r="1029" spans="1:9" ht="15" customHeight="1" x14ac:dyDescent="0.3">
      <c r="A1029" s="21" t="s">
        <v>1395</v>
      </c>
      <c r="B1029" s="21">
        <v>2019</v>
      </c>
      <c r="C1029" s="21">
        <v>5</v>
      </c>
      <c r="D1029" s="21">
        <v>16</v>
      </c>
      <c r="E1029" s="21" t="s">
        <v>310</v>
      </c>
      <c r="F1029" s="21">
        <v>0</v>
      </c>
      <c r="G1029" s="21">
        <v>23.43</v>
      </c>
      <c r="H1029" s="21">
        <v>801.58</v>
      </c>
      <c r="I1029" s="21">
        <v>342.12</v>
      </c>
    </row>
    <row r="1030" spans="1:9" ht="15" customHeight="1" x14ac:dyDescent="0.3">
      <c r="A1030" s="21" t="s">
        <v>1396</v>
      </c>
      <c r="B1030" s="21">
        <v>2019</v>
      </c>
      <c r="C1030" s="21">
        <v>5</v>
      </c>
      <c r="D1030" s="21">
        <v>17</v>
      </c>
      <c r="E1030" s="21" t="s">
        <v>313</v>
      </c>
      <c r="F1030" s="21">
        <v>0</v>
      </c>
      <c r="G1030" s="21">
        <v>25.85</v>
      </c>
      <c r="H1030" s="21">
        <v>884.4</v>
      </c>
      <c r="I1030" s="21">
        <v>342.13</v>
      </c>
    </row>
    <row r="1031" spans="1:9" ht="15" customHeight="1" x14ac:dyDescent="0.3">
      <c r="A1031" s="21" t="s">
        <v>1397</v>
      </c>
      <c r="B1031" s="21">
        <v>2019</v>
      </c>
      <c r="C1031" s="21">
        <v>5</v>
      </c>
      <c r="D1031" s="21">
        <v>18</v>
      </c>
      <c r="E1031" s="21" t="s">
        <v>316</v>
      </c>
      <c r="F1031" s="21">
        <v>1</v>
      </c>
      <c r="G1031" s="21">
        <v>20.48</v>
      </c>
      <c r="H1031" s="21">
        <v>700.65</v>
      </c>
      <c r="I1031" s="21">
        <v>342.11</v>
      </c>
    </row>
    <row r="1032" spans="1:9" ht="15" customHeight="1" x14ac:dyDescent="0.3">
      <c r="A1032" s="21" t="s">
        <v>1398</v>
      </c>
      <c r="B1032" s="21">
        <v>2019</v>
      </c>
      <c r="C1032" s="21">
        <v>5</v>
      </c>
      <c r="D1032" s="21">
        <v>19</v>
      </c>
      <c r="E1032" s="21" t="s">
        <v>319</v>
      </c>
      <c r="F1032" s="21">
        <v>1</v>
      </c>
      <c r="G1032" s="21">
        <v>19.7</v>
      </c>
      <c r="H1032" s="21">
        <v>674.02</v>
      </c>
      <c r="I1032" s="21">
        <v>342.14</v>
      </c>
    </row>
    <row r="1033" spans="1:9" ht="15" customHeight="1" x14ac:dyDescent="0.3">
      <c r="A1033" s="21" t="s">
        <v>1399</v>
      </c>
      <c r="B1033" s="21">
        <v>2019</v>
      </c>
      <c r="C1033" s="21">
        <v>5</v>
      </c>
      <c r="D1033" s="21">
        <v>20</v>
      </c>
      <c r="E1033" s="21" t="s">
        <v>299</v>
      </c>
      <c r="F1033" s="21">
        <v>0</v>
      </c>
      <c r="G1033" s="21">
        <v>24.82</v>
      </c>
      <c r="H1033" s="21">
        <v>849.23</v>
      </c>
      <c r="I1033" s="21">
        <v>342.16</v>
      </c>
    </row>
    <row r="1034" spans="1:9" ht="15" customHeight="1" x14ac:dyDescent="0.3">
      <c r="A1034" s="21" t="s">
        <v>1400</v>
      </c>
      <c r="B1034" s="21">
        <v>2019</v>
      </c>
      <c r="C1034" s="21">
        <v>5</v>
      </c>
      <c r="D1034" s="21">
        <v>21</v>
      </c>
      <c r="E1034" s="21" t="s">
        <v>303</v>
      </c>
      <c r="F1034" s="21">
        <v>0</v>
      </c>
      <c r="G1034" s="21">
        <v>25.18</v>
      </c>
      <c r="H1034" s="21">
        <v>861.37</v>
      </c>
      <c r="I1034" s="21">
        <v>342.08</v>
      </c>
    </row>
    <row r="1035" spans="1:9" ht="15" customHeight="1" x14ac:dyDescent="0.3">
      <c r="A1035" s="21" t="s">
        <v>1401</v>
      </c>
      <c r="B1035" s="21">
        <v>2019</v>
      </c>
      <c r="C1035" s="21">
        <v>5</v>
      </c>
      <c r="D1035" s="21">
        <v>22</v>
      </c>
      <c r="E1035" s="21" t="s">
        <v>307</v>
      </c>
      <c r="F1035" s="21">
        <v>0</v>
      </c>
      <c r="G1035" s="21">
        <v>24.88</v>
      </c>
      <c r="H1035" s="21">
        <v>851.3</v>
      </c>
      <c r="I1035" s="21">
        <v>342.16</v>
      </c>
    </row>
    <row r="1036" spans="1:9" ht="15" customHeight="1" x14ac:dyDescent="0.3">
      <c r="A1036" s="21" t="s">
        <v>1402</v>
      </c>
      <c r="B1036" s="21">
        <v>2019</v>
      </c>
      <c r="C1036" s="21">
        <v>5</v>
      </c>
      <c r="D1036" s="21">
        <v>23</v>
      </c>
      <c r="E1036" s="21" t="s">
        <v>310</v>
      </c>
      <c r="F1036" s="21">
        <v>0</v>
      </c>
      <c r="G1036" s="21">
        <v>23.97</v>
      </c>
      <c r="H1036" s="21">
        <v>819.95</v>
      </c>
      <c r="I1036" s="21">
        <v>342.07</v>
      </c>
    </row>
    <row r="1037" spans="1:9" ht="15" customHeight="1" x14ac:dyDescent="0.3">
      <c r="A1037" s="21" t="s">
        <v>1403</v>
      </c>
      <c r="B1037" s="21">
        <v>2019</v>
      </c>
      <c r="C1037" s="21">
        <v>5</v>
      </c>
      <c r="D1037" s="21">
        <v>24</v>
      </c>
      <c r="E1037" s="21" t="s">
        <v>313</v>
      </c>
      <c r="F1037" s="21">
        <v>0</v>
      </c>
      <c r="G1037" s="21">
        <v>25.58</v>
      </c>
      <c r="H1037" s="21">
        <v>875.03</v>
      </c>
      <c r="I1037" s="21">
        <v>342.08</v>
      </c>
    </row>
    <row r="1038" spans="1:9" ht="15" customHeight="1" x14ac:dyDescent="0.3">
      <c r="A1038" s="21" t="s">
        <v>1404</v>
      </c>
      <c r="B1038" s="21">
        <v>2019</v>
      </c>
      <c r="C1038" s="21">
        <v>5</v>
      </c>
      <c r="D1038" s="21">
        <v>25</v>
      </c>
      <c r="E1038" s="21" t="s">
        <v>316</v>
      </c>
      <c r="F1038" s="21">
        <v>1</v>
      </c>
      <c r="G1038" s="21">
        <v>20.190000000000001</v>
      </c>
      <c r="H1038" s="21">
        <v>690.87</v>
      </c>
      <c r="I1038" s="21">
        <v>342.18</v>
      </c>
    </row>
    <row r="1039" spans="1:9" ht="15" customHeight="1" x14ac:dyDescent="0.3">
      <c r="A1039" s="21" t="s">
        <v>1405</v>
      </c>
      <c r="B1039" s="21">
        <v>2019</v>
      </c>
      <c r="C1039" s="21">
        <v>5</v>
      </c>
      <c r="D1039" s="21">
        <v>26</v>
      </c>
      <c r="E1039" s="21" t="s">
        <v>319</v>
      </c>
      <c r="F1039" s="21">
        <v>1</v>
      </c>
      <c r="G1039" s="21">
        <v>20.54</v>
      </c>
      <c r="H1039" s="21">
        <v>702.85</v>
      </c>
      <c r="I1039" s="21">
        <v>342.19</v>
      </c>
    </row>
    <row r="1040" spans="1:9" ht="15" customHeight="1" x14ac:dyDescent="0.3">
      <c r="A1040" s="21" t="s">
        <v>1406</v>
      </c>
      <c r="B1040" s="21">
        <v>2019</v>
      </c>
      <c r="C1040" s="21">
        <v>5</v>
      </c>
      <c r="D1040" s="21">
        <v>27</v>
      </c>
      <c r="E1040" s="21" t="s">
        <v>299</v>
      </c>
      <c r="F1040" s="21">
        <v>0</v>
      </c>
      <c r="G1040" s="21">
        <v>24.12</v>
      </c>
      <c r="H1040" s="21">
        <v>824.99</v>
      </c>
      <c r="I1040" s="21">
        <v>342.04</v>
      </c>
    </row>
    <row r="1041" spans="1:9" ht="15" customHeight="1" x14ac:dyDescent="0.3">
      <c r="A1041" s="21" t="s">
        <v>1407</v>
      </c>
      <c r="B1041" s="21">
        <v>2019</v>
      </c>
      <c r="C1041" s="21">
        <v>5</v>
      </c>
      <c r="D1041" s="21">
        <v>28</v>
      </c>
      <c r="E1041" s="21" t="s">
        <v>303</v>
      </c>
      <c r="F1041" s="21">
        <v>0</v>
      </c>
      <c r="G1041" s="21">
        <v>23.48</v>
      </c>
      <c r="H1041" s="21">
        <v>803.11</v>
      </c>
      <c r="I1041" s="21">
        <v>342.04</v>
      </c>
    </row>
    <row r="1042" spans="1:9" ht="15" customHeight="1" x14ac:dyDescent="0.3">
      <c r="A1042" s="21" t="s">
        <v>1408</v>
      </c>
      <c r="B1042" s="21">
        <v>2019</v>
      </c>
      <c r="C1042" s="21">
        <v>5</v>
      </c>
      <c r="D1042" s="21">
        <v>29</v>
      </c>
      <c r="E1042" s="21" t="s">
        <v>307</v>
      </c>
      <c r="F1042" s="21">
        <v>0</v>
      </c>
      <c r="G1042" s="21">
        <v>22.47</v>
      </c>
      <c r="H1042" s="21">
        <v>768.84</v>
      </c>
      <c r="I1042" s="21">
        <v>342.16</v>
      </c>
    </row>
    <row r="1043" spans="1:9" ht="15" customHeight="1" x14ac:dyDescent="0.3">
      <c r="A1043" s="21" t="s">
        <v>1409</v>
      </c>
      <c r="B1043" s="21">
        <v>2019</v>
      </c>
      <c r="C1043" s="21">
        <v>5</v>
      </c>
      <c r="D1043" s="21">
        <v>30</v>
      </c>
      <c r="E1043" s="21" t="s">
        <v>310</v>
      </c>
      <c r="F1043" s="21">
        <v>0</v>
      </c>
      <c r="G1043" s="21">
        <v>27.53</v>
      </c>
      <c r="H1043" s="21">
        <v>941.91</v>
      </c>
      <c r="I1043" s="21">
        <v>342.14</v>
      </c>
    </row>
    <row r="1044" spans="1:9" ht="15" customHeight="1" x14ac:dyDescent="0.3">
      <c r="A1044" s="21" t="s">
        <v>1410</v>
      </c>
      <c r="B1044" s="21">
        <v>2019</v>
      </c>
      <c r="C1044" s="21">
        <v>5</v>
      </c>
      <c r="D1044" s="21">
        <v>31</v>
      </c>
      <c r="E1044" s="21" t="s">
        <v>313</v>
      </c>
      <c r="F1044" s="21">
        <v>0</v>
      </c>
      <c r="G1044" s="21">
        <v>29.91</v>
      </c>
      <c r="H1044" s="21">
        <v>1023.29</v>
      </c>
      <c r="I1044" s="21">
        <v>342.12</v>
      </c>
    </row>
    <row r="1045" spans="1:9" ht="15" customHeight="1" x14ac:dyDescent="0.3">
      <c r="A1045" s="21" t="s">
        <v>132</v>
      </c>
      <c r="B1045" s="21">
        <v>2019</v>
      </c>
      <c r="C1045" s="21">
        <v>6</v>
      </c>
      <c r="D1045" s="21">
        <v>1</v>
      </c>
      <c r="E1045" s="21" t="s">
        <v>316</v>
      </c>
      <c r="F1045" s="21">
        <v>1</v>
      </c>
      <c r="G1045" s="21">
        <v>24.16</v>
      </c>
      <c r="H1045" s="21">
        <v>825.67</v>
      </c>
      <c r="I1045" s="21">
        <v>341.75</v>
      </c>
    </row>
    <row r="1046" spans="1:9" ht="15" customHeight="1" x14ac:dyDescent="0.3">
      <c r="A1046" s="21" t="s">
        <v>1411</v>
      </c>
      <c r="B1046" s="21">
        <v>2019</v>
      </c>
      <c r="C1046" s="21">
        <v>6</v>
      </c>
      <c r="D1046" s="21">
        <v>2</v>
      </c>
      <c r="E1046" s="21" t="s">
        <v>319</v>
      </c>
      <c r="F1046" s="21">
        <v>1</v>
      </c>
      <c r="G1046" s="21">
        <v>25.95</v>
      </c>
      <c r="H1046" s="21">
        <v>886.66</v>
      </c>
      <c r="I1046" s="21">
        <v>341.68</v>
      </c>
    </row>
    <row r="1047" spans="1:9" ht="15" customHeight="1" x14ac:dyDescent="0.3">
      <c r="A1047" s="21" t="s">
        <v>1412</v>
      </c>
      <c r="B1047" s="21">
        <v>2019</v>
      </c>
      <c r="C1047" s="21">
        <v>6</v>
      </c>
      <c r="D1047" s="21">
        <v>3</v>
      </c>
      <c r="E1047" s="21" t="s">
        <v>299</v>
      </c>
      <c r="F1047" s="21">
        <v>0</v>
      </c>
      <c r="G1047" s="21">
        <v>25.48</v>
      </c>
      <c r="H1047" s="21">
        <v>870.7</v>
      </c>
      <c r="I1047" s="21">
        <v>341.72</v>
      </c>
    </row>
    <row r="1048" spans="1:9" ht="15" customHeight="1" x14ac:dyDescent="0.3">
      <c r="A1048" s="21" t="s">
        <v>1413</v>
      </c>
      <c r="B1048" s="21">
        <v>2019</v>
      </c>
      <c r="C1048" s="21">
        <v>6</v>
      </c>
      <c r="D1048" s="21">
        <v>4</v>
      </c>
      <c r="E1048" s="21" t="s">
        <v>303</v>
      </c>
      <c r="F1048" s="21">
        <v>0</v>
      </c>
      <c r="G1048" s="21">
        <v>24.05</v>
      </c>
      <c r="H1048" s="21">
        <v>821.58</v>
      </c>
      <c r="I1048" s="21">
        <v>341.61</v>
      </c>
    </row>
    <row r="1049" spans="1:9" ht="15" customHeight="1" x14ac:dyDescent="0.3">
      <c r="A1049" s="21" t="s">
        <v>1414</v>
      </c>
      <c r="B1049" s="21">
        <v>2019</v>
      </c>
      <c r="C1049" s="21">
        <v>6</v>
      </c>
      <c r="D1049" s="21">
        <v>5</v>
      </c>
      <c r="E1049" s="21" t="s">
        <v>307</v>
      </c>
      <c r="F1049" s="21">
        <v>0</v>
      </c>
      <c r="G1049" s="21">
        <v>25.32</v>
      </c>
      <c r="H1049" s="21">
        <v>865.12</v>
      </c>
      <c r="I1049" s="21">
        <v>341.67</v>
      </c>
    </row>
    <row r="1050" spans="1:9" ht="15" customHeight="1" x14ac:dyDescent="0.3">
      <c r="A1050" s="21" t="s">
        <v>1415</v>
      </c>
      <c r="B1050" s="21">
        <v>2019</v>
      </c>
      <c r="C1050" s="21">
        <v>6</v>
      </c>
      <c r="D1050" s="21">
        <v>6</v>
      </c>
      <c r="E1050" s="21" t="s">
        <v>310</v>
      </c>
      <c r="F1050" s="21">
        <v>0</v>
      </c>
      <c r="G1050" s="21">
        <v>25.94</v>
      </c>
      <c r="H1050" s="21">
        <v>886.33</v>
      </c>
      <c r="I1050" s="21">
        <v>341.68</v>
      </c>
    </row>
    <row r="1051" spans="1:9" ht="15" customHeight="1" x14ac:dyDescent="0.3">
      <c r="A1051" s="21" t="s">
        <v>1416</v>
      </c>
      <c r="B1051" s="21">
        <v>2019</v>
      </c>
      <c r="C1051" s="21">
        <v>6</v>
      </c>
      <c r="D1051" s="21">
        <v>7</v>
      </c>
      <c r="E1051" s="21" t="s">
        <v>313</v>
      </c>
      <c r="F1051" s="21">
        <v>0</v>
      </c>
      <c r="G1051" s="21">
        <v>28.43</v>
      </c>
      <c r="H1051" s="21">
        <v>971.49</v>
      </c>
      <c r="I1051" s="21">
        <v>341.71</v>
      </c>
    </row>
    <row r="1052" spans="1:9" ht="15" customHeight="1" x14ac:dyDescent="0.3">
      <c r="A1052" s="21" t="s">
        <v>1417</v>
      </c>
      <c r="B1052" s="21">
        <v>2019</v>
      </c>
      <c r="C1052" s="21">
        <v>6</v>
      </c>
      <c r="D1052" s="21">
        <v>8</v>
      </c>
      <c r="E1052" s="21" t="s">
        <v>316</v>
      </c>
      <c r="F1052" s="21">
        <v>1</v>
      </c>
      <c r="G1052" s="21">
        <v>21.03</v>
      </c>
      <c r="H1052" s="21">
        <v>718.6</v>
      </c>
      <c r="I1052" s="21">
        <v>341.7</v>
      </c>
    </row>
    <row r="1053" spans="1:9" ht="15" customHeight="1" x14ac:dyDescent="0.3">
      <c r="A1053" s="21" t="s">
        <v>1418</v>
      </c>
      <c r="B1053" s="21">
        <v>2019</v>
      </c>
      <c r="C1053" s="21">
        <v>6</v>
      </c>
      <c r="D1053" s="21">
        <v>9</v>
      </c>
      <c r="E1053" s="21" t="s">
        <v>319</v>
      </c>
      <c r="F1053" s="21">
        <v>1</v>
      </c>
      <c r="G1053" s="21">
        <v>22.19</v>
      </c>
      <c r="H1053" s="21">
        <v>758.24</v>
      </c>
      <c r="I1053" s="21">
        <v>341.7</v>
      </c>
    </row>
    <row r="1054" spans="1:9" ht="15" customHeight="1" x14ac:dyDescent="0.3">
      <c r="A1054" s="21" t="s">
        <v>1419</v>
      </c>
      <c r="B1054" s="21">
        <v>2019</v>
      </c>
      <c r="C1054" s="21">
        <v>6</v>
      </c>
      <c r="D1054" s="21">
        <v>10</v>
      </c>
      <c r="E1054" s="21" t="s">
        <v>299</v>
      </c>
      <c r="F1054" s="21">
        <v>0</v>
      </c>
      <c r="G1054" s="21">
        <v>26.38</v>
      </c>
      <c r="H1054" s="21">
        <v>901.31</v>
      </c>
      <c r="I1054" s="21">
        <v>341.66</v>
      </c>
    </row>
    <row r="1055" spans="1:9" ht="15" customHeight="1" x14ac:dyDescent="0.3">
      <c r="A1055" s="21" t="s">
        <v>1420</v>
      </c>
      <c r="B1055" s="21">
        <v>2019</v>
      </c>
      <c r="C1055" s="21">
        <v>6</v>
      </c>
      <c r="D1055" s="21">
        <v>11</v>
      </c>
      <c r="E1055" s="21" t="s">
        <v>303</v>
      </c>
      <c r="F1055" s="21">
        <v>0</v>
      </c>
      <c r="G1055" s="21">
        <v>25.02</v>
      </c>
      <c r="H1055" s="21">
        <v>854.88</v>
      </c>
      <c r="I1055" s="21">
        <v>341.68</v>
      </c>
    </row>
    <row r="1056" spans="1:9" ht="15" customHeight="1" x14ac:dyDescent="0.3">
      <c r="A1056" s="21" t="s">
        <v>1421</v>
      </c>
      <c r="B1056" s="21">
        <v>2019</v>
      </c>
      <c r="C1056" s="21">
        <v>6</v>
      </c>
      <c r="D1056" s="21">
        <v>12</v>
      </c>
      <c r="E1056" s="21" t="s">
        <v>307</v>
      </c>
      <c r="F1056" s="21">
        <v>0</v>
      </c>
      <c r="G1056" s="21">
        <v>25.82</v>
      </c>
      <c r="H1056" s="21">
        <v>882.11</v>
      </c>
      <c r="I1056" s="21">
        <v>341.64</v>
      </c>
    </row>
    <row r="1057" spans="1:9" ht="15" customHeight="1" x14ac:dyDescent="0.3">
      <c r="A1057" s="21" t="s">
        <v>1422</v>
      </c>
      <c r="B1057" s="21">
        <v>2019</v>
      </c>
      <c r="C1057" s="21">
        <v>6</v>
      </c>
      <c r="D1057" s="21">
        <v>13</v>
      </c>
      <c r="E1057" s="21" t="s">
        <v>310</v>
      </c>
      <c r="F1057" s="21">
        <v>0</v>
      </c>
      <c r="G1057" s="21">
        <v>25.64</v>
      </c>
      <c r="H1057" s="21">
        <v>876.15</v>
      </c>
      <c r="I1057" s="21">
        <v>341.71</v>
      </c>
    </row>
    <row r="1058" spans="1:9" ht="15" customHeight="1" x14ac:dyDescent="0.3">
      <c r="A1058" s="21" t="s">
        <v>1423</v>
      </c>
      <c r="B1058" s="21">
        <v>2019</v>
      </c>
      <c r="C1058" s="21">
        <v>6</v>
      </c>
      <c r="D1058" s="21">
        <v>14</v>
      </c>
      <c r="E1058" s="21" t="s">
        <v>313</v>
      </c>
      <c r="F1058" s="21">
        <v>0</v>
      </c>
      <c r="G1058" s="21">
        <v>25.97</v>
      </c>
      <c r="H1058" s="21">
        <v>887.44</v>
      </c>
      <c r="I1058" s="21">
        <v>341.72</v>
      </c>
    </row>
    <row r="1059" spans="1:9" ht="15" customHeight="1" x14ac:dyDescent="0.3">
      <c r="A1059" s="21" t="s">
        <v>1424</v>
      </c>
      <c r="B1059" s="21">
        <v>2019</v>
      </c>
      <c r="C1059" s="21">
        <v>6</v>
      </c>
      <c r="D1059" s="21">
        <v>15</v>
      </c>
      <c r="E1059" s="21" t="s">
        <v>316</v>
      </c>
      <c r="F1059" s="21">
        <v>1</v>
      </c>
      <c r="G1059" s="21">
        <v>22.49</v>
      </c>
      <c r="H1059" s="21">
        <v>768.5</v>
      </c>
      <c r="I1059" s="21">
        <v>341.71</v>
      </c>
    </row>
    <row r="1060" spans="1:9" ht="15" customHeight="1" x14ac:dyDescent="0.3">
      <c r="A1060" s="21" t="s">
        <v>1425</v>
      </c>
      <c r="B1060" s="21">
        <v>2019</v>
      </c>
      <c r="C1060" s="21">
        <v>6</v>
      </c>
      <c r="D1060" s="21">
        <v>16</v>
      </c>
      <c r="E1060" s="21" t="s">
        <v>319</v>
      </c>
      <c r="F1060" s="21">
        <v>1</v>
      </c>
      <c r="G1060" s="21">
        <v>22.42</v>
      </c>
      <c r="H1060" s="21">
        <v>766.01</v>
      </c>
      <c r="I1060" s="21">
        <v>341.66</v>
      </c>
    </row>
    <row r="1061" spans="1:9" ht="15" customHeight="1" x14ac:dyDescent="0.3">
      <c r="A1061" s="21" t="s">
        <v>1426</v>
      </c>
      <c r="B1061" s="21">
        <v>2019</v>
      </c>
      <c r="C1061" s="21">
        <v>6</v>
      </c>
      <c r="D1061" s="21">
        <v>17</v>
      </c>
      <c r="E1061" s="21" t="s">
        <v>299</v>
      </c>
      <c r="F1061" s="21">
        <v>0</v>
      </c>
      <c r="G1061" s="21">
        <v>25.94</v>
      </c>
      <c r="H1061" s="21">
        <v>886.17</v>
      </c>
      <c r="I1061" s="21">
        <v>341.62</v>
      </c>
    </row>
    <row r="1062" spans="1:9" ht="15" customHeight="1" x14ac:dyDescent="0.3">
      <c r="A1062" s="21" t="s">
        <v>1427</v>
      </c>
      <c r="B1062" s="21">
        <v>2019</v>
      </c>
      <c r="C1062" s="21">
        <v>6</v>
      </c>
      <c r="D1062" s="21">
        <v>18</v>
      </c>
      <c r="E1062" s="21" t="s">
        <v>303</v>
      </c>
      <c r="F1062" s="21">
        <v>0</v>
      </c>
      <c r="G1062" s="21">
        <v>25.45</v>
      </c>
      <c r="H1062" s="21">
        <v>869.54</v>
      </c>
      <c r="I1062" s="21">
        <v>341.67</v>
      </c>
    </row>
    <row r="1063" spans="1:9" ht="15" customHeight="1" x14ac:dyDescent="0.3">
      <c r="A1063" s="21" t="s">
        <v>1428</v>
      </c>
      <c r="B1063" s="21">
        <v>2019</v>
      </c>
      <c r="C1063" s="21">
        <v>6</v>
      </c>
      <c r="D1063" s="21">
        <v>19</v>
      </c>
      <c r="E1063" s="21" t="s">
        <v>307</v>
      </c>
      <c r="F1063" s="21">
        <v>0</v>
      </c>
      <c r="G1063" s="21">
        <v>25.52</v>
      </c>
      <c r="H1063" s="21">
        <v>872.07</v>
      </c>
      <c r="I1063" s="21">
        <v>341.72</v>
      </c>
    </row>
    <row r="1064" spans="1:9" ht="15" customHeight="1" x14ac:dyDescent="0.3">
      <c r="A1064" s="21" t="s">
        <v>1429</v>
      </c>
      <c r="B1064" s="21">
        <v>2019</v>
      </c>
      <c r="C1064" s="21">
        <v>6</v>
      </c>
      <c r="D1064" s="21">
        <v>20</v>
      </c>
      <c r="E1064" s="21" t="s">
        <v>310</v>
      </c>
      <c r="F1064" s="21">
        <v>0</v>
      </c>
      <c r="G1064" s="21">
        <v>25.35</v>
      </c>
      <c r="H1064" s="21">
        <v>866.05</v>
      </c>
      <c r="I1064" s="21">
        <v>341.64</v>
      </c>
    </row>
    <row r="1065" spans="1:9" ht="15" customHeight="1" x14ac:dyDescent="0.3">
      <c r="A1065" s="21" t="s">
        <v>1430</v>
      </c>
      <c r="B1065" s="21">
        <v>2019</v>
      </c>
      <c r="C1065" s="21">
        <v>6</v>
      </c>
      <c r="D1065" s="21">
        <v>21</v>
      </c>
      <c r="E1065" s="21" t="s">
        <v>313</v>
      </c>
      <c r="F1065" s="21">
        <v>0</v>
      </c>
      <c r="G1065" s="21">
        <v>26.75</v>
      </c>
      <c r="H1065" s="21">
        <v>913.89</v>
      </c>
      <c r="I1065" s="21">
        <v>341.64</v>
      </c>
    </row>
    <row r="1066" spans="1:9" ht="15" customHeight="1" x14ac:dyDescent="0.3">
      <c r="A1066" s="21" t="s">
        <v>1431</v>
      </c>
      <c r="B1066" s="21">
        <v>2019</v>
      </c>
      <c r="C1066" s="21">
        <v>6</v>
      </c>
      <c r="D1066" s="21">
        <v>22</v>
      </c>
      <c r="E1066" s="21" t="s">
        <v>316</v>
      </c>
      <c r="F1066" s="21">
        <v>1</v>
      </c>
      <c r="G1066" s="21">
        <v>20.87</v>
      </c>
      <c r="H1066" s="21">
        <v>713.12</v>
      </c>
      <c r="I1066" s="21">
        <v>341.7</v>
      </c>
    </row>
    <row r="1067" spans="1:9" ht="15" customHeight="1" x14ac:dyDescent="0.3">
      <c r="A1067" s="21" t="s">
        <v>1432</v>
      </c>
      <c r="B1067" s="21">
        <v>2019</v>
      </c>
      <c r="C1067" s="21">
        <v>6</v>
      </c>
      <c r="D1067" s="21">
        <v>23</v>
      </c>
      <c r="E1067" s="21" t="s">
        <v>319</v>
      </c>
      <c r="F1067" s="21">
        <v>1</v>
      </c>
      <c r="G1067" s="21">
        <v>21.36</v>
      </c>
      <c r="H1067" s="21">
        <v>729.77</v>
      </c>
      <c r="I1067" s="21">
        <v>341.65</v>
      </c>
    </row>
    <row r="1068" spans="1:9" ht="15" customHeight="1" x14ac:dyDescent="0.3">
      <c r="A1068" s="21" t="s">
        <v>1433</v>
      </c>
      <c r="B1068" s="21">
        <v>2019</v>
      </c>
      <c r="C1068" s="21">
        <v>6</v>
      </c>
      <c r="D1068" s="21">
        <v>24</v>
      </c>
      <c r="E1068" s="21" t="s">
        <v>299</v>
      </c>
      <c r="F1068" s="21">
        <v>0</v>
      </c>
      <c r="G1068" s="21">
        <v>27.29</v>
      </c>
      <c r="H1068" s="21">
        <v>932.53</v>
      </c>
      <c r="I1068" s="21">
        <v>341.71</v>
      </c>
    </row>
    <row r="1069" spans="1:9" ht="15" customHeight="1" x14ac:dyDescent="0.3">
      <c r="A1069" s="21" t="s">
        <v>1434</v>
      </c>
      <c r="B1069" s="21">
        <v>2019</v>
      </c>
      <c r="C1069" s="21">
        <v>6</v>
      </c>
      <c r="D1069" s="21">
        <v>25</v>
      </c>
      <c r="E1069" s="21" t="s">
        <v>303</v>
      </c>
      <c r="F1069" s="21">
        <v>0</v>
      </c>
      <c r="G1069" s="21">
        <v>25.56</v>
      </c>
      <c r="H1069" s="21">
        <v>873.35</v>
      </c>
      <c r="I1069" s="21">
        <v>341.69</v>
      </c>
    </row>
    <row r="1070" spans="1:9" ht="15" customHeight="1" x14ac:dyDescent="0.3">
      <c r="A1070" s="21" t="s">
        <v>1435</v>
      </c>
      <c r="B1070" s="21">
        <v>2019</v>
      </c>
      <c r="C1070" s="21">
        <v>6</v>
      </c>
      <c r="D1070" s="21">
        <v>26</v>
      </c>
      <c r="E1070" s="21" t="s">
        <v>307</v>
      </c>
      <c r="F1070" s="21">
        <v>0</v>
      </c>
      <c r="G1070" s="21">
        <v>24.87</v>
      </c>
      <c r="H1070" s="21">
        <v>849.78</v>
      </c>
      <c r="I1070" s="21">
        <v>341.69</v>
      </c>
    </row>
    <row r="1071" spans="1:9" ht="15" customHeight="1" x14ac:dyDescent="0.3">
      <c r="A1071" s="21" t="s">
        <v>1436</v>
      </c>
      <c r="B1071" s="21">
        <v>2019</v>
      </c>
      <c r="C1071" s="21">
        <v>6</v>
      </c>
      <c r="D1071" s="21">
        <v>27</v>
      </c>
      <c r="E1071" s="21" t="s">
        <v>310</v>
      </c>
      <c r="F1071" s="21">
        <v>0</v>
      </c>
      <c r="G1071" s="21">
        <v>25.73</v>
      </c>
      <c r="H1071" s="21">
        <v>879.23</v>
      </c>
      <c r="I1071" s="21">
        <v>341.71</v>
      </c>
    </row>
    <row r="1072" spans="1:9" ht="15" customHeight="1" x14ac:dyDescent="0.3">
      <c r="A1072" s="21" t="s">
        <v>1437</v>
      </c>
      <c r="B1072" s="21">
        <v>2019</v>
      </c>
      <c r="C1072" s="21">
        <v>6</v>
      </c>
      <c r="D1072" s="21">
        <v>28</v>
      </c>
      <c r="E1072" s="21" t="s">
        <v>313</v>
      </c>
      <c r="F1072" s="21">
        <v>0</v>
      </c>
      <c r="G1072" s="21">
        <v>25.01</v>
      </c>
      <c r="H1072" s="21">
        <v>854.64</v>
      </c>
      <c r="I1072" s="21">
        <v>341.72</v>
      </c>
    </row>
    <row r="1073" spans="1:9" ht="15" customHeight="1" x14ac:dyDescent="0.3">
      <c r="A1073" s="21" t="s">
        <v>1438</v>
      </c>
      <c r="B1073" s="21">
        <v>2019</v>
      </c>
      <c r="C1073" s="21">
        <v>6</v>
      </c>
      <c r="D1073" s="21">
        <v>29</v>
      </c>
      <c r="E1073" s="21" t="s">
        <v>316</v>
      </c>
      <c r="F1073" s="21">
        <v>1</v>
      </c>
      <c r="G1073" s="21">
        <v>25.58</v>
      </c>
      <c r="H1073" s="21">
        <v>874.06</v>
      </c>
      <c r="I1073" s="21">
        <v>341.7</v>
      </c>
    </row>
    <row r="1074" spans="1:9" ht="15" customHeight="1" x14ac:dyDescent="0.3">
      <c r="A1074" s="21" t="s">
        <v>1439</v>
      </c>
      <c r="B1074" s="21">
        <v>2019</v>
      </c>
      <c r="C1074" s="21">
        <v>6</v>
      </c>
      <c r="D1074" s="21">
        <v>30</v>
      </c>
      <c r="E1074" s="21" t="s">
        <v>319</v>
      </c>
      <c r="F1074" s="21">
        <v>1</v>
      </c>
      <c r="G1074" s="21">
        <v>23.07</v>
      </c>
      <c r="H1074" s="21">
        <v>788.42</v>
      </c>
      <c r="I1074" s="21">
        <v>341.75</v>
      </c>
    </row>
    <row r="1075" spans="1:9" ht="15" customHeight="1" x14ac:dyDescent="0.3">
      <c r="A1075" s="21" t="s">
        <v>133</v>
      </c>
      <c r="B1075" s="21">
        <v>2019</v>
      </c>
      <c r="C1075" s="21">
        <v>7</v>
      </c>
      <c r="D1075" s="21">
        <v>1</v>
      </c>
      <c r="E1075" s="21" t="s">
        <v>299</v>
      </c>
      <c r="F1075" s="21">
        <v>0</v>
      </c>
      <c r="G1075" s="21">
        <v>31.7</v>
      </c>
      <c r="H1075" s="21">
        <v>1097.04</v>
      </c>
      <c r="I1075" s="21">
        <v>346.07</v>
      </c>
    </row>
    <row r="1076" spans="1:9" ht="15" customHeight="1" x14ac:dyDescent="0.3">
      <c r="A1076" s="21" t="s">
        <v>1440</v>
      </c>
      <c r="B1076" s="21">
        <v>2019</v>
      </c>
      <c r="C1076" s="21">
        <v>7</v>
      </c>
      <c r="D1076" s="21">
        <v>2</v>
      </c>
      <c r="E1076" s="21" t="s">
        <v>303</v>
      </c>
      <c r="F1076" s="21">
        <v>0</v>
      </c>
      <c r="G1076" s="21">
        <v>29.48</v>
      </c>
      <c r="H1076" s="21">
        <v>1020.27</v>
      </c>
      <c r="I1076" s="21">
        <v>346.09</v>
      </c>
    </row>
    <row r="1077" spans="1:9" ht="15" customHeight="1" x14ac:dyDescent="0.3">
      <c r="A1077" s="21" t="s">
        <v>1441</v>
      </c>
      <c r="B1077" s="21">
        <v>2019</v>
      </c>
      <c r="C1077" s="21">
        <v>7</v>
      </c>
      <c r="D1077" s="21">
        <v>3</v>
      </c>
      <c r="E1077" s="21" t="s">
        <v>307</v>
      </c>
      <c r="F1077" s="21">
        <v>0</v>
      </c>
      <c r="G1077" s="21">
        <v>25.5</v>
      </c>
      <c r="H1077" s="21">
        <v>882.38</v>
      </c>
      <c r="I1077" s="21">
        <v>346.03</v>
      </c>
    </row>
    <row r="1078" spans="1:9" ht="15" customHeight="1" x14ac:dyDescent="0.3">
      <c r="A1078" s="21" t="s">
        <v>1442</v>
      </c>
      <c r="B1078" s="21">
        <v>2019</v>
      </c>
      <c r="C1078" s="21">
        <v>7</v>
      </c>
      <c r="D1078" s="21">
        <v>4</v>
      </c>
      <c r="E1078" s="21" t="s">
        <v>310</v>
      </c>
      <c r="F1078" s="21">
        <v>0</v>
      </c>
      <c r="G1078" s="21">
        <v>27.45</v>
      </c>
      <c r="H1078" s="21">
        <v>950</v>
      </c>
      <c r="I1078" s="21">
        <v>346.08</v>
      </c>
    </row>
    <row r="1079" spans="1:9" ht="15" customHeight="1" x14ac:dyDescent="0.3">
      <c r="A1079" s="21" t="s">
        <v>1443</v>
      </c>
      <c r="B1079" s="21">
        <v>2019</v>
      </c>
      <c r="C1079" s="21">
        <v>7</v>
      </c>
      <c r="D1079" s="21">
        <v>5</v>
      </c>
      <c r="E1079" s="21" t="s">
        <v>313</v>
      </c>
      <c r="F1079" s="21">
        <v>0</v>
      </c>
      <c r="G1079" s="21">
        <v>28.28</v>
      </c>
      <c r="H1079" s="21">
        <v>978.59</v>
      </c>
      <c r="I1079" s="21">
        <v>346.04</v>
      </c>
    </row>
    <row r="1080" spans="1:9" ht="15" customHeight="1" x14ac:dyDescent="0.3">
      <c r="A1080" s="21" t="s">
        <v>1444</v>
      </c>
      <c r="B1080" s="21">
        <v>2019</v>
      </c>
      <c r="C1080" s="21">
        <v>7</v>
      </c>
      <c r="D1080" s="21">
        <v>6</v>
      </c>
      <c r="E1080" s="21" t="s">
        <v>316</v>
      </c>
      <c r="F1080" s="21">
        <v>1</v>
      </c>
      <c r="G1080" s="21">
        <v>22.82</v>
      </c>
      <c r="H1080" s="21">
        <v>789.87</v>
      </c>
      <c r="I1080" s="21">
        <v>346.13</v>
      </c>
    </row>
    <row r="1081" spans="1:9" ht="15" customHeight="1" x14ac:dyDescent="0.3">
      <c r="A1081" s="21" t="s">
        <v>1445</v>
      </c>
      <c r="B1081" s="21">
        <v>2019</v>
      </c>
      <c r="C1081" s="21">
        <v>7</v>
      </c>
      <c r="D1081" s="21">
        <v>7</v>
      </c>
      <c r="E1081" s="21" t="s">
        <v>319</v>
      </c>
      <c r="F1081" s="21">
        <v>1</v>
      </c>
      <c r="G1081" s="21">
        <v>22.51</v>
      </c>
      <c r="H1081" s="21">
        <v>779.04</v>
      </c>
      <c r="I1081" s="21">
        <v>346.09</v>
      </c>
    </row>
    <row r="1082" spans="1:9" ht="15" customHeight="1" x14ac:dyDescent="0.3">
      <c r="A1082" s="21" t="s">
        <v>1446</v>
      </c>
      <c r="B1082" s="21">
        <v>2019</v>
      </c>
      <c r="C1082" s="21">
        <v>7</v>
      </c>
      <c r="D1082" s="21">
        <v>8</v>
      </c>
      <c r="E1082" s="21" t="s">
        <v>299</v>
      </c>
      <c r="F1082" s="21">
        <v>0</v>
      </c>
      <c r="G1082" s="21">
        <v>28.23</v>
      </c>
      <c r="H1082" s="21">
        <v>977.07</v>
      </c>
      <c r="I1082" s="21">
        <v>346.11</v>
      </c>
    </row>
    <row r="1083" spans="1:9" ht="15" customHeight="1" x14ac:dyDescent="0.3">
      <c r="A1083" s="21" t="s">
        <v>1447</v>
      </c>
      <c r="B1083" s="21">
        <v>2019</v>
      </c>
      <c r="C1083" s="21">
        <v>7</v>
      </c>
      <c r="D1083" s="21">
        <v>9</v>
      </c>
      <c r="E1083" s="21" t="s">
        <v>303</v>
      </c>
      <c r="F1083" s="21">
        <v>0</v>
      </c>
      <c r="G1083" s="21">
        <v>26.59</v>
      </c>
      <c r="H1083" s="21">
        <v>920.15</v>
      </c>
      <c r="I1083" s="21">
        <v>346.05</v>
      </c>
    </row>
    <row r="1084" spans="1:9" ht="15" customHeight="1" x14ac:dyDescent="0.3">
      <c r="A1084" s="21" t="s">
        <v>1448</v>
      </c>
      <c r="B1084" s="21">
        <v>2019</v>
      </c>
      <c r="C1084" s="21">
        <v>7</v>
      </c>
      <c r="D1084" s="21">
        <v>10</v>
      </c>
      <c r="E1084" s="21" t="s">
        <v>307</v>
      </c>
      <c r="F1084" s="21">
        <v>0</v>
      </c>
      <c r="G1084" s="21">
        <v>25.5</v>
      </c>
      <c r="H1084" s="21">
        <v>882.7</v>
      </c>
      <c r="I1084" s="21">
        <v>346.16</v>
      </c>
    </row>
    <row r="1085" spans="1:9" ht="15" customHeight="1" x14ac:dyDescent="0.3">
      <c r="A1085" s="21" t="s">
        <v>1449</v>
      </c>
      <c r="B1085" s="21">
        <v>2019</v>
      </c>
      <c r="C1085" s="21">
        <v>7</v>
      </c>
      <c r="D1085" s="21">
        <v>11</v>
      </c>
      <c r="E1085" s="21" t="s">
        <v>310</v>
      </c>
      <c r="F1085" s="21">
        <v>0</v>
      </c>
      <c r="G1085" s="21">
        <v>27.32</v>
      </c>
      <c r="H1085" s="21">
        <v>945.47</v>
      </c>
      <c r="I1085" s="21">
        <v>346.07</v>
      </c>
    </row>
    <row r="1086" spans="1:9" ht="15" customHeight="1" x14ac:dyDescent="0.3">
      <c r="A1086" s="21" t="s">
        <v>1450</v>
      </c>
      <c r="B1086" s="21">
        <v>2019</v>
      </c>
      <c r="C1086" s="21">
        <v>7</v>
      </c>
      <c r="D1086" s="21">
        <v>12</v>
      </c>
      <c r="E1086" s="21" t="s">
        <v>313</v>
      </c>
      <c r="F1086" s="21">
        <v>0</v>
      </c>
      <c r="G1086" s="21">
        <v>28.25</v>
      </c>
      <c r="H1086" s="21">
        <v>977.88</v>
      </c>
      <c r="I1086" s="21">
        <v>346.15</v>
      </c>
    </row>
    <row r="1087" spans="1:9" ht="15" customHeight="1" x14ac:dyDescent="0.3">
      <c r="A1087" s="21" t="s">
        <v>1451</v>
      </c>
      <c r="B1087" s="21">
        <v>2019</v>
      </c>
      <c r="C1087" s="21">
        <v>7</v>
      </c>
      <c r="D1087" s="21">
        <v>13</v>
      </c>
      <c r="E1087" s="21" t="s">
        <v>316</v>
      </c>
      <c r="F1087" s="21">
        <v>1</v>
      </c>
      <c r="G1087" s="21">
        <v>21.31</v>
      </c>
      <c r="H1087" s="21">
        <v>737.46</v>
      </c>
      <c r="I1087" s="21">
        <v>346.06</v>
      </c>
    </row>
    <row r="1088" spans="1:9" ht="15" customHeight="1" x14ac:dyDescent="0.3">
      <c r="A1088" s="21" t="s">
        <v>1452</v>
      </c>
      <c r="B1088" s="21">
        <v>2019</v>
      </c>
      <c r="C1088" s="21">
        <v>7</v>
      </c>
      <c r="D1088" s="21">
        <v>14</v>
      </c>
      <c r="E1088" s="21" t="s">
        <v>319</v>
      </c>
      <c r="F1088" s="21">
        <v>1</v>
      </c>
      <c r="G1088" s="21">
        <v>22.21</v>
      </c>
      <c r="H1088" s="21">
        <v>768.54</v>
      </c>
      <c r="I1088" s="21">
        <v>346.03</v>
      </c>
    </row>
    <row r="1089" spans="1:9" ht="15" customHeight="1" x14ac:dyDescent="0.3">
      <c r="A1089" s="21" t="s">
        <v>1453</v>
      </c>
      <c r="B1089" s="21">
        <v>2019</v>
      </c>
      <c r="C1089" s="21">
        <v>7</v>
      </c>
      <c r="D1089" s="21">
        <v>15</v>
      </c>
      <c r="E1089" s="21" t="s">
        <v>299</v>
      </c>
      <c r="F1089" s="21">
        <v>0</v>
      </c>
      <c r="G1089" s="21">
        <v>29.05</v>
      </c>
      <c r="H1089" s="21">
        <v>1005.27</v>
      </c>
      <c r="I1089" s="21">
        <v>346.05</v>
      </c>
    </row>
    <row r="1090" spans="1:9" ht="15" customHeight="1" x14ac:dyDescent="0.3">
      <c r="A1090" s="21" t="s">
        <v>1454</v>
      </c>
      <c r="B1090" s="21">
        <v>2019</v>
      </c>
      <c r="C1090" s="21">
        <v>7</v>
      </c>
      <c r="D1090" s="21">
        <v>16</v>
      </c>
      <c r="E1090" s="21" t="s">
        <v>303</v>
      </c>
      <c r="F1090" s="21">
        <v>0</v>
      </c>
      <c r="G1090" s="21">
        <v>27.2</v>
      </c>
      <c r="H1090" s="21">
        <v>941.45</v>
      </c>
      <c r="I1090" s="21">
        <v>346.12</v>
      </c>
    </row>
    <row r="1091" spans="1:9" ht="15" customHeight="1" x14ac:dyDescent="0.3">
      <c r="A1091" s="21" t="s">
        <v>1455</v>
      </c>
      <c r="B1091" s="21">
        <v>2019</v>
      </c>
      <c r="C1091" s="21">
        <v>7</v>
      </c>
      <c r="D1091" s="21">
        <v>17</v>
      </c>
      <c r="E1091" s="21" t="s">
        <v>307</v>
      </c>
      <c r="F1091" s="21">
        <v>0</v>
      </c>
      <c r="G1091" s="21">
        <v>26.25</v>
      </c>
      <c r="H1091" s="21">
        <v>908.43</v>
      </c>
      <c r="I1091" s="21">
        <v>346.07</v>
      </c>
    </row>
    <row r="1092" spans="1:9" ht="15" customHeight="1" x14ac:dyDescent="0.3">
      <c r="A1092" s="21" t="s">
        <v>1456</v>
      </c>
      <c r="B1092" s="21">
        <v>2019</v>
      </c>
      <c r="C1092" s="21">
        <v>7</v>
      </c>
      <c r="D1092" s="21">
        <v>18</v>
      </c>
      <c r="E1092" s="21" t="s">
        <v>310</v>
      </c>
      <c r="F1092" s="21">
        <v>0</v>
      </c>
      <c r="G1092" s="21">
        <v>26.25</v>
      </c>
      <c r="H1092" s="21">
        <v>908.41</v>
      </c>
      <c r="I1092" s="21">
        <v>346.06</v>
      </c>
    </row>
    <row r="1093" spans="1:9" ht="15" customHeight="1" x14ac:dyDescent="0.3">
      <c r="A1093" s="21" t="s">
        <v>1457</v>
      </c>
      <c r="B1093" s="21">
        <v>2019</v>
      </c>
      <c r="C1093" s="21">
        <v>7</v>
      </c>
      <c r="D1093" s="21">
        <v>19</v>
      </c>
      <c r="E1093" s="21" t="s">
        <v>313</v>
      </c>
      <c r="F1093" s="21">
        <v>0</v>
      </c>
      <c r="G1093" s="21">
        <v>28.39</v>
      </c>
      <c r="H1093" s="21">
        <v>982.62</v>
      </c>
      <c r="I1093" s="21">
        <v>346.11</v>
      </c>
    </row>
    <row r="1094" spans="1:9" ht="15" customHeight="1" x14ac:dyDescent="0.3">
      <c r="A1094" s="21" t="s">
        <v>1458</v>
      </c>
      <c r="B1094" s="21">
        <v>2019</v>
      </c>
      <c r="C1094" s="21">
        <v>7</v>
      </c>
      <c r="D1094" s="21">
        <v>20</v>
      </c>
      <c r="E1094" s="21" t="s">
        <v>316</v>
      </c>
      <c r="F1094" s="21">
        <v>1</v>
      </c>
      <c r="G1094" s="21">
        <v>24.2</v>
      </c>
      <c r="H1094" s="21">
        <v>837.52</v>
      </c>
      <c r="I1094" s="21">
        <v>346.08</v>
      </c>
    </row>
    <row r="1095" spans="1:9" ht="15" customHeight="1" x14ac:dyDescent="0.3">
      <c r="A1095" s="21" t="s">
        <v>1459</v>
      </c>
      <c r="B1095" s="21">
        <v>2019</v>
      </c>
      <c r="C1095" s="21">
        <v>7</v>
      </c>
      <c r="D1095" s="21">
        <v>21</v>
      </c>
      <c r="E1095" s="21" t="s">
        <v>319</v>
      </c>
      <c r="F1095" s="21">
        <v>1</v>
      </c>
      <c r="G1095" s="21">
        <v>22.85</v>
      </c>
      <c r="H1095" s="21">
        <v>790.85</v>
      </c>
      <c r="I1095" s="21">
        <v>346.11</v>
      </c>
    </row>
    <row r="1096" spans="1:9" ht="15" customHeight="1" x14ac:dyDescent="0.3">
      <c r="A1096" s="21" t="s">
        <v>1460</v>
      </c>
      <c r="B1096" s="21">
        <v>2019</v>
      </c>
      <c r="C1096" s="21">
        <v>7</v>
      </c>
      <c r="D1096" s="21">
        <v>22</v>
      </c>
      <c r="E1096" s="21" t="s">
        <v>299</v>
      </c>
      <c r="F1096" s="21">
        <v>0</v>
      </c>
      <c r="G1096" s="21">
        <v>28.19</v>
      </c>
      <c r="H1096" s="21">
        <v>975.78</v>
      </c>
      <c r="I1096" s="21">
        <v>346.14</v>
      </c>
    </row>
    <row r="1097" spans="1:9" ht="15" customHeight="1" x14ac:dyDescent="0.3">
      <c r="A1097" s="21" t="s">
        <v>1461</v>
      </c>
      <c r="B1097" s="21">
        <v>2019</v>
      </c>
      <c r="C1097" s="21">
        <v>7</v>
      </c>
      <c r="D1097" s="21">
        <v>23</v>
      </c>
      <c r="E1097" s="21" t="s">
        <v>303</v>
      </c>
      <c r="F1097" s="21">
        <v>0</v>
      </c>
      <c r="G1097" s="21">
        <v>27.35</v>
      </c>
      <c r="H1097" s="21">
        <v>946.41</v>
      </c>
      <c r="I1097" s="21">
        <v>346.04</v>
      </c>
    </row>
    <row r="1098" spans="1:9" ht="15" customHeight="1" x14ac:dyDescent="0.3">
      <c r="A1098" s="21" t="s">
        <v>1462</v>
      </c>
      <c r="B1098" s="21">
        <v>2019</v>
      </c>
      <c r="C1098" s="21">
        <v>7</v>
      </c>
      <c r="D1098" s="21">
        <v>24</v>
      </c>
      <c r="E1098" s="21" t="s">
        <v>307</v>
      </c>
      <c r="F1098" s="21">
        <v>0</v>
      </c>
      <c r="G1098" s="21">
        <v>26.72</v>
      </c>
      <c r="H1098" s="21">
        <v>924.61</v>
      </c>
      <c r="I1098" s="21">
        <v>346.04</v>
      </c>
    </row>
    <row r="1099" spans="1:9" ht="15" customHeight="1" x14ac:dyDescent="0.3">
      <c r="A1099" s="21" t="s">
        <v>1463</v>
      </c>
      <c r="B1099" s="21">
        <v>2019</v>
      </c>
      <c r="C1099" s="21">
        <v>7</v>
      </c>
      <c r="D1099" s="21">
        <v>25</v>
      </c>
      <c r="E1099" s="21" t="s">
        <v>310</v>
      </c>
      <c r="F1099" s="21">
        <v>0</v>
      </c>
      <c r="G1099" s="21">
        <v>26.32</v>
      </c>
      <c r="H1099" s="21">
        <v>910.9</v>
      </c>
      <c r="I1099" s="21">
        <v>346.09</v>
      </c>
    </row>
    <row r="1100" spans="1:9" ht="15" customHeight="1" x14ac:dyDescent="0.3">
      <c r="A1100" s="21" t="s">
        <v>1464</v>
      </c>
      <c r="B1100" s="21">
        <v>2019</v>
      </c>
      <c r="C1100" s="21">
        <v>7</v>
      </c>
      <c r="D1100" s="21">
        <v>26</v>
      </c>
      <c r="E1100" s="21" t="s">
        <v>313</v>
      </c>
      <c r="F1100" s="21">
        <v>0</v>
      </c>
      <c r="G1100" s="21">
        <v>28.49</v>
      </c>
      <c r="H1100" s="21">
        <v>986.07</v>
      </c>
      <c r="I1100" s="21">
        <v>346.11</v>
      </c>
    </row>
    <row r="1101" spans="1:9" ht="15" customHeight="1" x14ac:dyDescent="0.3">
      <c r="A1101" s="21" t="s">
        <v>1465</v>
      </c>
      <c r="B1101" s="21">
        <v>2019</v>
      </c>
      <c r="C1101" s="21">
        <v>7</v>
      </c>
      <c r="D1101" s="21">
        <v>27</v>
      </c>
      <c r="E1101" s="21" t="s">
        <v>316</v>
      </c>
      <c r="F1101" s="21">
        <v>1</v>
      </c>
      <c r="G1101" s="21">
        <v>22.49</v>
      </c>
      <c r="H1101" s="21">
        <v>778.36</v>
      </c>
      <c r="I1101" s="21">
        <v>346.09</v>
      </c>
    </row>
    <row r="1102" spans="1:9" ht="15" customHeight="1" x14ac:dyDescent="0.3">
      <c r="A1102" s="21" t="s">
        <v>1466</v>
      </c>
      <c r="B1102" s="21">
        <v>2019</v>
      </c>
      <c r="C1102" s="21">
        <v>7</v>
      </c>
      <c r="D1102" s="21">
        <v>28</v>
      </c>
      <c r="E1102" s="21" t="s">
        <v>319</v>
      </c>
      <c r="F1102" s="21">
        <v>1</v>
      </c>
      <c r="G1102" s="21">
        <v>22.52</v>
      </c>
      <c r="H1102" s="21">
        <v>779.3</v>
      </c>
      <c r="I1102" s="21">
        <v>346.05</v>
      </c>
    </row>
    <row r="1103" spans="1:9" ht="15" customHeight="1" x14ac:dyDescent="0.3">
      <c r="A1103" s="21" t="s">
        <v>1467</v>
      </c>
      <c r="B1103" s="21">
        <v>2019</v>
      </c>
      <c r="C1103" s="21">
        <v>7</v>
      </c>
      <c r="D1103" s="21">
        <v>29</v>
      </c>
      <c r="E1103" s="21" t="s">
        <v>299</v>
      </c>
      <c r="F1103" s="21">
        <v>0</v>
      </c>
      <c r="G1103" s="21">
        <v>28.43</v>
      </c>
      <c r="H1103" s="21">
        <v>983.97</v>
      </c>
      <c r="I1103" s="21">
        <v>346.1</v>
      </c>
    </row>
    <row r="1104" spans="1:9" ht="15" customHeight="1" x14ac:dyDescent="0.3">
      <c r="A1104" s="21" t="s">
        <v>1468</v>
      </c>
      <c r="B1104" s="21">
        <v>2019</v>
      </c>
      <c r="C1104" s="21">
        <v>7</v>
      </c>
      <c r="D1104" s="21">
        <v>30</v>
      </c>
      <c r="E1104" s="21" t="s">
        <v>303</v>
      </c>
      <c r="F1104" s="21">
        <v>0</v>
      </c>
      <c r="G1104" s="21">
        <v>30.55</v>
      </c>
      <c r="H1104" s="21">
        <v>1057.3800000000001</v>
      </c>
      <c r="I1104" s="21">
        <v>346.11</v>
      </c>
    </row>
    <row r="1105" spans="1:9" ht="15" customHeight="1" x14ac:dyDescent="0.3">
      <c r="A1105" s="21" t="s">
        <v>1469</v>
      </c>
      <c r="B1105" s="21">
        <v>2019</v>
      </c>
      <c r="C1105" s="21">
        <v>7</v>
      </c>
      <c r="D1105" s="21">
        <v>31</v>
      </c>
      <c r="E1105" s="21" t="s">
        <v>307</v>
      </c>
      <c r="F1105" s="21">
        <v>0</v>
      </c>
      <c r="G1105" s="21">
        <v>31.18</v>
      </c>
      <c r="H1105" s="21">
        <v>1078.94</v>
      </c>
      <c r="I1105" s="21">
        <v>346.04</v>
      </c>
    </row>
    <row r="1106" spans="1:9" ht="15" customHeight="1" x14ac:dyDescent="0.3">
      <c r="A1106" s="21" t="s">
        <v>134</v>
      </c>
      <c r="B1106" s="21">
        <v>2019</v>
      </c>
      <c r="C1106" s="21">
        <v>8</v>
      </c>
      <c r="D1106" s="21">
        <v>1</v>
      </c>
      <c r="E1106" s="21" t="s">
        <v>310</v>
      </c>
      <c r="F1106" s="21">
        <v>0</v>
      </c>
      <c r="G1106" s="21">
        <v>33.979999999999997</v>
      </c>
      <c r="H1106" s="21">
        <v>1170.8599999999999</v>
      </c>
      <c r="I1106" s="21">
        <v>344.57</v>
      </c>
    </row>
    <row r="1107" spans="1:9" ht="15" customHeight="1" x14ac:dyDescent="0.3">
      <c r="A1107" s="21" t="s">
        <v>1470</v>
      </c>
      <c r="B1107" s="21">
        <v>2019</v>
      </c>
      <c r="C1107" s="21">
        <v>8</v>
      </c>
      <c r="D1107" s="21">
        <v>2</v>
      </c>
      <c r="E1107" s="21" t="s">
        <v>313</v>
      </c>
      <c r="F1107" s="21">
        <v>0</v>
      </c>
      <c r="G1107" s="21">
        <v>36.869999999999997</v>
      </c>
      <c r="H1107" s="21">
        <v>1270.3699999999999</v>
      </c>
      <c r="I1107" s="21">
        <v>344.55</v>
      </c>
    </row>
    <row r="1108" spans="1:9" ht="15" customHeight="1" x14ac:dyDescent="0.3">
      <c r="A1108" s="21" t="s">
        <v>1471</v>
      </c>
      <c r="B1108" s="21">
        <v>2019</v>
      </c>
      <c r="C1108" s="21">
        <v>8</v>
      </c>
      <c r="D1108" s="21">
        <v>3</v>
      </c>
      <c r="E1108" s="21" t="s">
        <v>316</v>
      </c>
      <c r="F1108" s="21">
        <v>1</v>
      </c>
      <c r="G1108" s="21">
        <v>23.4</v>
      </c>
      <c r="H1108" s="21">
        <v>806.34</v>
      </c>
      <c r="I1108" s="21">
        <v>344.59</v>
      </c>
    </row>
    <row r="1109" spans="1:9" ht="15" customHeight="1" x14ac:dyDescent="0.3">
      <c r="A1109" s="21" t="s">
        <v>1472</v>
      </c>
      <c r="B1109" s="21">
        <v>2019</v>
      </c>
      <c r="C1109" s="21">
        <v>8</v>
      </c>
      <c r="D1109" s="21">
        <v>4</v>
      </c>
      <c r="E1109" s="21" t="s">
        <v>319</v>
      </c>
      <c r="F1109" s="21">
        <v>1</v>
      </c>
      <c r="G1109" s="21">
        <v>25.99</v>
      </c>
      <c r="H1109" s="21">
        <v>895.58</v>
      </c>
      <c r="I1109" s="21">
        <v>344.59</v>
      </c>
    </row>
    <row r="1110" spans="1:9" ht="15" customHeight="1" x14ac:dyDescent="0.3">
      <c r="A1110" s="21" t="s">
        <v>1473</v>
      </c>
      <c r="B1110" s="21">
        <v>2019</v>
      </c>
      <c r="C1110" s="21">
        <v>8</v>
      </c>
      <c r="D1110" s="21">
        <v>5</v>
      </c>
      <c r="E1110" s="21" t="s">
        <v>299</v>
      </c>
      <c r="F1110" s="21">
        <v>0</v>
      </c>
      <c r="G1110" s="21">
        <v>31.41</v>
      </c>
      <c r="H1110" s="21">
        <v>1082.25</v>
      </c>
      <c r="I1110" s="21">
        <v>344.56</v>
      </c>
    </row>
    <row r="1111" spans="1:9" ht="15" customHeight="1" x14ac:dyDescent="0.3">
      <c r="A1111" s="21" t="s">
        <v>1474</v>
      </c>
      <c r="B1111" s="21">
        <v>2019</v>
      </c>
      <c r="C1111" s="21">
        <v>8</v>
      </c>
      <c r="D1111" s="21">
        <v>6</v>
      </c>
      <c r="E1111" s="21" t="s">
        <v>303</v>
      </c>
      <c r="F1111" s="21">
        <v>0</v>
      </c>
      <c r="G1111" s="21">
        <v>30.51</v>
      </c>
      <c r="H1111" s="21">
        <v>1051.17</v>
      </c>
      <c r="I1111" s="21">
        <v>344.53</v>
      </c>
    </row>
    <row r="1112" spans="1:9" ht="15" customHeight="1" x14ac:dyDescent="0.3">
      <c r="A1112" s="21" t="s">
        <v>1475</v>
      </c>
      <c r="B1112" s="21">
        <v>2019</v>
      </c>
      <c r="C1112" s="21">
        <v>8</v>
      </c>
      <c r="D1112" s="21">
        <v>7</v>
      </c>
      <c r="E1112" s="21" t="s">
        <v>307</v>
      </c>
      <c r="F1112" s="21">
        <v>0</v>
      </c>
      <c r="G1112" s="21">
        <v>27.05</v>
      </c>
      <c r="H1112" s="21">
        <v>931.93</v>
      </c>
      <c r="I1112" s="21">
        <v>344.52</v>
      </c>
    </row>
    <row r="1113" spans="1:9" ht="15" customHeight="1" x14ac:dyDescent="0.3">
      <c r="A1113" s="21" t="s">
        <v>1476</v>
      </c>
      <c r="B1113" s="21">
        <v>2019</v>
      </c>
      <c r="C1113" s="21">
        <v>8</v>
      </c>
      <c r="D1113" s="21">
        <v>8</v>
      </c>
      <c r="E1113" s="21" t="s">
        <v>310</v>
      </c>
      <c r="F1113" s="21">
        <v>0</v>
      </c>
      <c r="G1113" s="21">
        <v>31.48</v>
      </c>
      <c r="H1113" s="21">
        <v>1084.56</v>
      </c>
      <c r="I1113" s="21">
        <v>344.52</v>
      </c>
    </row>
    <row r="1114" spans="1:9" ht="15" customHeight="1" x14ac:dyDescent="0.3">
      <c r="A1114" s="21" t="s">
        <v>1477</v>
      </c>
      <c r="B1114" s="21">
        <v>2019</v>
      </c>
      <c r="C1114" s="21">
        <v>8</v>
      </c>
      <c r="D1114" s="21">
        <v>9</v>
      </c>
      <c r="E1114" s="21" t="s">
        <v>313</v>
      </c>
      <c r="F1114" s="21">
        <v>0</v>
      </c>
      <c r="G1114" s="21">
        <v>31.87</v>
      </c>
      <c r="H1114" s="21">
        <v>1097.99</v>
      </c>
      <c r="I1114" s="21">
        <v>344.52</v>
      </c>
    </row>
    <row r="1115" spans="1:9" ht="15" customHeight="1" x14ac:dyDescent="0.3">
      <c r="A1115" s="21" t="s">
        <v>1478</v>
      </c>
      <c r="B1115" s="21">
        <v>2019</v>
      </c>
      <c r="C1115" s="21">
        <v>8</v>
      </c>
      <c r="D1115" s="21">
        <v>10</v>
      </c>
      <c r="E1115" s="21" t="s">
        <v>316</v>
      </c>
      <c r="F1115" s="21">
        <v>1</v>
      </c>
      <c r="G1115" s="21">
        <v>26.16</v>
      </c>
      <c r="H1115" s="21">
        <v>901.45</v>
      </c>
      <c r="I1115" s="21">
        <v>344.59</v>
      </c>
    </row>
    <row r="1116" spans="1:9" ht="15" customHeight="1" x14ac:dyDescent="0.3">
      <c r="A1116" s="21" t="s">
        <v>1479</v>
      </c>
      <c r="B1116" s="21">
        <v>2019</v>
      </c>
      <c r="C1116" s="21">
        <v>8</v>
      </c>
      <c r="D1116" s="21">
        <v>11</v>
      </c>
      <c r="E1116" s="21" t="s">
        <v>319</v>
      </c>
      <c r="F1116" s="21">
        <v>1</v>
      </c>
      <c r="G1116" s="21">
        <v>24.26</v>
      </c>
      <c r="H1116" s="21">
        <v>835.68</v>
      </c>
      <c r="I1116" s="21">
        <v>344.47</v>
      </c>
    </row>
    <row r="1117" spans="1:9" ht="15" customHeight="1" x14ac:dyDescent="0.3">
      <c r="A1117" s="21" t="s">
        <v>1480</v>
      </c>
      <c r="B1117" s="21">
        <v>2019</v>
      </c>
      <c r="C1117" s="21">
        <v>8</v>
      </c>
      <c r="D1117" s="21">
        <v>12</v>
      </c>
      <c r="E1117" s="21" t="s">
        <v>299</v>
      </c>
      <c r="F1117" s="21">
        <v>0</v>
      </c>
      <c r="G1117" s="21">
        <v>31.65</v>
      </c>
      <c r="H1117" s="21">
        <v>1090.4100000000001</v>
      </c>
      <c r="I1117" s="21">
        <v>344.52</v>
      </c>
    </row>
    <row r="1118" spans="1:9" ht="15" customHeight="1" x14ac:dyDescent="0.3">
      <c r="A1118" s="21" t="s">
        <v>1481</v>
      </c>
      <c r="B1118" s="21">
        <v>2019</v>
      </c>
      <c r="C1118" s="21">
        <v>8</v>
      </c>
      <c r="D1118" s="21">
        <v>13</v>
      </c>
      <c r="E1118" s="21" t="s">
        <v>303</v>
      </c>
      <c r="F1118" s="21">
        <v>0</v>
      </c>
      <c r="G1118" s="21">
        <v>28.69</v>
      </c>
      <c r="H1118" s="21">
        <v>988.36</v>
      </c>
      <c r="I1118" s="21">
        <v>344.5</v>
      </c>
    </row>
    <row r="1119" spans="1:9" ht="15" customHeight="1" x14ac:dyDescent="0.3">
      <c r="A1119" s="21" t="s">
        <v>1482</v>
      </c>
      <c r="B1119" s="21">
        <v>2019</v>
      </c>
      <c r="C1119" s="21">
        <v>8</v>
      </c>
      <c r="D1119" s="21">
        <v>14</v>
      </c>
      <c r="E1119" s="21" t="s">
        <v>307</v>
      </c>
      <c r="F1119" s="21">
        <v>0</v>
      </c>
      <c r="G1119" s="21">
        <v>29.07</v>
      </c>
      <c r="H1119" s="21">
        <v>1001.51</v>
      </c>
      <c r="I1119" s="21">
        <v>344.52</v>
      </c>
    </row>
    <row r="1120" spans="1:9" ht="15" customHeight="1" x14ac:dyDescent="0.3">
      <c r="A1120" s="21" t="s">
        <v>1483</v>
      </c>
      <c r="B1120" s="21">
        <v>2019</v>
      </c>
      <c r="C1120" s="21">
        <v>8</v>
      </c>
      <c r="D1120" s="21">
        <v>15</v>
      </c>
      <c r="E1120" s="21" t="s">
        <v>310</v>
      </c>
      <c r="F1120" s="21">
        <v>0</v>
      </c>
      <c r="G1120" s="21">
        <v>31.32</v>
      </c>
      <c r="H1120" s="21">
        <v>1079.22</v>
      </c>
      <c r="I1120" s="21">
        <v>344.58</v>
      </c>
    </row>
    <row r="1121" spans="1:9" ht="15" customHeight="1" x14ac:dyDescent="0.3">
      <c r="A1121" s="21" t="s">
        <v>1484</v>
      </c>
      <c r="B1121" s="21">
        <v>2019</v>
      </c>
      <c r="C1121" s="21">
        <v>8</v>
      </c>
      <c r="D1121" s="21">
        <v>16</v>
      </c>
      <c r="E1121" s="21" t="s">
        <v>313</v>
      </c>
      <c r="F1121" s="21">
        <v>0</v>
      </c>
      <c r="G1121" s="21">
        <v>31.82</v>
      </c>
      <c r="H1121" s="21">
        <v>1096.42</v>
      </c>
      <c r="I1121" s="21">
        <v>344.57</v>
      </c>
    </row>
    <row r="1122" spans="1:9" ht="15" customHeight="1" x14ac:dyDescent="0.3">
      <c r="A1122" s="21" t="s">
        <v>1485</v>
      </c>
      <c r="B1122" s="21">
        <v>2019</v>
      </c>
      <c r="C1122" s="21">
        <v>8</v>
      </c>
      <c r="D1122" s="21">
        <v>17</v>
      </c>
      <c r="E1122" s="21" t="s">
        <v>316</v>
      </c>
      <c r="F1122" s="21">
        <v>1</v>
      </c>
      <c r="G1122" s="21">
        <v>25.37</v>
      </c>
      <c r="H1122" s="21">
        <v>874.18</v>
      </c>
      <c r="I1122" s="21">
        <v>344.57</v>
      </c>
    </row>
    <row r="1123" spans="1:9" ht="15" customHeight="1" x14ac:dyDescent="0.3">
      <c r="A1123" s="21" t="s">
        <v>1486</v>
      </c>
      <c r="B1123" s="21">
        <v>2019</v>
      </c>
      <c r="C1123" s="21">
        <v>8</v>
      </c>
      <c r="D1123" s="21">
        <v>18</v>
      </c>
      <c r="E1123" s="21" t="s">
        <v>319</v>
      </c>
      <c r="F1123" s="21">
        <v>1</v>
      </c>
      <c r="G1123" s="21">
        <v>25.95</v>
      </c>
      <c r="H1123" s="21">
        <v>894.16</v>
      </c>
      <c r="I1123" s="21">
        <v>344.57</v>
      </c>
    </row>
    <row r="1124" spans="1:9" ht="15" customHeight="1" x14ac:dyDescent="0.3">
      <c r="A1124" s="21" t="s">
        <v>1487</v>
      </c>
      <c r="B1124" s="21">
        <v>2019</v>
      </c>
      <c r="C1124" s="21">
        <v>8</v>
      </c>
      <c r="D1124" s="21">
        <v>19</v>
      </c>
      <c r="E1124" s="21" t="s">
        <v>299</v>
      </c>
      <c r="F1124" s="21">
        <v>0</v>
      </c>
      <c r="G1124" s="21">
        <v>31.54</v>
      </c>
      <c r="H1124" s="21">
        <v>1086.82</v>
      </c>
      <c r="I1124" s="21">
        <v>344.58</v>
      </c>
    </row>
    <row r="1125" spans="1:9" ht="15" customHeight="1" x14ac:dyDescent="0.3">
      <c r="A1125" s="21" t="s">
        <v>1488</v>
      </c>
      <c r="B1125" s="21">
        <v>2019</v>
      </c>
      <c r="C1125" s="21">
        <v>8</v>
      </c>
      <c r="D1125" s="21">
        <v>20</v>
      </c>
      <c r="E1125" s="21" t="s">
        <v>303</v>
      </c>
      <c r="F1125" s="21">
        <v>0</v>
      </c>
      <c r="G1125" s="21">
        <v>29.76</v>
      </c>
      <c r="H1125" s="21">
        <v>1025.22</v>
      </c>
      <c r="I1125" s="21">
        <v>344.5</v>
      </c>
    </row>
    <row r="1126" spans="1:9" ht="15" customHeight="1" x14ac:dyDescent="0.3">
      <c r="A1126" s="21" t="s">
        <v>1489</v>
      </c>
      <c r="B1126" s="21">
        <v>2019</v>
      </c>
      <c r="C1126" s="21">
        <v>8</v>
      </c>
      <c r="D1126" s="21">
        <v>21</v>
      </c>
      <c r="E1126" s="21" t="s">
        <v>307</v>
      </c>
      <c r="F1126" s="21">
        <v>0</v>
      </c>
      <c r="G1126" s="21">
        <v>29.95</v>
      </c>
      <c r="H1126" s="21">
        <v>1031.79</v>
      </c>
      <c r="I1126" s="21">
        <v>344.5</v>
      </c>
    </row>
    <row r="1127" spans="1:9" ht="15" customHeight="1" x14ac:dyDescent="0.3">
      <c r="A1127" s="21" t="s">
        <v>1490</v>
      </c>
      <c r="B1127" s="21">
        <v>2019</v>
      </c>
      <c r="C1127" s="21">
        <v>8</v>
      </c>
      <c r="D1127" s="21">
        <v>22</v>
      </c>
      <c r="E1127" s="21" t="s">
        <v>310</v>
      </c>
      <c r="F1127" s="21">
        <v>0</v>
      </c>
      <c r="G1127" s="21">
        <v>31.76</v>
      </c>
      <c r="H1127" s="21">
        <v>1094.2</v>
      </c>
      <c r="I1127" s="21">
        <v>344.52</v>
      </c>
    </row>
    <row r="1128" spans="1:9" ht="15" customHeight="1" x14ac:dyDescent="0.3">
      <c r="A1128" s="21" t="s">
        <v>1491</v>
      </c>
      <c r="B1128" s="21">
        <v>2019</v>
      </c>
      <c r="C1128" s="21">
        <v>8</v>
      </c>
      <c r="D1128" s="21">
        <v>23</v>
      </c>
      <c r="E1128" s="21" t="s">
        <v>313</v>
      </c>
      <c r="F1128" s="21">
        <v>0</v>
      </c>
      <c r="G1128" s="21">
        <v>31.94</v>
      </c>
      <c r="H1128" s="21">
        <v>1100.5</v>
      </c>
      <c r="I1128" s="21">
        <v>344.55</v>
      </c>
    </row>
    <row r="1129" spans="1:9" ht="15" customHeight="1" x14ac:dyDescent="0.3">
      <c r="A1129" s="21" t="s">
        <v>1492</v>
      </c>
      <c r="B1129" s="21">
        <v>2019</v>
      </c>
      <c r="C1129" s="21">
        <v>8</v>
      </c>
      <c r="D1129" s="21">
        <v>24</v>
      </c>
      <c r="E1129" s="21" t="s">
        <v>316</v>
      </c>
      <c r="F1129" s="21">
        <v>1</v>
      </c>
      <c r="G1129" s="21">
        <v>25.36</v>
      </c>
      <c r="H1129" s="21">
        <v>873.68</v>
      </c>
      <c r="I1129" s="21">
        <v>344.51</v>
      </c>
    </row>
    <row r="1130" spans="1:9" ht="15" customHeight="1" x14ac:dyDescent="0.3">
      <c r="A1130" s="21" t="s">
        <v>1493</v>
      </c>
      <c r="B1130" s="21">
        <v>2019</v>
      </c>
      <c r="C1130" s="21">
        <v>8</v>
      </c>
      <c r="D1130" s="21">
        <v>25</v>
      </c>
      <c r="E1130" s="21" t="s">
        <v>319</v>
      </c>
      <c r="F1130" s="21">
        <v>1</v>
      </c>
      <c r="G1130" s="21">
        <v>26.11</v>
      </c>
      <c r="H1130" s="21">
        <v>899.69</v>
      </c>
      <c r="I1130" s="21">
        <v>344.58</v>
      </c>
    </row>
    <row r="1131" spans="1:9" ht="15" customHeight="1" x14ac:dyDescent="0.3">
      <c r="A1131" s="21" t="s">
        <v>1494</v>
      </c>
      <c r="B1131" s="21">
        <v>2019</v>
      </c>
      <c r="C1131" s="21">
        <v>8</v>
      </c>
      <c r="D1131" s="21">
        <v>26</v>
      </c>
      <c r="E1131" s="21" t="s">
        <v>299</v>
      </c>
      <c r="F1131" s="21">
        <v>0</v>
      </c>
      <c r="G1131" s="21">
        <v>32.090000000000003</v>
      </c>
      <c r="H1131" s="21">
        <v>1105.49</v>
      </c>
      <c r="I1131" s="21">
        <v>344.5</v>
      </c>
    </row>
    <row r="1132" spans="1:9" ht="15" customHeight="1" x14ac:dyDescent="0.3">
      <c r="A1132" s="21" t="s">
        <v>1495</v>
      </c>
      <c r="B1132" s="21">
        <v>2019</v>
      </c>
      <c r="C1132" s="21">
        <v>8</v>
      </c>
      <c r="D1132" s="21">
        <v>27</v>
      </c>
      <c r="E1132" s="21" t="s">
        <v>303</v>
      </c>
      <c r="F1132" s="21">
        <v>0</v>
      </c>
      <c r="G1132" s="21">
        <v>30.68</v>
      </c>
      <c r="H1132" s="21">
        <v>1056.96</v>
      </c>
      <c r="I1132" s="21">
        <v>344.51</v>
      </c>
    </row>
    <row r="1133" spans="1:9" ht="15" customHeight="1" x14ac:dyDescent="0.3">
      <c r="A1133" s="21" t="s">
        <v>1496</v>
      </c>
      <c r="B1133" s="21">
        <v>2019</v>
      </c>
      <c r="C1133" s="21">
        <v>8</v>
      </c>
      <c r="D1133" s="21">
        <v>28</v>
      </c>
      <c r="E1133" s="21" t="s">
        <v>307</v>
      </c>
      <c r="F1133" s="21">
        <v>0</v>
      </c>
      <c r="G1133" s="21">
        <v>30.19</v>
      </c>
      <c r="H1133" s="21">
        <v>1040.17</v>
      </c>
      <c r="I1133" s="21">
        <v>344.54</v>
      </c>
    </row>
    <row r="1134" spans="1:9" ht="15" customHeight="1" x14ac:dyDescent="0.3">
      <c r="A1134" s="21" t="s">
        <v>1497</v>
      </c>
      <c r="B1134" s="21">
        <v>2019</v>
      </c>
      <c r="C1134" s="21">
        <v>8</v>
      </c>
      <c r="D1134" s="21">
        <v>29</v>
      </c>
      <c r="E1134" s="21" t="s">
        <v>310</v>
      </c>
      <c r="F1134" s="21">
        <v>0</v>
      </c>
      <c r="G1134" s="21">
        <v>28.61</v>
      </c>
      <c r="H1134" s="21">
        <v>985.62</v>
      </c>
      <c r="I1134" s="21">
        <v>344.5</v>
      </c>
    </row>
    <row r="1135" spans="1:9" ht="15" customHeight="1" x14ac:dyDescent="0.3">
      <c r="A1135" s="21" t="s">
        <v>1498</v>
      </c>
      <c r="B1135" s="21">
        <v>2019</v>
      </c>
      <c r="C1135" s="21">
        <v>8</v>
      </c>
      <c r="D1135" s="21">
        <v>30</v>
      </c>
      <c r="E1135" s="21" t="s">
        <v>313</v>
      </c>
      <c r="F1135" s="21">
        <v>0</v>
      </c>
      <c r="G1135" s="21">
        <v>38.46</v>
      </c>
      <c r="H1135" s="21">
        <v>1325.12</v>
      </c>
      <c r="I1135" s="21">
        <v>344.54</v>
      </c>
    </row>
    <row r="1136" spans="1:9" ht="15" customHeight="1" x14ac:dyDescent="0.3">
      <c r="A1136" s="21" t="s">
        <v>1499</v>
      </c>
      <c r="B1136" s="21">
        <v>2019</v>
      </c>
      <c r="C1136" s="21">
        <v>8</v>
      </c>
      <c r="D1136" s="21">
        <v>31</v>
      </c>
      <c r="E1136" s="21" t="s">
        <v>316</v>
      </c>
      <c r="F1136" s="21">
        <v>1</v>
      </c>
      <c r="G1136" s="21">
        <v>27.78</v>
      </c>
      <c r="H1136" s="21">
        <v>957.28</v>
      </c>
      <c r="I1136" s="21">
        <v>344.59</v>
      </c>
    </row>
    <row r="1137" spans="1:9" ht="15" customHeight="1" x14ac:dyDescent="0.3">
      <c r="A1137" s="21" t="s">
        <v>135</v>
      </c>
      <c r="B1137" s="21">
        <v>2019</v>
      </c>
      <c r="C1137" s="21">
        <v>9</v>
      </c>
      <c r="D1137" s="21">
        <v>1</v>
      </c>
      <c r="E1137" s="21" t="s">
        <v>319</v>
      </c>
      <c r="F1137" s="21">
        <v>1</v>
      </c>
      <c r="G1137" s="21">
        <v>31.45</v>
      </c>
      <c r="H1137" s="21">
        <v>1108.8</v>
      </c>
      <c r="I1137" s="21">
        <v>352.56</v>
      </c>
    </row>
    <row r="1138" spans="1:9" ht="15" customHeight="1" x14ac:dyDescent="0.3">
      <c r="A1138" s="21" t="s">
        <v>1500</v>
      </c>
      <c r="B1138" s="21">
        <v>2019</v>
      </c>
      <c r="C1138" s="21">
        <v>9</v>
      </c>
      <c r="D1138" s="21">
        <v>2</v>
      </c>
      <c r="E1138" s="21" t="s">
        <v>299</v>
      </c>
      <c r="F1138" s="21">
        <v>0</v>
      </c>
      <c r="G1138" s="21">
        <v>37.61</v>
      </c>
      <c r="H1138" s="21">
        <v>1326.01</v>
      </c>
      <c r="I1138" s="21">
        <v>352.57</v>
      </c>
    </row>
    <row r="1139" spans="1:9" ht="15" customHeight="1" x14ac:dyDescent="0.3">
      <c r="A1139" s="21" t="s">
        <v>1501</v>
      </c>
      <c r="B1139" s="21">
        <v>2019</v>
      </c>
      <c r="C1139" s="21">
        <v>9</v>
      </c>
      <c r="D1139" s="21">
        <v>3</v>
      </c>
      <c r="E1139" s="21" t="s">
        <v>303</v>
      </c>
      <c r="F1139" s="21">
        <v>0</v>
      </c>
      <c r="G1139" s="21">
        <v>31.77</v>
      </c>
      <c r="H1139" s="21">
        <v>1120.17</v>
      </c>
      <c r="I1139" s="21">
        <v>352.59</v>
      </c>
    </row>
    <row r="1140" spans="1:9" ht="15" customHeight="1" x14ac:dyDescent="0.3">
      <c r="A1140" s="21" t="s">
        <v>1502</v>
      </c>
      <c r="B1140" s="21">
        <v>2019</v>
      </c>
      <c r="C1140" s="21">
        <v>9</v>
      </c>
      <c r="D1140" s="21">
        <v>4</v>
      </c>
      <c r="E1140" s="21" t="s">
        <v>307</v>
      </c>
      <c r="F1140" s="21">
        <v>0</v>
      </c>
      <c r="G1140" s="21">
        <v>32.15</v>
      </c>
      <c r="H1140" s="21">
        <v>1133.4000000000001</v>
      </c>
      <c r="I1140" s="21">
        <v>352.53</v>
      </c>
    </row>
    <row r="1141" spans="1:9" ht="15" customHeight="1" x14ac:dyDescent="0.3">
      <c r="A1141" s="21" t="s">
        <v>1503</v>
      </c>
      <c r="B1141" s="21">
        <v>2019</v>
      </c>
      <c r="C1141" s="21">
        <v>9</v>
      </c>
      <c r="D1141" s="21">
        <v>5</v>
      </c>
      <c r="E1141" s="21" t="s">
        <v>310</v>
      </c>
      <c r="F1141" s="21">
        <v>0</v>
      </c>
      <c r="G1141" s="21">
        <v>32.14</v>
      </c>
      <c r="H1141" s="21">
        <v>1133.1500000000001</v>
      </c>
      <c r="I1141" s="21">
        <v>352.57</v>
      </c>
    </row>
    <row r="1142" spans="1:9" ht="15" customHeight="1" x14ac:dyDescent="0.3">
      <c r="A1142" s="21" t="s">
        <v>1504</v>
      </c>
      <c r="B1142" s="21">
        <v>2019</v>
      </c>
      <c r="C1142" s="21">
        <v>9</v>
      </c>
      <c r="D1142" s="21">
        <v>6</v>
      </c>
      <c r="E1142" s="21" t="s">
        <v>313</v>
      </c>
      <c r="F1142" s="21">
        <v>0</v>
      </c>
      <c r="G1142" s="21">
        <v>34.78</v>
      </c>
      <c r="H1142" s="21">
        <v>1226.33</v>
      </c>
      <c r="I1142" s="21">
        <v>352.6</v>
      </c>
    </row>
    <row r="1143" spans="1:9" ht="15" customHeight="1" x14ac:dyDescent="0.3">
      <c r="A1143" s="21" t="s">
        <v>1505</v>
      </c>
      <c r="B1143" s="21">
        <v>2019</v>
      </c>
      <c r="C1143" s="21">
        <v>9</v>
      </c>
      <c r="D1143" s="21">
        <v>7</v>
      </c>
      <c r="E1143" s="21" t="s">
        <v>316</v>
      </c>
      <c r="F1143" s="21">
        <v>1</v>
      </c>
      <c r="G1143" s="21">
        <v>28.6</v>
      </c>
      <c r="H1143" s="21">
        <v>1008.32</v>
      </c>
      <c r="I1143" s="21">
        <v>352.56</v>
      </c>
    </row>
    <row r="1144" spans="1:9" ht="15" customHeight="1" x14ac:dyDescent="0.3">
      <c r="A1144" s="21" t="s">
        <v>1506</v>
      </c>
      <c r="B1144" s="21">
        <v>2019</v>
      </c>
      <c r="C1144" s="21">
        <v>9</v>
      </c>
      <c r="D1144" s="21">
        <v>8</v>
      </c>
      <c r="E1144" s="21" t="s">
        <v>319</v>
      </c>
      <c r="F1144" s="21">
        <v>1</v>
      </c>
      <c r="G1144" s="21">
        <v>27.49</v>
      </c>
      <c r="H1144" s="21">
        <v>969.25</v>
      </c>
      <c r="I1144" s="21">
        <v>352.58</v>
      </c>
    </row>
    <row r="1145" spans="1:9" ht="15" customHeight="1" x14ac:dyDescent="0.3">
      <c r="A1145" s="21" t="s">
        <v>1507</v>
      </c>
      <c r="B1145" s="21">
        <v>2019</v>
      </c>
      <c r="C1145" s="21">
        <v>9</v>
      </c>
      <c r="D1145" s="21">
        <v>9</v>
      </c>
      <c r="E1145" s="21" t="s">
        <v>299</v>
      </c>
      <c r="F1145" s="21">
        <v>0</v>
      </c>
      <c r="G1145" s="21">
        <v>33.19</v>
      </c>
      <c r="H1145" s="21">
        <v>1170.23</v>
      </c>
      <c r="I1145" s="21">
        <v>352.59</v>
      </c>
    </row>
    <row r="1146" spans="1:9" ht="15" customHeight="1" x14ac:dyDescent="0.3">
      <c r="A1146" s="21" t="s">
        <v>1508</v>
      </c>
      <c r="B1146" s="21">
        <v>2019</v>
      </c>
      <c r="C1146" s="21">
        <v>9</v>
      </c>
      <c r="D1146" s="21">
        <v>10</v>
      </c>
      <c r="E1146" s="21" t="s">
        <v>303</v>
      </c>
      <c r="F1146" s="21">
        <v>0</v>
      </c>
      <c r="G1146" s="21">
        <v>32.75</v>
      </c>
      <c r="H1146" s="21">
        <v>1154.79</v>
      </c>
      <c r="I1146" s="21">
        <v>352.61</v>
      </c>
    </row>
    <row r="1147" spans="1:9" ht="15" customHeight="1" x14ac:dyDescent="0.3">
      <c r="A1147" s="21" t="s">
        <v>1509</v>
      </c>
      <c r="B1147" s="21">
        <v>2019</v>
      </c>
      <c r="C1147" s="21">
        <v>9</v>
      </c>
      <c r="D1147" s="21">
        <v>11</v>
      </c>
      <c r="E1147" s="21" t="s">
        <v>307</v>
      </c>
      <c r="F1147" s="21">
        <v>0</v>
      </c>
      <c r="G1147" s="21">
        <v>32.97</v>
      </c>
      <c r="H1147" s="21">
        <v>1162.3800000000001</v>
      </c>
      <c r="I1147" s="21">
        <v>352.56</v>
      </c>
    </row>
    <row r="1148" spans="1:9" ht="15" customHeight="1" x14ac:dyDescent="0.3">
      <c r="A1148" s="21" t="s">
        <v>1510</v>
      </c>
      <c r="B1148" s="21">
        <v>2019</v>
      </c>
      <c r="C1148" s="21">
        <v>9</v>
      </c>
      <c r="D1148" s="21">
        <v>12</v>
      </c>
      <c r="E1148" s="21" t="s">
        <v>310</v>
      </c>
      <c r="F1148" s="21">
        <v>0</v>
      </c>
      <c r="G1148" s="21">
        <v>30.66</v>
      </c>
      <c r="H1148" s="21">
        <v>1081</v>
      </c>
      <c r="I1148" s="21">
        <v>352.58</v>
      </c>
    </row>
    <row r="1149" spans="1:9" ht="15" customHeight="1" x14ac:dyDescent="0.3">
      <c r="A1149" s="21" t="s">
        <v>1511</v>
      </c>
      <c r="B1149" s="21">
        <v>2019</v>
      </c>
      <c r="C1149" s="21">
        <v>9</v>
      </c>
      <c r="D1149" s="21">
        <v>13</v>
      </c>
      <c r="E1149" s="21" t="s">
        <v>313</v>
      </c>
      <c r="F1149" s="21">
        <v>0</v>
      </c>
      <c r="G1149" s="21">
        <v>34.950000000000003</v>
      </c>
      <c r="H1149" s="21">
        <v>1232.23</v>
      </c>
      <c r="I1149" s="21">
        <v>352.57</v>
      </c>
    </row>
    <row r="1150" spans="1:9" ht="15" customHeight="1" x14ac:dyDescent="0.3">
      <c r="A1150" s="21" t="s">
        <v>1512</v>
      </c>
      <c r="B1150" s="21">
        <v>2019</v>
      </c>
      <c r="C1150" s="21">
        <v>9</v>
      </c>
      <c r="D1150" s="21">
        <v>14</v>
      </c>
      <c r="E1150" s="21" t="s">
        <v>316</v>
      </c>
      <c r="F1150" s="21">
        <v>1</v>
      </c>
      <c r="G1150" s="21">
        <v>27.73</v>
      </c>
      <c r="H1150" s="21">
        <v>977.59</v>
      </c>
      <c r="I1150" s="21">
        <v>352.54</v>
      </c>
    </row>
    <row r="1151" spans="1:9" ht="15" customHeight="1" x14ac:dyDescent="0.3">
      <c r="A1151" s="21" t="s">
        <v>1513</v>
      </c>
      <c r="B1151" s="21">
        <v>2019</v>
      </c>
      <c r="C1151" s="21">
        <v>9</v>
      </c>
      <c r="D1151" s="21">
        <v>15</v>
      </c>
      <c r="E1151" s="21" t="s">
        <v>319</v>
      </c>
      <c r="F1151" s="21">
        <v>1</v>
      </c>
      <c r="G1151" s="21">
        <v>26.77</v>
      </c>
      <c r="H1151" s="21">
        <v>943.96</v>
      </c>
      <c r="I1151" s="21">
        <v>352.62</v>
      </c>
    </row>
    <row r="1152" spans="1:9" ht="15" customHeight="1" x14ac:dyDescent="0.3">
      <c r="A1152" s="21" t="s">
        <v>1514</v>
      </c>
      <c r="B1152" s="21">
        <v>2019</v>
      </c>
      <c r="C1152" s="21">
        <v>9</v>
      </c>
      <c r="D1152" s="21">
        <v>16</v>
      </c>
      <c r="E1152" s="21" t="s">
        <v>299</v>
      </c>
      <c r="F1152" s="21">
        <v>0</v>
      </c>
      <c r="G1152" s="21">
        <v>34.74</v>
      </c>
      <c r="H1152" s="21">
        <v>1224.77</v>
      </c>
      <c r="I1152" s="21">
        <v>352.55</v>
      </c>
    </row>
    <row r="1153" spans="1:9" ht="15" customHeight="1" x14ac:dyDescent="0.3">
      <c r="A1153" s="21" t="s">
        <v>1515</v>
      </c>
      <c r="B1153" s="21">
        <v>2019</v>
      </c>
      <c r="C1153" s="21">
        <v>9</v>
      </c>
      <c r="D1153" s="21">
        <v>17</v>
      </c>
      <c r="E1153" s="21" t="s">
        <v>303</v>
      </c>
      <c r="F1153" s="21">
        <v>0</v>
      </c>
      <c r="G1153" s="21">
        <v>31.69</v>
      </c>
      <c r="H1153" s="21">
        <v>1117.28</v>
      </c>
      <c r="I1153" s="21">
        <v>352.57</v>
      </c>
    </row>
    <row r="1154" spans="1:9" ht="15" customHeight="1" x14ac:dyDescent="0.3">
      <c r="A1154" s="21" t="s">
        <v>1516</v>
      </c>
      <c r="B1154" s="21">
        <v>2019</v>
      </c>
      <c r="C1154" s="21">
        <v>9</v>
      </c>
      <c r="D1154" s="21">
        <v>18</v>
      </c>
      <c r="E1154" s="21" t="s">
        <v>307</v>
      </c>
      <c r="F1154" s="21">
        <v>0</v>
      </c>
      <c r="G1154" s="21">
        <v>31.95</v>
      </c>
      <c r="H1154" s="21">
        <v>1126.56</v>
      </c>
      <c r="I1154" s="21">
        <v>352.6</v>
      </c>
    </row>
    <row r="1155" spans="1:9" ht="15" customHeight="1" x14ac:dyDescent="0.3">
      <c r="A1155" s="21" t="s">
        <v>1517</v>
      </c>
      <c r="B1155" s="21">
        <v>2019</v>
      </c>
      <c r="C1155" s="21">
        <v>9</v>
      </c>
      <c r="D1155" s="21">
        <v>19</v>
      </c>
      <c r="E1155" s="21" t="s">
        <v>310</v>
      </c>
      <c r="F1155" s="21">
        <v>0</v>
      </c>
      <c r="G1155" s="21">
        <v>31.67</v>
      </c>
      <c r="H1155" s="21">
        <v>1116.51</v>
      </c>
      <c r="I1155" s="21">
        <v>352.54</v>
      </c>
    </row>
    <row r="1156" spans="1:9" ht="15" customHeight="1" x14ac:dyDescent="0.3">
      <c r="A1156" s="21" t="s">
        <v>1518</v>
      </c>
      <c r="B1156" s="21">
        <v>2019</v>
      </c>
      <c r="C1156" s="21">
        <v>9</v>
      </c>
      <c r="D1156" s="21">
        <v>20</v>
      </c>
      <c r="E1156" s="21" t="s">
        <v>313</v>
      </c>
      <c r="F1156" s="21">
        <v>0</v>
      </c>
      <c r="G1156" s="21">
        <v>34.39</v>
      </c>
      <c r="H1156" s="21">
        <v>1212.6400000000001</v>
      </c>
      <c r="I1156" s="21">
        <v>352.61</v>
      </c>
    </row>
    <row r="1157" spans="1:9" ht="15" customHeight="1" x14ac:dyDescent="0.3">
      <c r="A1157" s="21" t="s">
        <v>1519</v>
      </c>
      <c r="B1157" s="21">
        <v>2019</v>
      </c>
      <c r="C1157" s="21">
        <v>9</v>
      </c>
      <c r="D1157" s="21">
        <v>21</v>
      </c>
      <c r="E1157" s="21" t="s">
        <v>316</v>
      </c>
      <c r="F1157" s="21">
        <v>1</v>
      </c>
      <c r="G1157" s="21">
        <v>26.01</v>
      </c>
      <c r="H1157" s="21">
        <v>917.07</v>
      </c>
      <c r="I1157" s="21">
        <v>352.58</v>
      </c>
    </row>
    <row r="1158" spans="1:9" ht="15" customHeight="1" x14ac:dyDescent="0.3">
      <c r="A1158" s="21" t="s">
        <v>1520</v>
      </c>
      <c r="B1158" s="21">
        <v>2019</v>
      </c>
      <c r="C1158" s="21">
        <v>9</v>
      </c>
      <c r="D1158" s="21">
        <v>22</v>
      </c>
      <c r="E1158" s="21" t="s">
        <v>319</v>
      </c>
      <c r="F1158" s="21">
        <v>1</v>
      </c>
      <c r="G1158" s="21">
        <v>25.68</v>
      </c>
      <c r="H1158" s="21">
        <v>905.5</v>
      </c>
      <c r="I1158" s="21">
        <v>352.61</v>
      </c>
    </row>
    <row r="1159" spans="1:9" ht="15" customHeight="1" x14ac:dyDescent="0.3">
      <c r="A1159" s="21" t="s">
        <v>1521</v>
      </c>
      <c r="B1159" s="21">
        <v>2019</v>
      </c>
      <c r="C1159" s="21">
        <v>9</v>
      </c>
      <c r="D1159" s="21">
        <v>23</v>
      </c>
      <c r="E1159" s="21" t="s">
        <v>299</v>
      </c>
      <c r="F1159" s="21">
        <v>0</v>
      </c>
      <c r="G1159" s="21">
        <v>34.950000000000003</v>
      </c>
      <c r="H1159" s="21">
        <v>1232.1400000000001</v>
      </c>
      <c r="I1159" s="21">
        <v>352.54</v>
      </c>
    </row>
    <row r="1160" spans="1:9" ht="15" customHeight="1" x14ac:dyDescent="0.3">
      <c r="A1160" s="21" t="s">
        <v>1522</v>
      </c>
      <c r="B1160" s="21">
        <v>2019</v>
      </c>
      <c r="C1160" s="21">
        <v>9</v>
      </c>
      <c r="D1160" s="21">
        <v>24</v>
      </c>
      <c r="E1160" s="21" t="s">
        <v>303</v>
      </c>
      <c r="F1160" s="21">
        <v>0</v>
      </c>
      <c r="G1160" s="21">
        <v>31.02</v>
      </c>
      <c r="H1160" s="21">
        <v>1093.82</v>
      </c>
      <c r="I1160" s="21">
        <v>352.62</v>
      </c>
    </row>
    <row r="1161" spans="1:9" ht="15" customHeight="1" x14ac:dyDescent="0.3">
      <c r="A1161" s="21" t="s">
        <v>1523</v>
      </c>
      <c r="B1161" s="21">
        <v>2019</v>
      </c>
      <c r="C1161" s="21">
        <v>9</v>
      </c>
      <c r="D1161" s="21">
        <v>25</v>
      </c>
      <c r="E1161" s="21" t="s">
        <v>307</v>
      </c>
      <c r="F1161" s="21">
        <v>0</v>
      </c>
      <c r="G1161" s="21">
        <v>30.89</v>
      </c>
      <c r="H1161" s="21">
        <v>1088.95</v>
      </c>
      <c r="I1161" s="21">
        <v>352.53</v>
      </c>
    </row>
    <row r="1162" spans="1:9" ht="15" customHeight="1" x14ac:dyDescent="0.3">
      <c r="A1162" s="21" t="s">
        <v>1524</v>
      </c>
      <c r="B1162" s="21">
        <v>2019</v>
      </c>
      <c r="C1162" s="21">
        <v>9</v>
      </c>
      <c r="D1162" s="21">
        <v>26</v>
      </c>
      <c r="E1162" s="21" t="s">
        <v>310</v>
      </c>
      <c r="F1162" s="21">
        <v>0</v>
      </c>
      <c r="G1162" s="21">
        <v>29.78</v>
      </c>
      <c r="H1162" s="21">
        <v>1049.83</v>
      </c>
      <c r="I1162" s="21">
        <v>352.53</v>
      </c>
    </row>
    <row r="1163" spans="1:9" ht="15" customHeight="1" x14ac:dyDescent="0.3">
      <c r="A1163" s="21" t="s">
        <v>1525</v>
      </c>
      <c r="B1163" s="21">
        <v>2019</v>
      </c>
      <c r="C1163" s="21">
        <v>9</v>
      </c>
      <c r="D1163" s="21">
        <v>27</v>
      </c>
      <c r="E1163" s="21" t="s">
        <v>313</v>
      </c>
      <c r="F1163" s="21">
        <v>0</v>
      </c>
      <c r="G1163" s="21">
        <v>33.770000000000003</v>
      </c>
      <c r="H1163" s="21">
        <v>1190.6099999999999</v>
      </c>
      <c r="I1163" s="21">
        <v>352.56</v>
      </c>
    </row>
    <row r="1164" spans="1:9" ht="15" customHeight="1" x14ac:dyDescent="0.3">
      <c r="A1164" s="21" t="s">
        <v>1526</v>
      </c>
      <c r="B1164" s="21">
        <v>2019</v>
      </c>
      <c r="C1164" s="21">
        <v>9</v>
      </c>
      <c r="D1164" s="21">
        <v>28</v>
      </c>
      <c r="E1164" s="21" t="s">
        <v>316</v>
      </c>
      <c r="F1164" s="21">
        <v>1</v>
      </c>
      <c r="G1164" s="21">
        <v>25.79</v>
      </c>
      <c r="H1164" s="21">
        <v>909.43</v>
      </c>
      <c r="I1164" s="21">
        <v>352.63</v>
      </c>
    </row>
    <row r="1165" spans="1:9" ht="15" customHeight="1" x14ac:dyDescent="0.3">
      <c r="A1165" s="21" t="s">
        <v>1527</v>
      </c>
      <c r="B1165" s="21">
        <v>2019</v>
      </c>
      <c r="C1165" s="21">
        <v>9</v>
      </c>
      <c r="D1165" s="21">
        <v>29</v>
      </c>
      <c r="E1165" s="21" t="s">
        <v>319</v>
      </c>
      <c r="F1165" s="21">
        <v>1</v>
      </c>
      <c r="G1165" s="21">
        <v>32.92</v>
      </c>
      <c r="H1165" s="21">
        <v>1160.6600000000001</v>
      </c>
      <c r="I1165" s="21">
        <v>352.57</v>
      </c>
    </row>
    <row r="1166" spans="1:9" ht="15" customHeight="1" x14ac:dyDescent="0.3">
      <c r="A1166" s="21" t="s">
        <v>1528</v>
      </c>
      <c r="B1166" s="21">
        <v>2019</v>
      </c>
      <c r="C1166" s="21">
        <v>9</v>
      </c>
      <c r="D1166" s="21">
        <v>30</v>
      </c>
      <c r="E1166" s="21" t="s">
        <v>299</v>
      </c>
      <c r="F1166" s="21">
        <v>0</v>
      </c>
      <c r="G1166" s="21">
        <v>39.549999999999997</v>
      </c>
      <c r="H1166" s="21">
        <v>1394.32</v>
      </c>
      <c r="I1166" s="21">
        <v>352.55</v>
      </c>
    </row>
    <row r="1167" spans="1:9" ht="15" customHeight="1" x14ac:dyDescent="0.3">
      <c r="A1167" s="21" t="s">
        <v>136</v>
      </c>
      <c r="B1167" s="21">
        <v>2019</v>
      </c>
      <c r="C1167" s="21">
        <v>10</v>
      </c>
      <c r="D1167" s="21">
        <v>1</v>
      </c>
      <c r="E1167" s="21" t="s">
        <v>303</v>
      </c>
      <c r="F1167" s="21">
        <v>0</v>
      </c>
      <c r="G1167" s="21">
        <v>41.72</v>
      </c>
      <c r="H1167" s="21">
        <v>1469.11</v>
      </c>
      <c r="I1167" s="21">
        <v>352.14</v>
      </c>
    </row>
    <row r="1168" spans="1:9" ht="15" customHeight="1" x14ac:dyDescent="0.3">
      <c r="A1168" s="21" t="s">
        <v>1529</v>
      </c>
      <c r="B1168" s="21">
        <v>2019</v>
      </c>
      <c r="C1168" s="21">
        <v>10</v>
      </c>
      <c r="D1168" s="21">
        <v>2</v>
      </c>
      <c r="E1168" s="21" t="s">
        <v>307</v>
      </c>
      <c r="F1168" s="21">
        <v>0</v>
      </c>
      <c r="G1168" s="21">
        <v>45.48</v>
      </c>
      <c r="H1168" s="21">
        <v>1601.45</v>
      </c>
      <c r="I1168" s="21">
        <v>352.12</v>
      </c>
    </row>
    <row r="1169" spans="1:9" ht="15" customHeight="1" x14ac:dyDescent="0.3">
      <c r="A1169" s="21" t="s">
        <v>1530</v>
      </c>
      <c r="B1169" s="21">
        <v>2019</v>
      </c>
      <c r="C1169" s="21">
        <v>10</v>
      </c>
      <c r="D1169" s="21">
        <v>3</v>
      </c>
      <c r="E1169" s="21" t="s">
        <v>310</v>
      </c>
      <c r="F1169" s="21">
        <v>0</v>
      </c>
      <c r="G1169" s="21">
        <v>38.14</v>
      </c>
      <c r="H1169" s="21">
        <v>1342.84</v>
      </c>
      <c r="I1169" s="21">
        <v>352.08</v>
      </c>
    </row>
    <row r="1170" spans="1:9" ht="15" customHeight="1" x14ac:dyDescent="0.3">
      <c r="A1170" s="21" t="s">
        <v>1531</v>
      </c>
      <c r="B1170" s="21">
        <v>2019</v>
      </c>
      <c r="C1170" s="21">
        <v>10</v>
      </c>
      <c r="D1170" s="21">
        <v>4</v>
      </c>
      <c r="E1170" s="21" t="s">
        <v>313</v>
      </c>
      <c r="F1170" s="21">
        <v>0</v>
      </c>
      <c r="G1170" s="21">
        <v>39.65</v>
      </c>
      <c r="H1170" s="21">
        <v>1396.06</v>
      </c>
      <c r="I1170" s="21">
        <v>352.1</v>
      </c>
    </row>
    <row r="1171" spans="1:9" ht="15" customHeight="1" x14ac:dyDescent="0.3">
      <c r="A1171" s="21" t="s">
        <v>1532</v>
      </c>
      <c r="B1171" s="21">
        <v>2019</v>
      </c>
      <c r="C1171" s="21">
        <v>10</v>
      </c>
      <c r="D1171" s="21">
        <v>5</v>
      </c>
      <c r="E1171" s="21" t="s">
        <v>316</v>
      </c>
      <c r="F1171" s="21">
        <v>1</v>
      </c>
      <c r="G1171" s="21">
        <v>28.71</v>
      </c>
      <c r="H1171" s="21">
        <v>1010.95</v>
      </c>
      <c r="I1171" s="21">
        <v>352.12</v>
      </c>
    </row>
    <row r="1172" spans="1:9" ht="15" customHeight="1" x14ac:dyDescent="0.3">
      <c r="A1172" s="21" t="s">
        <v>1533</v>
      </c>
      <c r="B1172" s="21">
        <v>2019</v>
      </c>
      <c r="C1172" s="21">
        <v>10</v>
      </c>
      <c r="D1172" s="21">
        <v>6</v>
      </c>
      <c r="E1172" s="21" t="s">
        <v>319</v>
      </c>
      <c r="F1172" s="21">
        <v>1</v>
      </c>
      <c r="G1172" s="21">
        <v>34.03</v>
      </c>
      <c r="H1172" s="21">
        <v>1198.4100000000001</v>
      </c>
      <c r="I1172" s="21">
        <v>352.16</v>
      </c>
    </row>
    <row r="1173" spans="1:9" ht="15" customHeight="1" x14ac:dyDescent="0.3">
      <c r="A1173" s="21" t="s">
        <v>1534</v>
      </c>
      <c r="B1173" s="21">
        <v>2019</v>
      </c>
      <c r="C1173" s="21">
        <v>10</v>
      </c>
      <c r="D1173" s="21">
        <v>7</v>
      </c>
      <c r="E1173" s="21" t="s">
        <v>299</v>
      </c>
      <c r="F1173" s="21">
        <v>0</v>
      </c>
      <c r="G1173" s="21">
        <v>37.35</v>
      </c>
      <c r="H1173" s="21">
        <v>1315.26</v>
      </c>
      <c r="I1173" s="21">
        <v>352.14</v>
      </c>
    </row>
    <row r="1174" spans="1:9" ht="15" customHeight="1" x14ac:dyDescent="0.3">
      <c r="A1174" s="21" t="s">
        <v>1535</v>
      </c>
      <c r="B1174" s="21">
        <v>2019</v>
      </c>
      <c r="C1174" s="21">
        <v>10</v>
      </c>
      <c r="D1174" s="21">
        <v>8</v>
      </c>
      <c r="E1174" s="21" t="s">
        <v>303</v>
      </c>
      <c r="F1174" s="21">
        <v>0</v>
      </c>
      <c r="G1174" s="21">
        <v>35.22</v>
      </c>
      <c r="H1174" s="21">
        <v>1240.03</v>
      </c>
      <c r="I1174" s="21">
        <v>352.08</v>
      </c>
    </row>
    <row r="1175" spans="1:9" ht="15" customHeight="1" x14ac:dyDescent="0.3">
      <c r="A1175" s="21" t="s">
        <v>1536</v>
      </c>
      <c r="B1175" s="21">
        <v>2019</v>
      </c>
      <c r="C1175" s="21">
        <v>10</v>
      </c>
      <c r="D1175" s="21">
        <v>9</v>
      </c>
      <c r="E1175" s="21" t="s">
        <v>307</v>
      </c>
      <c r="F1175" s="21">
        <v>0</v>
      </c>
      <c r="G1175" s="21">
        <v>38.18</v>
      </c>
      <c r="H1175" s="21">
        <v>1344.44</v>
      </c>
      <c r="I1175" s="21">
        <v>352.13</v>
      </c>
    </row>
    <row r="1176" spans="1:9" ht="15" customHeight="1" x14ac:dyDescent="0.3">
      <c r="A1176" s="21" t="s">
        <v>1537</v>
      </c>
      <c r="B1176" s="21">
        <v>2019</v>
      </c>
      <c r="C1176" s="21">
        <v>10</v>
      </c>
      <c r="D1176" s="21">
        <v>10</v>
      </c>
      <c r="E1176" s="21" t="s">
        <v>310</v>
      </c>
      <c r="F1176" s="21">
        <v>0</v>
      </c>
      <c r="G1176" s="21">
        <v>39.76</v>
      </c>
      <c r="H1176" s="21">
        <v>1399.89</v>
      </c>
      <c r="I1176" s="21">
        <v>352.09</v>
      </c>
    </row>
    <row r="1177" spans="1:9" ht="15" customHeight="1" x14ac:dyDescent="0.3">
      <c r="A1177" s="21" t="s">
        <v>1538</v>
      </c>
      <c r="B1177" s="21">
        <v>2019</v>
      </c>
      <c r="C1177" s="21">
        <v>10</v>
      </c>
      <c r="D1177" s="21">
        <v>11</v>
      </c>
      <c r="E1177" s="21" t="s">
        <v>313</v>
      </c>
      <c r="F1177" s="21">
        <v>0</v>
      </c>
      <c r="G1177" s="21">
        <v>41.55</v>
      </c>
      <c r="H1177" s="21">
        <v>1462.94</v>
      </c>
      <c r="I1177" s="21">
        <v>352.09</v>
      </c>
    </row>
    <row r="1178" spans="1:9" ht="15" customHeight="1" x14ac:dyDescent="0.3">
      <c r="A1178" s="21" t="s">
        <v>1539</v>
      </c>
      <c r="B1178" s="21">
        <v>2019</v>
      </c>
      <c r="C1178" s="21">
        <v>10</v>
      </c>
      <c r="D1178" s="21">
        <v>12</v>
      </c>
      <c r="E1178" s="21" t="s">
        <v>316</v>
      </c>
      <c r="F1178" s="21">
        <v>1</v>
      </c>
      <c r="G1178" s="21">
        <v>32.119999999999997</v>
      </c>
      <c r="H1178" s="21">
        <v>1130.82</v>
      </c>
      <c r="I1178" s="21">
        <v>352.06</v>
      </c>
    </row>
    <row r="1179" spans="1:9" ht="15" customHeight="1" x14ac:dyDescent="0.3">
      <c r="A1179" s="21" t="s">
        <v>1540</v>
      </c>
      <c r="B1179" s="21">
        <v>2019</v>
      </c>
      <c r="C1179" s="21">
        <v>10</v>
      </c>
      <c r="D1179" s="21">
        <v>13</v>
      </c>
      <c r="E1179" s="21" t="s">
        <v>319</v>
      </c>
      <c r="F1179" s="21">
        <v>1</v>
      </c>
      <c r="G1179" s="21">
        <v>32.15</v>
      </c>
      <c r="H1179" s="21">
        <v>1132.03</v>
      </c>
      <c r="I1179" s="21">
        <v>352.11</v>
      </c>
    </row>
    <row r="1180" spans="1:9" ht="15" customHeight="1" x14ac:dyDescent="0.3">
      <c r="A1180" s="21" t="s">
        <v>1541</v>
      </c>
      <c r="B1180" s="21">
        <v>2019</v>
      </c>
      <c r="C1180" s="21">
        <v>10</v>
      </c>
      <c r="D1180" s="21">
        <v>14</v>
      </c>
      <c r="E1180" s="21" t="s">
        <v>299</v>
      </c>
      <c r="F1180" s="21">
        <v>0</v>
      </c>
      <c r="G1180" s="21">
        <v>39.85</v>
      </c>
      <c r="H1180" s="21">
        <v>1403.04</v>
      </c>
      <c r="I1180" s="21">
        <v>352.08</v>
      </c>
    </row>
    <row r="1181" spans="1:9" ht="15" customHeight="1" x14ac:dyDescent="0.3">
      <c r="A1181" s="21" t="s">
        <v>1542</v>
      </c>
      <c r="B1181" s="21">
        <v>2019</v>
      </c>
      <c r="C1181" s="21">
        <v>10</v>
      </c>
      <c r="D1181" s="21">
        <v>15</v>
      </c>
      <c r="E1181" s="21" t="s">
        <v>303</v>
      </c>
      <c r="F1181" s="21">
        <v>0</v>
      </c>
      <c r="G1181" s="21">
        <v>41.68</v>
      </c>
      <c r="H1181" s="21">
        <v>1467.53</v>
      </c>
      <c r="I1181" s="21">
        <v>352.09</v>
      </c>
    </row>
    <row r="1182" spans="1:9" ht="15" customHeight="1" x14ac:dyDescent="0.3">
      <c r="A1182" s="21" t="s">
        <v>1543</v>
      </c>
      <c r="B1182" s="21">
        <v>2019</v>
      </c>
      <c r="C1182" s="21">
        <v>10</v>
      </c>
      <c r="D1182" s="21">
        <v>16</v>
      </c>
      <c r="E1182" s="21" t="s">
        <v>307</v>
      </c>
      <c r="F1182" s="21">
        <v>0</v>
      </c>
      <c r="G1182" s="21">
        <v>41.09</v>
      </c>
      <c r="H1182" s="21">
        <v>1446.97</v>
      </c>
      <c r="I1182" s="21">
        <v>352.15</v>
      </c>
    </row>
    <row r="1183" spans="1:9" ht="15" customHeight="1" x14ac:dyDescent="0.3">
      <c r="A1183" s="21" t="s">
        <v>1544</v>
      </c>
      <c r="B1183" s="21">
        <v>2019</v>
      </c>
      <c r="C1183" s="21">
        <v>10</v>
      </c>
      <c r="D1183" s="21">
        <v>17</v>
      </c>
      <c r="E1183" s="21" t="s">
        <v>310</v>
      </c>
      <c r="F1183" s="21">
        <v>0</v>
      </c>
      <c r="G1183" s="21">
        <v>40.880000000000003</v>
      </c>
      <c r="H1183" s="21">
        <v>1439.35</v>
      </c>
      <c r="I1183" s="21">
        <v>352.09</v>
      </c>
    </row>
    <row r="1184" spans="1:9" ht="15" customHeight="1" x14ac:dyDescent="0.3">
      <c r="A1184" s="21" t="s">
        <v>1545</v>
      </c>
      <c r="B1184" s="21">
        <v>2019</v>
      </c>
      <c r="C1184" s="21">
        <v>10</v>
      </c>
      <c r="D1184" s="21">
        <v>18</v>
      </c>
      <c r="E1184" s="21" t="s">
        <v>313</v>
      </c>
      <c r="F1184" s="21">
        <v>0</v>
      </c>
      <c r="G1184" s="21">
        <v>43.93</v>
      </c>
      <c r="H1184" s="21">
        <v>1546.96</v>
      </c>
      <c r="I1184" s="21">
        <v>352.14</v>
      </c>
    </row>
    <row r="1185" spans="1:9" ht="15" customHeight="1" x14ac:dyDescent="0.3">
      <c r="A1185" s="21" t="s">
        <v>1546</v>
      </c>
      <c r="B1185" s="21">
        <v>2019</v>
      </c>
      <c r="C1185" s="21">
        <v>10</v>
      </c>
      <c r="D1185" s="21">
        <v>19</v>
      </c>
      <c r="E1185" s="21" t="s">
        <v>316</v>
      </c>
      <c r="F1185" s="21">
        <v>1</v>
      </c>
      <c r="G1185" s="21">
        <v>33.72</v>
      </c>
      <c r="H1185" s="21">
        <v>1187.18</v>
      </c>
      <c r="I1185" s="21">
        <v>352.07</v>
      </c>
    </row>
    <row r="1186" spans="1:9" ht="15" customHeight="1" x14ac:dyDescent="0.3">
      <c r="A1186" s="21" t="s">
        <v>1547</v>
      </c>
      <c r="B1186" s="21">
        <v>2019</v>
      </c>
      <c r="C1186" s="21">
        <v>10</v>
      </c>
      <c r="D1186" s="21">
        <v>20</v>
      </c>
      <c r="E1186" s="21" t="s">
        <v>319</v>
      </c>
      <c r="F1186" s="21">
        <v>1</v>
      </c>
      <c r="G1186" s="21">
        <v>34.29</v>
      </c>
      <c r="H1186" s="21">
        <v>1207.55</v>
      </c>
      <c r="I1186" s="21">
        <v>352.16</v>
      </c>
    </row>
    <row r="1187" spans="1:9" ht="15" customHeight="1" x14ac:dyDescent="0.3">
      <c r="A1187" s="21" t="s">
        <v>1548</v>
      </c>
      <c r="B1187" s="21">
        <v>2019</v>
      </c>
      <c r="C1187" s="21">
        <v>10</v>
      </c>
      <c r="D1187" s="21">
        <v>21</v>
      </c>
      <c r="E1187" s="21" t="s">
        <v>299</v>
      </c>
      <c r="F1187" s="21">
        <v>0</v>
      </c>
      <c r="G1187" s="21">
        <v>40.72</v>
      </c>
      <c r="H1187" s="21">
        <v>1433.73</v>
      </c>
      <c r="I1187" s="21">
        <v>352.09</v>
      </c>
    </row>
    <row r="1188" spans="1:9" ht="15" customHeight="1" x14ac:dyDescent="0.3">
      <c r="A1188" s="21" t="s">
        <v>1549</v>
      </c>
      <c r="B1188" s="21">
        <v>2019</v>
      </c>
      <c r="C1188" s="21">
        <v>10</v>
      </c>
      <c r="D1188" s="21">
        <v>22</v>
      </c>
      <c r="E1188" s="21" t="s">
        <v>303</v>
      </c>
      <c r="F1188" s="21">
        <v>0</v>
      </c>
      <c r="G1188" s="21">
        <v>40.630000000000003</v>
      </c>
      <c r="H1188" s="21">
        <v>1430.63</v>
      </c>
      <c r="I1188" s="21">
        <v>352.11</v>
      </c>
    </row>
    <row r="1189" spans="1:9" ht="15" customHeight="1" x14ac:dyDescent="0.3">
      <c r="A1189" s="21" t="s">
        <v>1550</v>
      </c>
      <c r="B1189" s="21">
        <v>2019</v>
      </c>
      <c r="C1189" s="21">
        <v>10</v>
      </c>
      <c r="D1189" s="21">
        <v>23</v>
      </c>
      <c r="E1189" s="21" t="s">
        <v>307</v>
      </c>
      <c r="F1189" s="21">
        <v>0</v>
      </c>
      <c r="G1189" s="21">
        <v>39.54</v>
      </c>
      <c r="H1189" s="21">
        <v>1392.31</v>
      </c>
      <c r="I1189" s="21">
        <v>352.13</v>
      </c>
    </row>
    <row r="1190" spans="1:9" ht="15" customHeight="1" x14ac:dyDescent="0.3">
      <c r="A1190" s="21" t="s">
        <v>1551</v>
      </c>
      <c r="B1190" s="21">
        <v>2019</v>
      </c>
      <c r="C1190" s="21">
        <v>10</v>
      </c>
      <c r="D1190" s="21">
        <v>24</v>
      </c>
      <c r="E1190" s="21" t="s">
        <v>310</v>
      </c>
      <c r="F1190" s="21">
        <v>0</v>
      </c>
      <c r="G1190" s="21">
        <v>39.4</v>
      </c>
      <c r="H1190" s="21">
        <v>1387.36</v>
      </c>
      <c r="I1190" s="21">
        <v>352.12</v>
      </c>
    </row>
    <row r="1191" spans="1:9" ht="15" customHeight="1" x14ac:dyDescent="0.3">
      <c r="A1191" s="21" t="s">
        <v>1552</v>
      </c>
      <c r="B1191" s="21">
        <v>2019</v>
      </c>
      <c r="C1191" s="21">
        <v>10</v>
      </c>
      <c r="D1191" s="21">
        <v>25</v>
      </c>
      <c r="E1191" s="21" t="s">
        <v>313</v>
      </c>
      <c r="F1191" s="21">
        <v>0</v>
      </c>
      <c r="G1191" s="21">
        <v>44.23</v>
      </c>
      <c r="H1191" s="21">
        <v>1557.39</v>
      </c>
      <c r="I1191" s="21">
        <v>352.11</v>
      </c>
    </row>
    <row r="1192" spans="1:9" ht="15" customHeight="1" x14ac:dyDescent="0.3">
      <c r="A1192" s="21" t="s">
        <v>1553</v>
      </c>
      <c r="B1192" s="21">
        <v>2019</v>
      </c>
      <c r="C1192" s="21">
        <v>10</v>
      </c>
      <c r="D1192" s="21">
        <v>26</v>
      </c>
      <c r="E1192" s="21" t="s">
        <v>316</v>
      </c>
      <c r="F1192" s="21">
        <v>1</v>
      </c>
      <c r="G1192" s="21">
        <v>33.04</v>
      </c>
      <c r="H1192" s="21">
        <v>1163.23</v>
      </c>
      <c r="I1192" s="21">
        <v>352.07</v>
      </c>
    </row>
    <row r="1193" spans="1:9" ht="15" customHeight="1" x14ac:dyDescent="0.3">
      <c r="A1193" s="21" t="s">
        <v>1554</v>
      </c>
      <c r="B1193" s="21">
        <v>2019</v>
      </c>
      <c r="C1193" s="21">
        <v>10</v>
      </c>
      <c r="D1193" s="21">
        <v>27</v>
      </c>
      <c r="E1193" s="21" t="s">
        <v>319</v>
      </c>
      <c r="F1193" s="21">
        <v>1</v>
      </c>
      <c r="G1193" s="21">
        <v>32.51</v>
      </c>
      <c r="H1193" s="21">
        <v>1144.69</v>
      </c>
      <c r="I1193" s="21">
        <v>352.1</v>
      </c>
    </row>
    <row r="1194" spans="1:9" ht="15" customHeight="1" x14ac:dyDescent="0.3">
      <c r="A1194" s="21" t="s">
        <v>1555</v>
      </c>
      <c r="B1194" s="21">
        <v>2019</v>
      </c>
      <c r="C1194" s="21">
        <v>10</v>
      </c>
      <c r="D1194" s="21">
        <v>28</v>
      </c>
      <c r="E1194" s="21" t="s">
        <v>299</v>
      </c>
      <c r="F1194" s="21">
        <v>0</v>
      </c>
      <c r="G1194" s="21">
        <v>37.15</v>
      </c>
      <c r="H1194" s="21">
        <v>1308.18</v>
      </c>
      <c r="I1194" s="21">
        <v>352.13</v>
      </c>
    </row>
    <row r="1195" spans="1:9" ht="15" customHeight="1" x14ac:dyDescent="0.3">
      <c r="A1195" s="21" t="s">
        <v>1556</v>
      </c>
      <c r="B1195" s="21">
        <v>2019</v>
      </c>
      <c r="C1195" s="21">
        <v>10</v>
      </c>
      <c r="D1195" s="21">
        <v>29</v>
      </c>
      <c r="E1195" s="21" t="s">
        <v>303</v>
      </c>
      <c r="F1195" s="21">
        <v>0</v>
      </c>
      <c r="G1195" s="21">
        <v>35.950000000000003</v>
      </c>
      <c r="H1195" s="21">
        <v>1265.69</v>
      </c>
      <c r="I1195" s="21">
        <v>352.07</v>
      </c>
    </row>
    <row r="1196" spans="1:9" ht="15" customHeight="1" x14ac:dyDescent="0.3">
      <c r="A1196" s="21" t="s">
        <v>1557</v>
      </c>
      <c r="B1196" s="21">
        <v>2019</v>
      </c>
      <c r="C1196" s="21">
        <v>10</v>
      </c>
      <c r="D1196" s="21">
        <v>30</v>
      </c>
      <c r="E1196" s="21" t="s">
        <v>307</v>
      </c>
      <c r="F1196" s="21">
        <v>0</v>
      </c>
      <c r="G1196" s="21">
        <v>43.8</v>
      </c>
      <c r="H1196" s="21">
        <v>1542.42</v>
      </c>
      <c r="I1196" s="21">
        <v>352.15</v>
      </c>
    </row>
    <row r="1197" spans="1:9" ht="15" customHeight="1" x14ac:dyDescent="0.3">
      <c r="A1197" s="21" t="s">
        <v>1558</v>
      </c>
      <c r="B1197" s="21">
        <v>2019</v>
      </c>
      <c r="C1197" s="21">
        <v>10</v>
      </c>
      <c r="D1197" s="21">
        <v>31</v>
      </c>
      <c r="E1197" s="21" t="s">
        <v>310</v>
      </c>
      <c r="F1197" s="21">
        <v>0</v>
      </c>
      <c r="G1197" s="21">
        <v>41.35</v>
      </c>
      <c r="H1197" s="21">
        <v>1455.87</v>
      </c>
      <c r="I1197" s="21">
        <v>352.08</v>
      </c>
    </row>
    <row r="1198" spans="1:9" ht="15" customHeight="1" x14ac:dyDescent="0.3">
      <c r="A1198" s="21" t="s">
        <v>137</v>
      </c>
      <c r="B1198" s="21">
        <v>2019</v>
      </c>
      <c r="C1198" s="21">
        <v>11</v>
      </c>
      <c r="D1198" s="21">
        <v>1</v>
      </c>
      <c r="E1198" s="21" t="s">
        <v>313</v>
      </c>
      <c r="F1198" s="21">
        <v>0</v>
      </c>
      <c r="G1198" s="21">
        <v>50.14</v>
      </c>
      <c r="H1198" s="21">
        <v>1795.5</v>
      </c>
      <c r="I1198" s="21">
        <v>358.1</v>
      </c>
    </row>
    <row r="1199" spans="1:9" ht="15" customHeight="1" x14ac:dyDescent="0.3">
      <c r="A1199" s="21" t="s">
        <v>1559</v>
      </c>
      <c r="B1199" s="21">
        <v>2019</v>
      </c>
      <c r="C1199" s="21">
        <v>11</v>
      </c>
      <c r="D1199" s="21">
        <v>2</v>
      </c>
      <c r="E1199" s="21" t="s">
        <v>316</v>
      </c>
      <c r="F1199" s="21">
        <v>1</v>
      </c>
      <c r="G1199" s="21">
        <v>40.479999999999997</v>
      </c>
      <c r="H1199" s="21">
        <v>1449.61</v>
      </c>
      <c r="I1199" s="21">
        <v>358.11</v>
      </c>
    </row>
    <row r="1200" spans="1:9" ht="15" customHeight="1" x14ac:dyDescent="0.3">
      <c r="A1200" s="21" t="s">
        <v>1560</v>
      </c>
      <c r="B1200" s="21">
        <v>2019</v>
      </c>
      <c r="C1200" s="21">
        <v>11</v>
      </c>
      <c r="D1200" s="21">
        <v>3</v>
      </c>
      <c r="E1200" s="21" t="s">
        <v>319</v>
      </c>
      <c r="F1200" s="21">
        <v>1</v>
      </c>
      <c r="G1200" s="21">
        <v>33.35</v>
      </c>
      <c r="H1200" s="21">
        <v>1194.26</v>
      </c>
      <c r="I1200" s="21">
        <v>358.1</v>
      </c>
    </row>
    <row r="1201" spans="1:9" ht="15" customHeight="1" x14ac:dyDescent="0.3">
      <c r="A1201" s="21" t="s">
        <v>1561</v>
      </c>
      <c r="B1201" s="21">
        <v>2019</v>
      </c>
      <c r="C1201" s="21">
        <v>11</v>
      </c>
      <c r="D1201" s="21">
        <v>4</v>
      </c>
      <c r="E1201" s="21" t="s">
        <v>299</v>
      </c>
      <c r="F1201" s="21">
        <v>0</v>
      </c>
      <c r="G1201" s="21">
        <v>42.79</v>
      </c>
      <c r="H1201" s="21">
        <v>1532.07</v>
      </c>
      <c r="I1201" s="21">
        <v>358.04</v>
      </c>
    </row>
    <row r="1202" spans="1:9" ht="15" customHeight="1" x14ac:dyDescent="0.3">
      <c r="A1202" s="21" t="s">
        <v>1562</v>
      </c>
      <c r="B1202" s="21">
        <v>2019</v>
      </c>
      <c r="C1202" s="21">
        <v>11</v>
      </c>
      <c r="D1202" s="21">
        <v>5</v>
      </c>
      <c r="E1202" s="21" t="s">
        <v>303</v>
      </c>
      <c r="F1202" s="21">
        <v>0</v>
      </c>
      <c r="G1202" s="21">
        <v>39</v>
      </c>
      <c r="H1202" s="21">
        <v>1396.51</v>
      </c>
      <c r="I1202" s="21">
        <v>358.08</v>
      </c>
    </row>
    <row r="1203" spans="1:9" ht="15" customHeight="1" x14ac:dyDescent="0.3">
      <c r="A1203" s="21" t="s">
        <v>1563</v>
      </c>
      <c r="B1203" s="21">
        <v>2019</v>
      </c>
      <c r="C1203" s="21">
        <v>11</v>
      </c>
      <c r="D1203" s="21">
        <v>6</v>
      </c>
      <c r="E1203" s="21" t="s">
        <v>307</v>
      </c>
      <c r="F1203" s="21">
        <v>0</v>
      </c>
      <c r="G1203" s="21">
        <v>39.89</v>
      </c>
      <c r="H1203" s="21">
        <v>1428.49</v>
      </c>
      <c r="I1203" s="21">
        <v>358.11</v>
      </c>
    </row>
    <row r="1204" spans="1:9" ht="15" customHeight="1" x14ac:dyDescent="0.3">
      <c r="A1204" s="21" t="s">
        <v>1564</v>
      </c>
      <c r="B1204" s="21">
        <v>2019</v>
      </c>
      <c r="C1204" s="21">
        <v>11</v>
      </c>
      <c r="D1204" s="21">
        <v>7</v>
      </c>
      <c r="E1204" s="21" t="s">
        <v>310</v>
      </c>
      <c r="F1204" s="21">
        <v>0</v>
      </c>
      <c r="G1204" s="21">
        <v>41.02</v>
      </c>
      <c r="H1204" s="21">
        <v>1468.69</v>
      </c>
      <c r="I1204" s="21">
        <v>358.04</v>
      </c>
    </row>
    <row r="1205" spans="1:9" ht="15" customHeight="1" x14ac:dyDescent="0.3">
      <c r="A1205" s="21" t="s">
        <v>1565</v>
      </c>
      <c r="B1205" s="21">
        <v>2019</v>
      </c>
      <c r="C1205" s="21">
        <v>11</v>
      </c>
      <c r="D1205" s="21">
        <v>8</v>
      </c>
      <c r="E1205" s="21" t="s">
        <v>313</v>
      </c>
      <c r="F1205" s="21">
        <v>0</v>
      </c>
      <c r="G1205" s="21">
        <v>41.94</v>
      </c>
      <c r="H1205" s="21">
        <v>1501.59</v>
      </c>
      <c r="I1205" s="21">
        <v>358.03</v>
      </c>
    </row>
    <row r="1206" spans="1:9" ht="15" customHeight="1" x14ac:dyDescent="0.3">
      <c r="A1206" s="21" t="s">
        <v>1566</v>
      </c>
      <c r="B1206" s="21">
        <v>2019</v>
      </c>
      <c r="C1206" s="21">
        <v>11</v>
      </c>
      <c r="D1206" s="21">
        <v>9</v>
      </c>
      <c r="E1206" s="21" t="s">
        <v>316</v>
      </c>
      <c r="F1206" s="21">
        <v>1</v>
      </c>
      <c r="G1206" s="21">
        <v>35.07</v>
      </c>
      <c r="H1206" s="21">
        <v>1255.75</v>
      </c>
      <c r="I1206" s="21">
        <v>358.07</v>
      </c>
    </row>
    <row r="1207" spans="1:9" ht="15" customHeight="1" x14ac:dyDescent="0.3">
      <c r="A1207" s="21" t="s">
        <v>1567</v>
      </c>
      <c r="B1207" s="21">
        <v>2019</v>
      </c>
      <c r="C1207" s="21">
        <v>11</v>
      </c>
      <c r="D1207" s="21">
        <v>10</v>
      </c>
      <c r="E1207" s="21" t="s">
        <v>319</v>
      </c>
      <c r="F1207" s="21">
        <v>1</v>
      </c>
      <c r="G1207" s="21">
        <v>34.51</v>
      </c>
      <c r="H1207" s="21">
        <v>1235.67</v>
      </c>
      <c r="I1207" s="21">
        <v>358.06</v>
      </c>
    </row>
    <row r="1208" spans="1:9" ht="15" customHeight="1" x14ac:dyDescent="0.3">
      <c r="A1208" s="21" t="s">
        <v>1568</v>
      </c>
      <c r="B1208" s="21">
        <v>2019</v>
      </c>
      <c r="C1208" s="21">
        <v>11</v>
      </c>
      <c r="D1208" s="21">
        <v>11</v>
      </c>
      <c r="E1208" s="21" t="s">
        <v>299</v>
      </c>
      <c r="F1208" s="21">
        <v>0</v>
      </c>
      <c r="G1208" s="21">
        <v>43.33</v>
      </c>
      <c r="H1208" s="21">
        <v>1551.58</v>
      </c>
      <c r="I1208" s="21">
        <v>358.08</v>
      </c>
    </row>
    <row r="1209" spans="1:9" ht="15" customHeight="1" x14ac:dyDescent="0.3">
      <c r="A1209" s="21" t="s">
        <v>1569</v>
      </c>
      <c r="B1209" s="21">
        <v>2019</v>
      </c>
      <c r="C1209" s="21">
        <v>11</v>
      </c>
      <c r="D1209" s="21">
        <v>12</v>
      </c>
      <c r="E1209" s="21" t="s">
        <v>303</v>
      </c>
      <c r="F1209" s="21">
        <v>0</v>
      </c>
      <c r="G1209" s="21">
        <v>40.9</v>
      </c>
      <c r="H1209" s="21">
        <v>1464.51</v>
      </c>
      <c r="I1209" s="21">
        <v>358.07</v>
      </c>
    </row>
    <row r="1210" spans="1:9" ht="15" customHeight="1" x14ac:dyDescent="0.3">
      <c r="A1210" s="21" t="s">
        <v>1570</v>
      </c>
      <c r="B1210" s="21">
        <v>2019</v>
      </c>
      <c r="C1210" s="21">
        <v>11</v>
      </c>
      <c r="D1210" s="21">
        <v>13</v>
      </c>
      <c r="E1210" s="21" t="s">
        <v>307</v>
      </c>
      <c r="F1210" s="21">
        <v>0</v>
      </c>
      <c r="G1210" s="21">
        <v>42.29</v>
      </c>
      <c r="H1210" s="21">
        <v>1514.27</v>
      </c>
      <c r="I1210" s="21">
        <v>358.07</v>
      </c>
    </row>
    <row r="1211" spans="1:9" ht="15" customHeight="1" x14ac:dyDescent="0.3">
      <c r="A1211" s="21" t="s">
        <v>1571</v>
      </c>
      <c r="B1211" s="21">
        <v>2019</v>
      </c>
      <c r="C1211" s="21">
        <v>11</v>
      </c>
      <c r="D1211" s="21">
        <v>14</v>
      </c>
      <c r="E1211" s="21" t="s">
        <v>310</v>
      </c>
      <c r="F1211" s="21">
        <v>0</v>
      </c>
      <c r="G1211" s="21">
        <v>40.78</v>
      </c>
      <c r="H1211" s="21">
        <v>1460.2</v>
      </c>
      <c r="I1211" s="21">
        <v>358.07</v>
      </c>
    </row>
    <row r="1212" spans="1:9" ht="15" customHeight="1" x14ac:dyDescent="0.3">
      <c r="A1212" s="21" t="s">
        <v>1572</v>
      </c>
      <c r="B1212" s="21">
        <v>2019</v>
      </c>
      <c r="C1212" s="21">
        <v>11</v>
      </c>
      <c r="D1212" s="21">
        <v>15</v>
      </c>
      <c r="E1212" s="21" t="s">
        <v>313</v>
      </c>
      <c r="F1212" s="21">
        <v>0</v>
      </c>
      <c r="G1212" s="21">
        <v>47.69</v>
      </c>
      <c r="H1212" s="21">
        <v>1707.61</v>
      </c>
      <c r="I1212" s="21">
        <v>358.06</v>
      </c>
    </row>
    <row r="1213" spans="1:9" ht="15" customHeight="1" x14ac:dyDescent="0.3">
      <c r="A1213" s="21" t="s">
        <v>1573</v>
      </c>
      <c r="B1213" s="21">
        <v>2019</v>
      </c>
      <c r="C1213" s="21">
        <v>11</v>
      </c>
      <c r="D1213" s="21">
        <v>16</v>
      </c>
      <c r="E1213" s="21" t="s">
        <v>316</v>
      </c>
      <c r="F1213" s="21">
        <v>1</v>
      </c>
      <c r="G1213" s="21">
        <v>38.15</v>
      </c>
      <c r="H1213" s="21">
        <v>1366.05</v>
      </c>
      <c r="I1213" s="21">
        <v>358.07</v>
      </c>
    </row>
    <row r="1214" spans="1:9" ht="15" customHeight="1" x14ac:dyDescent="0.3">
      <c r="A1214" s="21" t="s">
        <v>1574</v>
      </c>
      <c r="B1214" s="21">
        <v>2019</v>
      </c>
      <c r="C1214" s="21">
        <v>11</v>
      </c>
      <c r="D1214" s="21">
        <v>17</v>
      </c>
      <c r="E1214" s="21" t="s">
        <v>319</v>
      </c>
      <c r="F1214" s="21">
        <v>1</v>
      </c>
      <c r="G1214" s="21">
        <v>38.71</v>
      </c>
      <c r="H1214" s="21">
        <v>1386.26</v>
      </c>
      <c r="I1214" s="21">
        <v>358.11</v>
      </c>
    </row>
    <row r="1215" spans="1:9" ht="15" customHeight="1" x14ac:dyDescent="0.3">
      <c r="A1215" s="21" t="s">
        <v>1575</v>
      </c>
      <c r="B1215" s="21">
        <v>2019</v>
      </c>
      <c r="C1215" s="21">
        <v>11</v>
      </c>
      <c r="D1215" s="21">
        <v>18</v>
      </c>
      <c r="E1215" s="21" t="s">
        <v>299</v>
      </c>
      <c r="F1215" s="21">
        <v>0</v>
      </c>
      <c r="G1215" s="21">
        <v>46.99</v>
      </c>
      <c r="H1215" s="21">
        <v>1682.56</v>
      </c>
      <c r="I1215" s="21">
        <v>358.07</v>
      </c>
    </row>
    <row r="1216" spans="1:9" ht="15" customHeight="1" x14ac:dyDescent="0.3">
      <c r="A1216" s="21" t="s">
        <v>1576</v>
      </c>
      <c r="B1216" s="21">
        <v>2019</v>
      </c>
      <c r="C1216" s="21">
        <v>11</v>
      </c>
      <c r="D1216" s="21">
        <v>19</v>
      </c>
      <c r="E1216" s="21" t="s">
        <v>303</v>
      </c>
      <c r="F1216" s="21">
        <v>0</v>
      </c>
      <c r="G1216" s="21">
        <v>44.74</v>
      </c>
      <c r="H1216" s="21">
        <v>1602.16</v>
      </c>
      <c r="I1216" s="21">
        <v>358.1</v>
      </c>
    </row>
    <row r="1217" spans="1:9" ht="15" customHeight="1" x14ac:dyDescent="0.3">
      <c r="A1217" s="21" t="s">
        <v>1577</v>
      </c>
      <c r="B1217" s="21">
        <v>2019</v>
      </c>
      <c r="C1217" s="21">
        <v>11</v>
      </c>
      <c r="D1217" s="21">
        <v>20</v>
      </c>
      <c r="E1217" s="21" t="s">
        <v>307</v>
      </c>
      <c r="F1217" s="21">
        <v>0</v>
      </c>
      <c r="G1217" s="21">
        <v>43.75</v>
      </c>
      <c r="H1217" s="21">
        <v>1566.51</v>
      </c>
      <c r="I1217" s="21">
        <v>358.06</v>
      </c>
    </row>
    <row r="1218" spans="1:9" ht="15" customHeight="1" x14ac:dyDescent="0.3">
      <c r="A1218" s="21" t="s">
        <v>1578</v>
      </c>
      <c r="B1218" s="21">
        <v>2019</v>
      </c>
      <c r="C1218" s="21">
        <v>11</v>
      </c>
      <c r="D1218" s="21">
        <v>21</v>
      </c>
      <c r="E1218" s="21" t="s">
        <v>310</v>
      </c>
      <c r="F1218" s="21">
        <v>0</v>
      </c>
      <c r="G1218" s="21">
        <v>43.8</v>
      </c>
      <c r="H1218" s="21">
        <v>1568.38</v>
      </c>
      <c r="I1218" s="21">
        <v>358.08</v>
      </c>
    </row>
    <row r="1219" spans="1:9" ht="15" customHeight="1" x14ac:dyDescent="0.3">
      <c r="A1219" s="21" t="s">
        <v>1579</v>
      </c>
      <c r="B1219" s="21">
        <v>2019</v>
      </c>
      <c r="C1219" s="21">
        <v>11</v>
      </c>
      <c r="D1219" s="21">
        <v>22</v>
      </c>
      <c r="E1219" s="21" t="s">
        <v>313</v>
      </c>
      <c r="F1219" s="21">
        <v>0</v>
      </c>
      <c r="G1219" s="21">
        <v>46.38</v>
      </c>
      <c r="H1219" s="21">
        <v>1660.89</v>
      </c>
      <c r="I1219" s="21">
        <v>358.1</v>
      </c>
    </row>
    <row r="1220" spans="1:9" ht="15" customHeight="1" x14ac:dyDescent="0.3">
      <c r="A1220" s="21" t="s">
        <v>1580</v>
      </c>
      <c r="B1220" s="21">
        <v>2019</v>
      </c>
      <c r="C1220" s="21">
        <v>11</v>
      </c>
      <c r="D1220" s="21">
        <v>23</v>
      </c>
      <c r="E1220" s="21" t="s">
        <v>316</v>
      </c>
      <c r="F1220" s="21">
        <v>1</v>
      </c>
      <c r="G1220" s="21">
        <v>40.33</v>
      </c>
      <c r="H1220" s="21">
        <v>1444.17</v>
      </c>
      <c r="I1220" s="21">
        <v>358.09</v>
      </c>
    </row>
    <row r="1221" spans="1:9" ht="15" customHeight="1" x14ac:dyDescent="0.3">
      <c r="A1221" s="21" t="s">
        <v>1581</v>
      </c>
      <c r="B1221" s="21">
        <v>2019</v>
      </c>
      <c r="C1221" s="21">
        <v>11</v>
      </c>
      <c r="D1221" s="21">
        <v>24</v>
      </c>
      <c r="E1221" s="21" t="s">
        <v>319</v>
      </c>
      <c r="F1221" s="21">
        <v>1</v>
      </c>
      <c r="G1221" s="21">
        <v>36.32</v>
      </c>
      <c r="H1221" s="21">
        <v>1300.46</v>
      </c>
      <c r="I1221" s="21">
        <v>358.06</v>
      </c>
    </row>
    <row r="1222" spans="1:9" ht="15" customHeight="1" x14ac:dyDescent="0.3">
      <c r="A1222" s="21" t="s">
        <v>1582</v>
      </c>
      <c r="B1222" s="21">
        <v>2019</v>
      </c>
      <c r="C1222" s="21">
        <v>11</v>
      </c>
      <c r="D1222" s="21">
        <v>25</v>
      </c>
      <c r="E1222" s="21" t="s">
        <v>299</v>
      </c>
      <c r="F1222" s="21">
        <v>0</v>
      </c>
      <c r="G1222" s="21">
        <v>45.99</v>
      </c>
      <c r="H1222" s="21">
        <v>1646.95</v>
      </c>
      <c r="I1222" s="21">
        <v>358.11</v>
      </c>
    </row>
    <row r="1223" spans="1:9" ht="15" customHeight="1" x14ac:dyDescent="0.3">
      <c r="A1223" s="21" t="s">
        <v>1583</v>
      </c>
      <c r="B1223" s="21">
        <v>2019</v>
      </c>
      <c r="C1223" s="21">
        <v>11</v>
      </c>
      <c r="D1223" s="21">
        <v>26</v>
      </c>
      <c r="E1223" s="21" t="s">
        <v>303</v>
      </c>
      <c r="F1223" s="21">
        <v>0</v>
      </c>
      <c r="G1223" s="21">
        <v>39.75</v>
      </c>
      <c r="H1223" s="21">
        <v>1423.38</v>
      </c>
      <c r="I1223" s="21">
        <v>358.08</v>
      </c>
    </row>
    <row r="1224" spans="1:9" ht="15" customHeight="1" x14ac:dyDescent="0.3">
      <c r="A1224" s="21" t="s">
        <v>1584</v>
      </c>
      <c r="B1224" s="21">
        <v>2019</v>
      </c>
      <c r="C1224" s="21">
        <v>11</v>
      </c>
      <c r="D1224" s="21">
        <v>27</v>
      </c>
      <c r="E1224" s="21" t="s">
        <v>307</v>
      </c>
      <c r="F1224" s="21">
        <v>0</v>
      </c>
      <c r="G1224" s="21">
        <v>41.72</v>
      </c>
      <c r="H1224" s="21">
        <v>1493.79</v>
      </c>
      <c r="I1224" s="21">
        <v>358.05</v>
      </c>
    </row>
    <row r="1225" spans="1:9" ht="15" customHeight="1" x14ac:dyDescent="0.3">
      <c r="A1225" s="21" t="s">
        <v>1585</v>
      </c>
      <c r="B1225" s="21">
        <v>2019</v>
      </c>
      <c r="C1225" s="21">
        <v>11</v>
      </c>
      <c r="D1225" s="21">
        <v>28</v>
      </c>
      <c r="E1225" s="21" t="s">
        <v>310</v>
      </c>
      <c r="F1225" s="21">
        <v>0</v>
      </c>
      <c r="G1225" s="21">
        <v>40.270000000000003</v>
      </c>
      <c r="H1225" s="21">
        <v>1441.86</v>
      </c>
      <c r="I1225" s="21">
        <v>358.05</v>
      </c>
    </row>
    <row r="1226" spans="1:9" ht="15" customHeight="1" x14ac:dyDescent="0.3">
      <c r="A1226" s="21" t="s">
        <v>1586</v>
      </c>
      <c r="B1226" s="21">
        <v>2019</v>
      </c>
      <c r="C1226" s="21">
        <v>11</v>
      </c>
      <c r="D1226" s="21">
        <v>29</v>
      </c>
      <c r="E1226" s="21" t="s">
        <v>313</v>
      </c>
      <c r="F1226" s="21">
        <v>0</v>
      </c>
      <c r="G1226" s="21">
        <v>52.21</v>
      </c>
      <c r="H1226" s="21">
        <v>1869.4</v>
      </c>
      <c r="I1226" s="21">
        <v>358.05</v>
      </c>
    </row>
    <row r="1227" spans="1:9" ht="15" customHeight="1" x14ac:dyDescent="0.3">
      <c r="A1227" s="21" t="s">
        <v>1587</v>
      </c>
      <c r="B1227" s="21">
        <v>2019</v>
      </c>
      <c r="C1227" s="21">
        <v>11</v>
      </c>
      <c r="D1227" s="21">
        <v>30</v>
      </c>
      <c r="E1227" s="21" t="s">
        <v>316</v>
      </c>
      <c r="F1227" s="21">
        <v>1</v>
      </c>
      <c r="G1227" s="21">
        <v>38.770000000000003</v>
      </c>
      <c r="H1227" s="21">
        <v>1388.2</v>
      </c>
      <c r="I1227" s="21">
        <v>358.06</v>
      </c>
    </row>
    <row r="1228" spans="1:9" ht="15" customHeight="1" x14ac:dyDescent="0.3">
      <c r="A1228" s="21" t="s">
        <v>138</v>
      </c>
      <c r="B1228" s="21">
        <v>2019</v>
      </c>
      <c r="C1228" s="21">
        <v>12</v>
      </c>
      <c r="D1228" s="21">
        <v>1</v>
      </c>
      <c r="E1228" s="21" t="s">
        <v>319</v>
      </c>
      <c r="F1228" s="21">
        <v>1</v>
      </c>
      <c r="G1228" s="21">
        <v>41.66</v>
      </c>
      <c r="H1228" s="21">
        <v>1479.51</v>
      </c>
      <c r="I1228" s="21">
        <v>355.14</v>
      </c>
    </row>
    <row r="1229" spans="1:9" ht="15" customHeight="1" x14ac:dyDescent="0.3">
      <c r="A1229" s="21" t="s">
        <v>1588</v>
      </c>
      <c r="B1229" s="21">
        <v>2019</v>
      </c>
      <c r="C1229" s="21">
        <v>12</v>
      </c>
      <c r="D1229" s="21">
        <v>2</v>
      </c>
      <c r="E1229" s="21" t="s">
        <v>299</v>
      </c>
      <c r="F1229" s="21">
        <v>0</v>
      </c>
      <c r="G1229" s="21">
        <v>49.75</v>
      </c>
      <c r="H1229" s="21">
        <v>1766.61</v>
      </c>
      <c r="I1229" s="21">
        <v>355.1</v>
      </c>
    </row>
    <row r="1230" spans="1:9" ht="15" customHeight="1" x14ac:dyDescent="0.3">
      <c r="A1230" s="21" t="s">
        <v>1589</v>
      </c>
      <c r="B1230" s="21">
        <v>2019</v>
      </c>
      <c r="C1230" s="21">
        <v>12</v>
      </c>
      <c r="D1230" s="21">
        <v>3</v>
      </c>
      <c r="E1230" s="21" t="s">
        <v>303</v>
      </c>
      <c r="F1230" s="21">
        <v>0</v>
      </c>
      <c r="G1230" s="21">
        <v>44.92</v>
      </c>
      <c r="H1230" s="21">
        <v>1595.26</v>
      </c>
      <c r="I1230" s="21">
        <v>355.13</v>
      </c>
    </row>
    <row r="1231" spans="1:9" ht="15" customHeight="1" x14ac:dyDescent="0.3">
      <c r="A1231" s="21" t="s">
        <v>1590</v>
      </c>
      <c r="B1231" s="21">
        <v>2019</v>
      </c>
      <c r="C1231" s="21">
        <v>12</v>
      </c>
      <c r="D1231" s="21">
        <v>4</v>
      </c>
      <c r="E1231" s="21" t="s">
        <v>307</v>
      </c>
      <c r="F1231" s="21">
        <v>0</v>
      </c>
      <c r="G1231" s="21">
        <v>40.700000000000003</v>
      </c>
      <c r="H1231" s="21">
        <v>1445.41</v>
      </c>
      <c r="I1231" s="21">
        <v>355.14</v>
      </c>
    </row>
    <row r="1232" spans="1:9" ht="15" customHeight="1" x14ac:dyDescent="0.3">
      <c r="A1232" s="21" t="s">
        <v>1591</v>
      </c>
      <c r="B1232" s="21">
        <v>2019</v>
      </c>
      <c r="C1232" s="21">
        <v>12</v>
      </c>
      <c r="D1232" s="21">
        <v>5</v>
      </c>
      <c r="E1232" s="21" t="s">
        <v>310</v>
      </c>
      <c r="F1232" s="21">
        <v>0</v>
      </c>
      <c r="G1232" s="21">
        <v>42.6</v>
      </c>
      <c r="H1232" s="21">
        <v>1512.74</v>
      </c>
      <c r="I1232" s="21">
        <v>355.1</v>
      </c>
    </row>
    <row r="1233" spans="1:9" ht="15" customHeight="1" x14ac:dyDescent="0.3">
      <c r="A1233" s="21" t="s">
        <v>1592</v>
      </c>
      <c r="B1233" s="21">
        <v>2019</v>
      </c>
      <c r="C1233" s="21">
        <v>12</v>
      </c>
      <c r="D1233" s="21">
        <v>6</v>
      </c>
      <c r="E1233" s="21" t="s">
        <v>313</v>
      </c>
      <c r="F1233" s="21">
        <v>0</v>
      </c>
      <c r="G1233" s="21">
        <v>46.39</v>
      </c>
      <c r="H1233" s="21">
        <v>1647.21</v>
      </c>
      <c r="I1233" s="21">
        <v>355.08</v>
      </c>
    </row>
    <row r="1234" spans="1:9" ht="15" customHeight="1" x14ac:dyDescent="0.3">
      <c r="A1234" s="21" t="s">
        <v>1593</v>
      </c>
      <c r="B1234" s="21">
        <v>2019</v>
      </c>
      <c r="C1234" s="21">
        <v>12</v>
      </c>
      <c r="D1234" s="21">
        <v>7</v>
      </c>
      <c r="E1234" s="21" t="s">
        <v>316</v>
      </c>
      <c r="F1234" s="21">
        <v>1</v>
      </c>
      <c r="G1234" s="21">
        <v>36.4</v>
      </c>
      <c r="H1234" s="21">
        <v>1292.5899999999999</v>
      </c>
      <c r="I1234" s="21">
        <v>355.11</v>
      </c>
    </row>
    <row r="1235" spans="1:9" ht="15" customHeight="1" x14ac:dyDescent="0.3">
      <c r="A1235" s="21" t="s">
        <v>1594</v>
      </c>
      <c r="B1235" s="21">
        <v>2019</v>
      </c>
      <c r="C1235" s="21">
        <v>12</v>
      </c>
      <c r="D1235" s="21">
        <v>8</v>
      </c>
      <c r="E1235" s="21" t="s">
        <v>319</v>
      </c>
      <c r="F1235" s="21">
        <v>1</v>
      </c>
      <c r="G1235" s="21">
        <v>35.64</v>
      </c>
      <c r="H1235" s="21">
        <v>1265.6500000000001</v>
      </c>
      <c r="I1235" s="21">
        <v>355.12</v>
      </c>
    </row>
    <row r="1236" spans="1:9" ht="15" customHeight="1" x14ac:dyDescent="0.3">
      <c r="A1236" s="21" t="s">
        <v>1595</v>
      </c>
      <c r="B1236" s="21">
        <v>2019</v>
      </c>
      <c r="C1236" s="21">
        <v>12</v>
      </c>
      <c r="D1236" s="21">
        <v>9</v>
      </c>
      <c r="E1236" s="21" t="s">
        <v>299</v>
      </c>
      <c r="F1236" s="21">
        <v>0</v>
      </c>
      <c r="G1236" s="21">
        <v>44.15</v>
      </c>
      <c r="H1236" s="21">
        <v>1567.91</v>
      </c>
      <c r="I1236" s="21">
        <v>355.13</v>
      </c>
    </row>
    <row r="1237" spans="1:9" ht="15" customHeight="1" x14ac:dyDescent="0.3">
      <c r="A1237" s="21" t="s">
        <v>1596</v>
      </c>
      <c r="B1237" s="21">
        <v>2019</v>
      </c>
      <c r="C1237" s="21">
        <v>12</v>
      </c>
      <c r="D1237" s="21">
        <v>10</v>
      </c>
      <c r="E1237" s="21" t="s">
        <v>303</v>
      </c>
      <c r="F1237" s="21">
        <v>0</v>
      </c>
      <c r="G1237" s="21">
        <v>42.26</v>
      </c>
      <c r="H1237" s="21">
        <v>1500.78</v>
      </c>
      <c r="I1237" s="21">
        <v>355.13</v>
      </c>
    </row>
    <row r="1238" spans="1:9" ht="15" customHeight="1" x14ac:dyDescent="0.3">
      <c r="A1238" s="21" t="s">
        <v>1597</v>
      </c>
      <c r="B1238" s="21">
        <v>2019</v>
      </c>
      <c r="C1238" s="21">
        <v>12</v>
      </c>
      <c r="D1238" s="21">
        <v>11</v>
      </c>
      <c r="E1238" s="21" t="s">
        <v>307</v>
      </c>
      <c r="F1238" s="21">
        <v>0</v>
      </c>
      <c r="G1238" s="21">
        <v>42.02</v>
      </c>
      <c r="H1238" s="21">
        <v>1492.2</v>
      </c>
      <c r="I1238" s="21">
        <v>355.12</v>
      </c>
    </row>
    <row r="1239" spans="1:9" ht="15" customHeight="1" x14ac:dyDescent="0.3">
      <c r="A1239" s="21" t="s">
        <v>1598</v>
      </c>
      <c r="B1239" s="21">
        <v>2019</v>
      </c>
      <c r="C1239" s="21">
        <v>12</v>
      </c>
      <c r="D1239" s="21">
        <v>12</v>
      </c>
      <c r="E1239" s="21" t="s">
        <v>310</v>
      </c>
      <c r="F1239" s="21">
        <v>0</v>
      </c>
      <c r="G1239" s="21">
        <v>43.43</v>
      </c>
      <c r="H1239" s="21">
        <v>1542.15</v>
      </c>
      <c r="I1239" s="21">
        <v>355.09</v>
      </c>
    </row>
    <row r="1240" spans="1:9" ht="15" customHeight="1" x14ac:dyDescent="0.3">
      <c r="A1240" s="21" t="s">
        <v>1599</v>
      </c>
      <c r="B1240" s="21">
        <v>2019</v>
      </c>
      <c r="C1240" s="21">
        <v>12</v>
      </c>
      <c r="D1240" s="21">
        <v>13</v>
      </c>
      <c r="E1240" s="21" t="s">
        <v>313</v>
      </c>
      <c r="F1240" s="21">
        <v>0</v>
      </c>
      <c r="G1240" s="21">
        <v>48.38</v>
      </c>
      <c r="H1240" s="21">
        <v>1718.11</v>
      </c>
      <c r="I1240" s="21">
        <v>355.13</v>
      </c>
    </row>
    <row r="1241" spans="1:9" ht="15" customHeight="1" x14ac:dyDescent="0.3">
      <c r="A1241" s="21" t="s">
        <v>1600</v>
      </c>
      <c r="B1241" s="21">
        <v>2019</v>
      </c>
      <c r="C1241" s="21">
        <v>12</v>
      </c>
      <c r="D1241" s="21">
        <v>14</v>
      </c>
      <c r="E1241" s="21" t="s">
        <v>316</v>
      </c>
      <c r="F1241" s="21">
        <v>1</v>
      </c>
      <c r="G1241" s="21">
        <v>35.17</v>
      </c>
      <c r="H1241" s="21">
        <v>1248.92</v>
      </c>
      <c r="I1241" s="21">
        <v>355.11</v>
      </c>
    </row>
    <row r="1242" spans="1:9" ht="15" customHeight="1" x14ac:dyDescent="0.3">
      <c r="A1242" s="21" t="s">
        <v>1601</v>
      </c>
      <c r="B1242" s="21">
        <v>2019</v>
      </c>
      <c r="C1242" s="21">
        <v>12</v>
      </c>
      <c r="D1242" s="21">
        <v>15</v>
      </c>
      <c r="E1242" s="21" t="s">
        <v>319</v>
      </c>
      <c r="F1242" s="21">
        <v>1</v>
      </c>
      <c r="G1242" s="21">
        <v>34.14</v>
      </c>
      <c r="H1242" s="21">
        <v>1212.3900000000001</v>
      </c>
      <c r="I1242" s="21">
        <v>355.12</v>
      </c>
    </row>
    <row r="1243" spans="1:9" ht="15" customHeight="1" x14ac:dyDescent="0.3">
      <c r="A1243" s="21" t="s">
        <v>1602</v>
      </c>
      <c r="B1243" s="21">
        <v>2019</v>
      </c>
      <c r="C1243" s="21">
        <v>12</v>
      </c>
      <c r="D1243" s="21">
        <v>16</v>
      </c>
      <c r="E1243" s="21" t="s">
        <v>299</v>
      </c>
      <c r="F1243" s="21">
        <v>0</v>
      </c>
      <c r="G1243" s="21">
        <v>44.2</v>
      </c>
      <c r="H1243" s="21">
        <v>1569.78</v>
      </c>
      <c r="I1243" s="21">
        <v>355.15</v>
      </c>
    </row>
    <row r="1244" spans="1:9" ht="15" customHeight="1" x14ac:dyDescent="0.3">
      <c r="A1244" s="21" t="s">
        <v>1603</v>
      </c>
      <c r="B1244" s="21">
        <v>2019</v>
      </c>
      <c r="C1244" s="21">
        <v>12</v>
      </c>
      <c r="D1244" s="21">
        <v>17</v>
      </c>
      <c r="E1244" s="21" t="s">
        <v>303</v>
      </c>
      <c r="F1244" s="21">
        <v>0</v>
      </c>
      <c r="G1244" s="21">
        <v>45.47</v>
      </c>
      <c r="H1244" s="21">
        <v>1614.8</v>
      </c>
      <c r="I1244" s="21">
        <v>355.14</v>
      </c>
    </row>
    <row r="1245" spans="1:9" ht="15" customHeight="1" x14ac:dyDescent="0.3">
      <c r="A1245" s="21" t="s">
        <v>1604</v>
      </c>
      <c r="B1245" s="21">
        <v>2019</v>
      </c>
      <c r="C1245" s="21">
        <v>12</v>
      </c>
      <c r="D1245" s="21">
        <v>18</v>
      </c>
      <c r="E1245" s="21" t="s">
        <v>307</v>
      </c>
      <c r="F1245" s="21">
        <v>0</v>
      </c>
      <c r="G1245" s="21">
        <v>41.19</v>
      </c>
      <c r="H1245" s="21">
        <v>1462.67</v>
      </c>
      <c r="I1245" s="21">
        <v>355.1</v>
      </c>
    </row>
    <row r="1246" spans="1:9" ht="15" customHeight="1" x14ac:dyDescent="0.3">
      <c r="A1246" s="21" t="s">
        <v>1605</v>
      </c>
      <c r="B1246" s="21">
        <v>2019</v>
      </c>
      <c r="C1246" s="21">
        <v>12</v>
      </c>
      <c r="D1246" s="21">
        <v>19</v>
      </c>
      <c r="E1246" s="21" t="s">
        <v>310</v>
      </c>
      <c r="F1246" s="21">
        <v>0</v>
      </c>
      <c r="G1246" s="21">
        <v>44.28</v>
      </c>
      <c r="H1246" s="21">
        <v>1572.51</v>
      </c>
      <c r="I1246" s="21">
        <v>355.13</v>
      </c>
    </row>
    <row r="1247" spans="1:9" ht="15" customHeight="1" x14ac:dyDescent="0.3">
      <c r="A1247" s="21" t="s">
        <v>1606</v>
      </c>
      <c r="B1247" s="21">
        <v>2019</v>
      </c>
      <c r="C1247" s="21">
        <v>12</v>
      </c>
      <c r="D1247" s="21">
        <v>20</v>
      </c>
      <c r="E1247" s="21" t="s">
        <v>313</v>
      </c>
      <c r="F1247" s="21">
        <v>0</v>
      </c>
      <c r="G1247" s="21">
        <v>47.71</v>
      </c>
      <c r="H1247" s="21">
        <v>1694.15</v>
      </c>
      <c r="I1247" s="21">
        <v>355.09</v>
      </c>
    </row>
    <row r="1248" spans="1:9" ht="15" customHeight="1" x14ac:dyDescent="0.3">
      <c r="A1248" s="21" t="s">
        <v>1607</v>
      </c>
      <c r="B1248" s="21">
        <v>2019</v>
      </c>
      <c r="C1248" s="21">
        <v>12</v>
      </c>
      <c r="D1248" s="21">
        <v>21</v>
      </c>
      <c r="E1248" s="21" t="s">
        <v>316</v>
      </c>
      <c r="F1248" s="21">
        <v>1</v>
      </c>
      <c r="G1248" s="21">
        <v>35.17</v>
      </c>
      <c r="H1248" s="21">
        <v>1249.0899999999999</v>
      </c>
      <c r="I1248" s="21">
        <v>355.16</v>
      </c>
    </row>
    <row r="1249" spans="1:9" ht="15" customHeight="1" x14ac:dyDescent="0.3">
      <c r="A1249" s="21" t="s">
        <v>1608</v>
      </c>
      <c r="B1249" s="21">
        <v>2019</v>
      </c>
      <c r="C1249" s="21">
        <v>12</v>
      </c>
      <c r="D1249" s="21">
        <v>22</v>
      </c>
      <c r="E1249" s="21" t="s">
        <v>319</v>
      </c>
      <c r="F1249" s="21">
        <v>1</v>
      </c>
      <c r="G1249" s="21">
        <v>36.6</v>
      </c>
      <c r="H1249" s="21">
        <v>1299.57</v>
      </c>
      <c r="I1249" s="21">
        <v>355.07</v>
      </c>
    </row>
    <row r="1250" spans="1:9" ht="15" customHeight="1" x14ac:dyDescent="0.3">
      <c r="A1250" s="21" t="s">
        <v>1609</v>
      </c>
      <c r="B1250" s="21">
        <v>2019</v>
      </c>
      <c r="C1250" s="21">
        <v>12</v>
      </c>
      <c r="D1250" s="21">
        <v>23</v>
      </c>
      <c r="E1250" s="21" t="s">
        <v>299</v>
      </c>
      <c r="F1250" s="21">
        <v>0</v>
      </c>
      <c r="G1250" s="21">
        <v>46.38</v>
      </c>
      <c r="H1250" s="21">
        <v>1646.97</v>
      </c>
      <c r="I1250" s="21">
        <v>355.1</v>
      </c>
    </row>
    <row r="1251" spans="1:9" ht="15" customHeight="1" x14ac:dyDescent="0.3">
      <c r="A1251" s="21" t="s">
        <v>1610</v>
      </c>
      <c r="B1251" s="21">
        <v>2019</v>
      </c>
      <c r="C1251" s="21">
        <v>12</v>
      </c>
      <c r="D1251" s="21">
        <v>24</v>
      </c>
      <c r="E1251" s="21" t="s">
        <v>303</v>
      </c>
      <c r="F1251" s="21">
        <v>0</v>
      </c>
      <c r="G1251" s="21">
        <v>41.73</v>
      </c>
      <c r="H1251" s="21">
        <v>1481.76</v>
      </c>
      <c r="I1251" s="21">
        <v>355.08</v>
      </c>
    </row>
    <row r="1252" spans="1:9" ht="15" customHeight="1" x14ac:dyDescent="0.3">
      <c r="A1252" s="21" t="s">
        <v>1611</v>
      </c>
      <c r="B1252" s="21">
        <v>2019</v>
      </c>
      <c r="C1252" s="21">
        <v>12</v>
      </c>
      <c r="D1252" s="21">
        <v>25</v>
      </c>
      <c r="E1252" s="21" t="s">
        <v>307</v>
      </c>
      <c r="F1252" s="21">
        <v>0</v>
      </c>
      <c r="G1252" s="21">
        <v>41.95</v>
      </c>
      <c r="H1252" s="21">
        <v>1489.65</v>
      </c>
      <c r="I1252" s="21">
        <v>355.1</v>
      </c>
    </row>
    <row r="1253" spans="1:9" ht="15" customHeight="1" x14ac:dyDescent="0.3">
      <c r="A1253" s="21" t="s">
        <v>1612</v>
      </c>
      <c r="B1253" s="21">
        <v>2019</v>
      </c>
      <c r="C1253" s="21">
        <v>12</v>
      </c>
      <c r="D1253" s="21">
        <v>26</v>
      </c>
      <c r="E1253" s="21" t="s">
        <v>310</v>
      </c>
      <c r="F1253" s="21">
        <v>0</v>
      </c>
      <c r="G1253" s="21">
        <v>41.47</v>
      </c>
      <c r="H1253" s="21">
        <v>1472.65</v>
      </c>
      <c r="I1253" s="21">
        <v>355.11</v>
      </c>
    </row>
    <row r="1254" spans="1:9" ht="15" customHeight="1" x14ac:dyDescent="0.3">
      <c r="A1254" s="21" t="s">
        <v>1613</v>
      </c>
      <c r="B1254" s="21">
        <v>2019</v>
      </c>
      <c r="C1254" s="21">
        <v>12</v>
      </c>
      <c r="D1254" s="21">
        <v>27</v>
      </c>
      <c r="E1254" s="21" t="s">
        <v>313</v>
      </c>
      <c r="F1254" s="21">
        <v>0</v>
      </c>
      <c r="G1254" s="21">
        <v>44.3</v>
      </c>
      <c r="H1254" s="21">
        <v>1573.08</v>
      </c>
      <c r="I1254" s="21">
        <v>355.1</v>
      </c>
    </row>
    <row r="1255" spans="1:9" ht="15" customHeight="1" x14ac:dyDescent="0.3">
      <c r="A1255" s="21" t="s">
        <v>1614</v>
      </c>
      <c r="B1255" s="21">
        <v>2019</v>
      </c>
      <c r="C1255" s="21">
        <v>12</v>
      </c>
      <c r="D1255" s="21">
        <v>28</v>
      </c>
      <c r="E1255" s="21" t="s">
        <v>316</v>
      </c>
      <c r="F1255" s="21">
        <v>1</v>
      </c>
      <c r="G1255" s="21">
        <v>35.049999999999997</v>
      </c>
      <c r="H1255" s="21">
        <v>1244.79</v>
      </c>
      <c r="I1255" s="21">
        <v>355.15</v>
      </c>
    </row>
    <row r="1256" spans="1:9" ht="15" customHeight="1" x14ac:dyDescent="0.3">
      <c r="A1256" s="21" t="s">
        <v>1615</v>
      </c>
      <c r="B1256" s="21">
        <v>2019</v>
      </c>
      <c r="C1256" s="21">
        <v>12</v>
      </c>
      <c r="D1256" s="21">
        <v>29</v>
      </c>
      <c r="E1256" s="21" t="s">
        <v>319</v>
      </c>
      <c r="F1256" s="21">
        <v>1</v>
      </c>
      <c r="G1256" s="21">
        <v>34.33</v>
      </c>
      <c r="H1256" s="21">
        <v>1218.95</v>
      </c>
      <c r="I1256" s="21">
        <v>355.07</v>
      </c>
    </row>
    <row r="1257" spans="1:9" ht="15" customHeight="1" x14ac:dyDescent="0.3">
      <c r="A1257" s="21" t="s">
        <v>1616</v>
      </c>
      <c r="B1257" s="21">
        <v>2019</v>
      </c>
      <c r="C1257" s="21">
        <v>12</v>
      </c>
      <c r="D1257" s="21">
        <v>30</v>
      </c>
      <c r="E1257" s="21" t="s">
        <v>299</v>
      </c>
      <c r="F1257" s="21">
        <v>0</v>
      </c>
      <c r="G1257" s="21">
        <v>51.01</v>
      </c>
      <c r="H1257" s="21">
        <v>1811.57</v>
      </c>
      <c r="I1257" s="21">
        <v>355.14</v>
      </c>
    </row>
    <row r="1258" spans="1:9" ht="15" customHeight="1" x14ac:dyDescent="0.3">
      <c r="A1258" s="21" t="s">
        <v>1617</v>
      </c>
      <c r="B1258" s="21">
        <v>2019</v>
      </c>
      <c r="C1258" s="21">
        <v>12</v>
      </c>
      <c r="D1258" s="21">
        <v>31</v>
      </c>
      <c r="E1258" s="21" t="s">
        <v>303</v>
      </c>
      <c r="F1258" s="21">
        <v>0</v>
      </c>
      <c r="G1258" s="21">
        <v>47.42</v>
      </c>
      <c r="H1258" s="21">
        <v>1683.81</v>
      </c>
      <c r="I1258" s="21">
        <v>355.08</v>
      </c>
    </row>
    <row r="1259" spans="1:9" ht="15" customHeight="1" x14ac:dyDescent="0.3">
      <c r="A1259" s="21" t="s">
        <v>139</v>
      </c>
      <c r="B1259" s="21">
        <v>2020</v>
      </c>
      <c r="C1259" s="21">
        <v>1</v>
      </c>
      <c r="D1259" s="21">
        <v>1</v>
      </c>
      <c r="E1259" s="21" t="s">
        <v>307</v>
      </c>
      <c r="F1259" s="21">
        <v>0</v>
      </c>
      <c r="G1259" s="21">
        <v>48.65</v>
      </c>
      <c r="H1259" s="21">
        <v>1721.6</v>
      </c>
      <c r="I1259" s="21">
        <v>353.87</v>
      </c>
    </row>
    <row r="1260" spans="1:9" ht="15" customHeight="1" x14ac:dyDescent="0.3">
      <c r="A1260" s="21" t="s">
        <v>1618</v>
      </c>
      <c r="B1260" s="21">
        <v>2020</v>
      </c>
      <c r="C1260" s="21">
        <v>1</v>
      </c>
      <c r="D1260" s="21">
        <v>2</v>
      </c>
      <c r="E1260" s="21" t="s">
        <v>310</v>
      </c>
      <c r="F1260" s="21">
        <v>0</v>
      </c>
      <c r="G1260" s="21">
        <v>46.06</v>
      </c>
      <c r="H1260" s="21">
        <v>1629.81</v>
      </c>
      <c r="I1260" s="21">
        <v>353.84</v>
      </c>
    </row>
    <row r="1261" spans="1:9" ht="15" customHeight="1" x14ac:dyDescent="0.3">
      <c r="A1261" s="21" t="s">
        <v>1619</v>
      </c>
      <c r="B1261" s="21">
        <v>2020</v>
      </c>
      <c r="C1261" s="21">
        <v>1</v>
      </c>
      <c r="D1261" s="21">
        <v>3</v>
      </c>
      <c r="E1261" s="21" t="s">
        <v>313</v>
      </c>
      <c r="F1261" s="21">
        <v>0</v>
      </c>
      <c r="G1261" s="21">
        <v>45.79</v>
      </c>
      <c r="H1261" s="21">
        <v>1620.3</v>
      </c>
      <c r="I1261" s="21">
        <v>353.85</v>
      </c>
    </row>
    <row r="1262" spans="1:9" ht="15" customHeight="1" x14ac:dyDescent="0.3">
      <c r="A1262" s="21" t="s">
        <v>1620</v>
      </c>
      <c r="B1262" s="21">
        <v>2020</v>
      </c>
      <c r="C1262" s="21">
        <v>1</v>
      </c>
      <c r="D1262" s="21">
        <v>4</v>
      </c>
      <c r="E1262" s="21" t="s">
        <v>316</v>
      </c>
      <c r="F1262" s="21">
        <v>1</v>
      </c>
      <c r="G1262" s="21">
        <v>36.76</v>
      </c>
      <c r="H1262" s="21">
        <v>1300.8</v>
      </c>
      <c r="I1262" s="21">
        <v>353.86</v>
      </c>
    </row>
    <row r="1263" spans="1:9" ht="15" customHeight="1" x14ac:dyDescent="0.3">
      <c r="A1263" s="21" t="s">
        <v>1621</v>
      </c>
      <c r="B1263" s="21">
        <v>2020</v>
      </c>
      <c r="C1263" s="21">
        <v>1</v>
      </c>
      <c r="D1263" s="21">
        <v>5</v>
      </c>
      <c r="E1263" s="21" t="s">
        <v>319</v>
      </c>
      <c r="F1263" s="21">
        <v>1</v>
      </c>
      <c r="G1263" s="21">
        <v>33.200000000000003</v>
      </c>
      <c r="H1263" s="21">
        <v>1174.7</v>
      </c>
      <c r="I1263" s="21">
        <v>353.83</v>
      </c>
    </row>
    <row r="1264" spans="1:9" ht="15" customHeight="1" x14ac:dyDescent="0.3">
      <c r="A1264" s="21" t="s">
        <v>1622</v>
      </c>
      <c r="B1264" s="21">
        <v>2020</v>
      </c>
      <c r="C1264" s="21">
        <v>1</v>
      </c>
      <c r="D1264" s="21">
        <v>6</v>
      </c>
      <c r="E1264" s="21" t="s">
        <v>299</v>
      </c>
      <c r="F1264" s="21">
        <v>0</v>
      </c>
      <c r="G1264" s="21">
        <v>44.59</v>
      </c>
      <c r="H1264" s="21">
        <v>1577.63</v>
      </c>
      <c r="I1264" s="21">
        <v>353.81</v>
      </c>
    </row>
    <row r="1265" spans="1:9" ht="15" customHeight="1" x14ac:dyDescent="0.3">
      <c r="A1265" s="21" t="s">
        <v>1623</v>
      </c>
      <c r="B1265" s="21">
        <v>2020</v>
      </c>
      <c r="C1265" s="21">
        <v>1</v>
      </c>
      <c r="D1265" s="21">
        <v>7</v>
      </c>
      <c r="E1265" s="21" t="s">
        <v>303</v>
      </c>
      <c r="F1265" s="21">
        <v>0</v>
      </c>
      <c r="G1265" s="21">
        <v>43.56</v>
      </c>
      <c r="H1265" s="21">
        <v>1541.36</v>
      </c>
      <c r="I1265" s="21">
        <v>353.85</v>
      </c>
    </row>
    <row r="1266" spans="1:9" ht="15" customHeight="1" x14ac:dyDescent="0.3">
      <c r="A1266" s="21" t="s">
        <v>1624</v>
      </c>
      <c r="B1266" s="21">
        <v>2020</v>
      </c>
      <c r="C1266" s="21">
        <v>1</v>
      </c>
      <c r="D1266" s="21">
        <v>8</v>
      </c>
      <c r="E1266" s="21" t="s">
        <v>307</v>
      </c>
      <c r="F1266" s="21">
        <v>0</v>
      </c>
      <c r="G1266" s="21">
        <v>40.49</v>
      </c>
      <c r="H1266" s="21">
        <v>1432.66</v>
      </c>
      <c r="I1266" s="21">
        <v>353.83</v>
      </c>
    </row>
    <row r="1267" spans="1:9" ht="15" customHeight="1" x14ac:dyDescent="0.3">
      <c r="A1267" s="21" t="s">
        <v>1625</v>
      </c>
      <c r="B1267" s="21">
        <v>2020</v>
      </c>
      <c r="C1267" s="21">
        <v>1</v>
      </c>
      <c r="D1267" s="21">
        <v>9</v>
      </c>
      <c r="E1267" s="21" t="s">
        <v>310</v>
      </c>
      <c r="F1267" s="21">
        <v>0</v>
      </c>
      <c r="G1267" s="21">
        <v>44.12</v>
      </c>
      <c r="H1267" s="21">
        <v>1561.21</v>
      </c>
      <c r="I1267" s="21">
        <v>353.86</v>
      </c>
    </row>
    <row r="1268" spans="1:9" ht="15" customHeight="1" x14ac:dyDescent="0.3">
      <c r="A1268" s="21" t="s">
        <v>1626</v>
      </c>
      <c r="B1268" s="21">
        <v>2020</v>
      </c>
      <c r="C1268" s="21">
        <v>1</v>
      </c>
      <c r="D1268" s="21">
        <v>10</v>
      </c>
      <c r="E1268" s="21" t="s">
        <v>313</v>
      </c>
      <c r="F1268" s="21">
        <v>0</v>
      </c>
      <c r="G1268" s="21">
        <v>45.9</v>
      </c>
      <c r="H1268" s="21">
        <v>1624.23</v>
      </c>
      <c r="I1268" s="21">
        <v>353.86</v>
      </c>
    </row>
    <row r="1269" spans="1:9" ht="15" customHeight="1" x14ac:dyDescent="0.3">
      <c r="A1269" s="21" t="s">
        <v>1627</v>
      </c>
      <c r="B1269" s="21">
        <v>2020</v>
      </c>
      <c r="C1269" s="21">
        <v>1</v>
      </c>
      <c r="D1269" s="21">
        <v>11</v>
      </c>
      <c r="E1269" s="21" t="s">
        <v>316</v>
      </c>
      <c r="F1269" s="21">
        <v>1</v>
      </c>
      <c r="G1269" s="21">
        <v>34.82</v>
      </c>
      <c r="H1269" s="21">
        <v>1232.18</v>
      </c>
      <c r="I1269" s="21">
        <v>353.87</v>
      </c>
    </row>
    <row r="1270" spans="1:9" ht="15" customHeight="1" x14ac:dyDescent="0.3">
      <c r="A1270" s="21" t="s">
        <v>1628</v>
      </c>
      <c r="B1270" s="21">
        <v>2020</v>
      </c>
      <c r="C1270" s="21">
        <v>1</v>
      </c>
      <c r="D1270" s="21">
        <v>12</v>
      </c>
      <c r="E1270" s="21" t="s">
        <v>319</v>
      </c>
      <c r="F1270" s="21">
        <v>1</v>
      </c>
      <c r="G1270" s="21">
        <v>35.64</v>
      </c>
      <c r="H1270" s="21">
        <v>1261.1300000000001</v>
      </c>
      <c r="I1270" s="21">
        <v>353.85</v>
      </c>
    </row>
    <row r="1271" spans="1:9" ht="15" customHeight="1" x14ac:dyDescent="0.3">
      <c r="A1271" s="21" t="s">
        <v>1629</v>
      </c>
      <c r="B1271" s="21">
        <v>2020</v>
      </c>
      <c r="C1271" s="21">
        <v>1</v>
      </c>
      <c r="D1271" s="21">
        <v>13</v>
      </c>
      <c r="E1271" s="21" t="s">
        <v>299</v>
      </c>
      <c r="F1271" s="21">
        <v>0</v>
      </c>
      <c r="G1271" s="21">
        <v>44.82</v>
      </c>
      <c r="H1271" s="21">
        <v>1585.84</v>
      </c>
      <c r="I1271" s="21">
        <v>353.82</v>
      </c>
    </row>
    <row r="1272" spans="1:9" ht="15" customHeight="1" x14ac:dyDescent="0.3">
      <c r="A1272" s="21" t="s">
        <v>1630</v>
      </c>
      <c r="B1272" s="21">
        <v>2020</v>
      </c>
      <c r="C1272" s="21">
        <v>1</v>
      </c>
      <c r="D1272" s="21">
        <v>14</v>
      </c>
      <c r="E1272" s="21" t="s">
        <v>303</v>
      </c>
      <c r="F1272" s="21">
        <v>0</v>
      </c>
      <c r="G1272" s="21">
        <v>42.11</v>
      </c>
      <c r="H1272" s="21">
        <v>1490</v>
      </c>
      <c r="I1272" s="21">
        <v>353.84</v>
      </c>
    </row>
    <row r="1273" spans="1:9" ht="15" customHeight="1" x14ac:dyDescent="0.3">
      <c r="A1273" s="21" t="s">
        <v>1631</v>
      </c>
      <c r="B1273" s="21">
        <v>2020</v>
      </c>
      <c r="C1273" s="21">
        <v>1</v>
      </c>
      <c r="D1273" s="21">
        <v>15</v>
      </c>
      <c r="E1273" s="21" t="s">
        <v>307</v>
      </c>
      <c r="F1273" s="21">
        <v>0</v>
      </c>
      <c r="G1273" s="21">
        <v>42.69</v>
      </c>
      <c r="H1273" s="21">
        <v>1510.64</v>
      </c>
      <c r="I1273" s="21">
        <v>353.86</v>
      </c>
    </row>
    <row r="1274" spans="1:9" ht="15" customHeight="1" x14ac:dyDescent="0.3">
      <c r="A1274" s="21" t="s">
        <v>1632</v>
      </c>
      <c r="B1274" s="21">
        <v>2020</v>
      </c>
      <c r="C1274" s="21">
        <v>1</v>
      </c>
      <c r="D1274" s="21">
        <v>16</v>
      </c>
      <c r="E1274" s="21" t="s">
        <v>310</v>
      </c>
      <c r="F1274" s="21">
        <v>0</v>
      </c>
      <c r="G1274" s="21">
        <v>40.85</v>
      </c>
      <c r="H1274" s="21">
        <v>1445.55</v>
      </c>
      <c r="I1274" s="21">
        <v>353.87</v>
      </c>
    </row>
    <row r="1275" spans="1:9" ht="15" customHeight="1" x14ac:dyDescent="0.3">
      <c r="A1275" s="21" t="s">
        <v>1633</v>
      </c>
      <c r="B1275" s="21">
        <v>2020</v>
      </c>
      <c r="C1275" s="21">
        <v>1</v>
      </c>
      <c r="D1275" s="21">
        <v>17</v>
      </c>
      <c r="E1275" s="21" t="s">
        <v>313</v>
      </c>
      <c r="F1275" s="21">
        <v>0</v>
      </c>
      <c r="G1275" s="21">
        <v>45.59</v>
      </c>
      <c r="H1275" s="21">
        <v>1613.1</v>
      </c>
      <c r="I1275" s="21">
        <v>353.83</v>
      </c>
    </row>
    <row r="1276" spans="1:9" ht="15" customHeight="1" x14ac:dyDescent="0.3">
      <c r="A1276" s="21" t="s">
        <v>1634</v>
      </c>
      <c r="B1276" s="21">
        <v>2020</v>
      </c>
      <c r="C1276" s="21">
        <v>1</v>
      </c>
      <c r="D1276" s="21">
        <v>18</v>
      </c>
      <c r="E1276" s="21" t="s">
        <v>316</v>
      </c>
      <c r="F1276" s="21">
        <v>1</v>
      </c>
      <c r="G1276" s="21">
        <v>33.93</v>
      </c>
      <c r="H1276" s="21">
        <v>1200.57</v>
      </c>
      <c r="I1276" s="21">
        <v>353.84</v>
      </c>
    </row>
    <row r="1277" spans="1:9" ht="15" customHeight="1" x14ac:dyDescent="0.3">
      <c r="A1277" s="21" t="s">
        <v>1635</v>
      </c>
      <c r="B1277" s="21">
        <v>2020</v>
      </c>
      <c r="C1277" s="21">
        <v>1</v>
      </c>
      <c r="D1277" s="21">
        <v>19</v>
      </c>
      <c r="E1277" s="21" t="s">
        <v>319</v>
      </c>
      <c r="F1277" s="21">
        <v>1</v>
      </c>
      <c r="G1277" s="21">
        <v>35.57</v>
      </c>
      <c r="H1277" s="21">
        <v>1258.6600000000001</v>
      </c>
      <c r="I1277" s="21">
        <v>353.85</v>
      </c>
    </row>
    <row r="1278" spans="1:9" ht="15" customHeight="1" x14ac:dyDescent="0.3">
      <c r="A1278" s="21" t="s">
        <v>1636</v>
      </c>
      <c r="B1278" s="21">
        <v>2020</v>
      </c>
      <c r="C1278" s="21">
        <v>1</v>
      </c>
      <c r="D1278" s="21">
        <v>20</v>
      </c>
      <c r="E1278" s="21" t="s">
        <v>299</v>
      </c>
      <c r="F1278" s="21">
        <v>0</v>
      </c>
      <c r="G1278" s="21">
        <v>42.97</v>
      </c>
      <c r="H1278" s="21">
        <v>1520.63</v>
      </c>
      <c r="I1278" s="21">
        <v>353.88</v>
      </c>
    </row>
    <row r="1279" spans="1:9" ht="15" customHeight="1" x14ac:dyDescent="0.3">
      <c r="A1279" s="21" t="s">
        <v>1637</v>
      </c>
      <c r="B1279" s="21">
        <v>2020</v>
      </c>
      <c r="C1279" s="21">
        <v>1</v>
      </c>
      <c r="D1279" s="21">
        <v>21</v>
      </c>
      <c r="E1279" s="21" t="s">
        <v>303</v>
      </c>
      <c r="F1279" s="21">
        <v>0</v>
      </c>
      <c r="G1279" s="21">
        <v>41.09</v>
      </c>
      <c r="H1279" s="21">
        <v>1453.81</v>
      </c>
      <c r="I1279" s="21">
        <v>353.81</v>
      </c>
    </row>
    <row r="1280" spans="1:9" ht="15" customHeight="1" x14ac:dyDescent="0.3">
      <c r="A1280" s="21" t="s">
        <v>1638</v>
      </c>
      <c r="B1280" s="21">
        <v>2020</v>
      </c>
      <c r="C1280" s="21">
        <v>1</v>
      </c>
      <c r="D1280" s="21">
        <v>22</v>
      </c>
      <c r="E1280" s="21" t="s">
        <v>307</v>
      </c>
      <c r="F1280" s="21">
        <v>0</v>
      </c>
      <c r="G1280" s="21">
        <v>43.57</v>
      </c>
      <c r="H1280" s="21">
        <v>1541.74</v>
      </c>
      <c r="I1280" s="21">
        <v>353.85</v>
      </c>
    </row>
    <row r="1281" spans="1:9" ht="15" customHeight="1" x14ac:dyDescent="0.3">
      <c r="A1281" s="21" t="s">
        <v>1639</v>
      </c>
      <c r="B1281" s="21">
        <v>2020</v>
      </c>
      <c r="C1281" s="21">
        <v>1</v>
      </c>
      <c r="D1281" s="21">
        <v>23</v>
      </c>
      <c r="E1281" s="21" t="s">
        <v>310</v>
      </c>
      <c r="F1281" s="21">
        <v>0</v>
      </c>
      <c r="G1281" s="21">
        <v>43.39</v>
      </c>
      <c r="H1281" s="21">
        <v>1535.28</v>
      </c>
      <c r="I1281" s="21">
        <v>353.83</v>
      </c>
    </row>
    <row r="1282" spans="1:9" ht="15" customHeight="1" x14ac:dyDescent="0.3">
      <c r="A1282" s="21" t="s">
        <v>1640</v>
      </c>
      <c r="B1282" s="21">
        <v>2020</v>
      </c>
      <c r="C1282" s="21">
        <v>1</v>
      </c>
      <c r="D1282" s="21">
        <v>24</v>
      </c>
      <c r="E1282" s="21" t="s">
        <v>313</v>
      </c>
      <c r="F1282" s="21">
        <v>0</v>
      </c>
      <c r="G1282" s="21">
        <v>46.14</v>
      </c>
      <c r="H1282" s="21">
        <v>1632.71</v>
      </c>
      <c r="I1282" s="21">
        <v>353.86</v>
      </c>
    </row>
    <row r="1283" spans="1:9" ht="15" customHeight="1" x14ac:dyDescent="0.3">
      <c r="A1283" s="21" t="s">
        <v>1641</v>
      </c>
      <c r="B1283" s="21">
        <v>2020</v>
      </c>
      <c r="C1283" s="21">
        <v>1</v>
      </c>
      <c r="D1283" s="21">
        <v>25</v>
      </c>
      <c r="E1283" s="21" t="s">
        <v>316</v>
      </c>
      <c r="F1283" s="21">
        <v>1</v>
      </c>
      <c r="G1283" s="21">
        <v>34.33</v>
      </c>
      <c r="H1283" s="21">
        <v>1214.9100000000001</v>
      </c>
      <c r="I1283" s="21">
        <v>353.89</v>
      </c>
    </row>
    <row r="1284" spans="1:9" ht="15" customHeight="1" x14ac:dyDescent="0.3">
      <c r="A1284" s="21" t="s">
        <v>1642</v>
      </c>
      <c r="B1284" s="21">
        <v>2020</v>
      </c>
      <c r="C1284" s="21">
        <v>1</v>
      </c>
      <c r="D1284" s="21">
        <v>26</v>
      </c>
      <c r="E1284" s="21" t="s">
        <v>319</v>
      </c>
      <c r="F1284" s="21">
        <v>1</v>
      </c>
      <c r="G1284" s="21">
        <v>35.31</v>
      </c>
      <c r="H1284" s="21">
        <v>1249.51</v>
      </c>
      <c r="I1284" s="21">
        <v>353.87</v>
      </c>
    </row>
    <row r="1285" spans="1:9" ht="15" customHeight="1" x14ac:dyDescent="0.3">
      <c r="A1285" s="21" t="s">
        <v>1643</v>
      </c>
      <c r="B1285" s="21">
        <v>2020</v>
      </c>
      <c r="C1285" s="21">
        <v>1</v>
      </c>
      <c r="D1285" s="21">
        <v>27</v>
      </c>
      <c r="E1285" s="21" t="s">
        <v>299</v>
      </c>
      <c r="F1285" s="21">
        <v>0</v>
      </c>
      <c r="G1285" s="21">
        <v>45.64</v>
      </c>
      <c r="H1285" s="21">
        <v>1615.05</v>
      </c>
      <c r="I1285" s="21">
        <v>353.87</v>
      </c>
    </row>
    <row r="1286" spans="1:9" ht="15" customHeight="1" x14ac:dyDescent="0.3">
      <c r="A1286" s="21" t="s">
        <v>1644</v>
      </c>
      <c r="B1286" s="21">
        <v>2020</v>
      </c>
      <c r="C1286" s="21">
        <v>1</v>
      </c>
      <c r="D1286" s="21">
        <v>28</v>
      </c>
      <c r="E1286" s="21" t="s">
        <v>303</v>
      </c>
      <c r="F1286" s="21">
        <v>0</v>
      </c>
      <c r="G1286" s="21">
        <v>42.19</v>
      </c>
      <c r="H1286" s="21">
        <v>1492.93</v>
      </c>
      <c r="I1286" s="21">
        <v>353.86</v>
      </c>
    </row>
    <row r="1287" spans="1:9" ht="15" customHeight="1" x14ac:dyDescent="0.3">
      <c r="A1287" s="21" t="s">
        <v>1645</v>
      </c>
      <c r="B1287" s="21">
        <v>2020</v>
      </c>
      <c r="C1287" s="21">
        <v>1</v>
      </c>
      <c r="D1287" s="21">
        <v>29</v>
      </c>
      <c r="E1287" s="21" t="s">
        <v>307</v>
      </c>
      <c r="F1287" s="21">
        <v>0</v>
      </c>
      <c r="G1287" s="21">
        <v>44.94</v>
      </c>
      <c r="H1287" s="21">
        <v>1590.05</v>
      </c>
      <c r="I1287" s="21">
        <v>353.82</v>
      </c>
    </row>
    <row r="1288" spans="1:9" ht="15" customHeight="1" x14ac:dyDescent="0.3">
      <c r="A1288" s="21" t="s">
        <v>1646</v>
      </c>
      <c r="B1288" s="21">
        <v>2020</v>
      </c>
      <c r="C1288" s="21">
        <v>1</v>
      </c>
      <c r="D1288" s="21">
        <v>30</v>
      </c>
      <c r="E1288" s="21" t="s">
        <v>310</v>
      </c>
      <c r="F1288" s="21">
        <v>0</v>
      </c>
      <c r="G1288" s="21">
        <v>48.88</v>
      </c>
      <c r="H1288" s="21">
        <v>1729.78</v>
      </c>
      <c r="I1288" s="21">
        <v>353.88</v>
      </c>
    </row>
    <row r="1289" spans="1:9" ht="15" customHeight="1" x14ac:dyDescent="0.3">
      <c r="A1289" s="21" t="s">
        <v>1647</v>
      </c>
      <c r="B1289" s="21">
        <v>2020</v>
      </c>
      <c r="C1289" s="21">
        <v>1</v>
      </c>
      <c r="D1289" s="21">
        <v>31</v>
      </c>
      <c r="E1289" s="21" t="s">
        <v>313</v>
      </c>
      <c r="F1289" s="21">
        <v>0</v>
      </c>
      <c r="G1289" s="21">
        <v>52.46</v>
      </c>
      <c r="H1289" s="21">
        <v>1856.22</v>
      </c>
      <c r="I1289" s="21">
        <v>353.84</v>
      </c>
    </row>
    <row r="1290" spans="1:9" ht="15" customHeight="1" x14ac:dyDescent="0.3">
      <c r="A1290" s="21" t="s">
        <v>140</v>
      </c>
      <c r="B1290" s="21">
        <v>2020</v>
      </c>
      <c r="C1290" s="21">
        <v>2</v>
      </c>
      <c r="D1290" s="21">
        <v>1</v>
      </c>
      <c r="E1290" s="21" t="s">
        <v>316</v>
      </c>
      <c r="F1290" s="21">
        <v>1</v>
      </c>
      <c r="G1290" s="21">
        <v>44.2</v>
      </c>
      <c r="H1290" s="21">
        <v>1557.91</v>
      </c>
      <c r="I1290" s="21">
        <v>352.47</v>
      </c>
    </row>
    <row r="1291" spans="1:9" ht="15" customHeight="1" x14ac:dyDescent="0.3">
      <c r="A1291" s="21" t="s">
        <v>1648</v>
      </c>
      <c r="B1291" s="21">
        <v>2020</v>
      </c>
      <c r="C1291" s="21">
        <v>2</v>
      </c>
      <c r="D1291" s="21">
        <v>2</v>
      </c>
      <c r="E1291" s="21" t="s">
        <v>319</v>
      </c>
      <c r="F1291" s="21">
        <v>1</v>
      </c>
      <c r="G1291" s="21">
        <v>44.9</v>
      </c>
      <c r="H1291" s="21">
        <v>1582.51</v>
      </c>
      <c r="I1291" s="21">
        <v>352.45</v>
      </c>
    </row>
    <row r="1292" spans="1:9" ht="15" customHeight="1" x14ac:dyDescent="0.3">
      <c r="A1292" s="21" t="s">
        <v>1649</v>
      </c>
      <c r="B1292" s="21">
        <v>2020</v>
      </c>
      <c r="C1292" s="21">
        <v>2</v>
      </c>
      <c r="D1292" s="21">
        <v>3</v>
      </c>
      <c r="E1292" s="21" t="s">
        <v>299</v>
      </c>
      <c r="F1292" s="21">
        <v>0</v>
      </c>
      <c r="G1292" s="21">
        <v>47.79</v>
      </c>
      <c r="H1292" s="21">
        <v>1684.54</v>
      </c>
      <c r="I1292" s="21">
        <v>352.49</v>
      </c>
    </row>
    <row r="1293" spans="1:9" ht="15" customHeight="1" x14ac:dyDescent="0.3">
      <c r="A1293" s="21" t="s">
        <v>1650</v>
      </c>
      <c r="B1293" s="21">
        <v>2020</v>
      </c>
      <c r="C1293" s="21">
        <v>2</v>
      </c>
      <c r="D1293" s="21">
        <v>4</v>
      </c>
      <c r="E1293" s="21" t="s">
        <v>303</v>
      </c>
      <c r="F1293" s="21">
        <v>0</v>
      </c>
      <c r="G1293" s="21">
        <v>46.68</v>
      </c>
      <c r="H1293" s="21">
        <v>1645.58</v>
      </c>
      <c r="I1293" s="21">
        <v>352.52</v>
      </c>
    </row>
    <row r="1294" spans="1:9" ht="15" customHeight="1" x14ac:dyDescent="0.3">
      <c r="A1294" s="21" t="s">
        <v>1651</v>
      </c>
      <c r="B1294" s="21">
        <v>2020</v>
      </c>
      <c r="C1294" s="21">
        <v>2</v>
      </c>
      <c r="D1294" s="21">
        <v>5</v>
      </c>
      <c r="E1294" s="21" t="s">
        <v>307</v>
      </c>
      <c r="F1294" s="21">
        <v>0</v>
      </c>
      <c r="G1294" s="21">
        <v>47.03</v>
      </c>
      <c r="H1294" s="21">
        <v>1657.59</v>
      </c>
      <c r="I1294" s="21">
        <v>352.45</v>
      </c>
    </row>
    <row r="1295" spans="1:9" ht="15" customHeight="1" x14ac:dyDescent="0.3">
      <c r="A1295" s="21" t="s">
        <v>1652</v>
      </c>
      <c r="B1295" s="21">
        <v>2020</v>
      </c>
      <c r="C1295" s="21">
        <v>2</v>
      </c>
      <c r="D1295" s="21">
        <v>6</v>
      </c>
      <c r="E1295" s="21" t="s">
        <v>310</v>
      </c>
      <c r="F1295" s="21">
        <v>0</v>
      </c>
      <c r="G1295" s="21">
        <v>44.64</v>
      </c>
      <c r="H1295" s="21">
        <v>1573.35</v>
      </c>
      <c r="I1295" s="21">
        <v>352.45</v>
      </c>
    </row>
    <row r="1296" spans="1:9" ht="15" customHeight="1" x14ac:dyDescent="0.3">
      <c r="A1296" s="21" t="s">
        <v>1653</v>
      </c>
      <c r="B1296" s="21">
        <v>2020</v>
      </c>
      <c r="C1296" s="21">
        <v>2</v>
      </c>
      <c r="D1296" s="21">
        <v>7</v>
      </c>
      <c r="E1296" s="21" t="s">
        <v>313</v>
      </c>
      <c r="F1296" s="21">
        <v>0</v>
      </c>
      <c r="G1296" s="21">
        <v>47.55</v>
      </c>
      <c r="H1296" s="21">
        <v>1675.9</v>
      </c>
      <c r="I1296" s="21">
        <v>352.45</v>
      </c>
    </row>
    <row r="1297" spans="1:9" ht="15" customHeight="1" x14ac:dyDescent="0.3">
      <c r="A1297" s="21" t="s">
        <v>1654</v>
      </c>
      <c r="B1297" s="21">
        <v>2020</v>
      </c>
      <c r="C1297" s="21">
        <v>2</v>
      </c>
      <c r="D1297" s="21">
        <v>8</v>
      </c>
      <c r="E1297" s="21" t="s">
        <v>316</v>
      </c>
      <c r="F1297" s="21">
        <v>1</v>
      </c>
      <c r="G1297" s="21">
        <v>36.340000000000003</v>
      </c>
      <c r="H1297" s="21">
        <v>1280.8800000000001</v>
      </c>
      <c r="I1297" s="21">
        <v>352.47</v>
      </c>
    </row>
    <row r="1298" spans="1:9" ht="15" customHeight="1" x14ac:dyDescent="0.3">
      <c r="A1298" s="21" t="s">
        <v>1655</v>
      </c>
      <c r="B1298" s="21">
        <v>2020</v>
      </c>
      <c r="C1298" s="21">
        <v>2</v>
      </c>
      <c r="D1298" s="21">
        <v>9</v>
      </c>
      <c r="E1298" s="21" t="s">
        <v>319</v>
      </c>
      <c r="F1298" s="21">
        <v>1</v>
      </c>
      <c r="G1298" s="21">
        <v>39.549999999999997</v>
      </c>
      <c r="H1298" s="21">
        <v>1394.2</v>
      </c>
      <c r="I1298" s="21">
        <v>352.52</v>
      </c>
    </row>
    <row r="1299" spans="1:9" ht="15" customHeight="1" x14ac:dyDescent="0.3">
      <c r="A1299" s="21" t="s">
        <v>1656</v>
      </c>
      <c r="B1299" s="21">
        <v>2020</v>
      </c>
      <c r="C1299" s="21">
        <v>2</v>
      </c>
      <c r="D1299" s="21">
        <v>10</v>
      </c>
      <c r="E1299" s="21" t="s">
        <v>299</v>
      </c>
      <c r="F1299" s="21">
        <v>0</v>
      </c>
      <c r="G1299" s="21">
        <v>46.49</v>
      </c>
      <c r="H1299" s="21">
        <v>1638.57</v>
      </c>
      <c r="I1299" s="21">
        <v>352.46</v>
      </c>
    </row>
    <row r="1300" spans="1:9" ht="15" customHeight="1" x14ac:dyDescent="0.3">
      <c r="A1300" s="21" t="s">
        <v>1657</v>
      </c>
      <c r="B1300" s="21">
        <v>2020</v>
      </c>
      <c r="C1300" s="21">
        <v>2</v>
      </c>
      <c r="D1300" s="21">
        <v>11</v>
      </c>
      <c r="E1300" s="21" t="s">
        <v>303</v>
      </c>
      <c r="F1300" s="21">
        <v>0</v>
      </c>
      <c r="G1300" s="21">
        <v>42.76</v>
      </c>
      <c r="H1300" s="21">
        <v>1507.27</v>
      </c>
      <c r="I1300" s="21">
        <v>352.5</v>
      </c>
    </row>
    <row r="1301" spans="1:9" ht="15" customHeight="1" x14ac:dyDescent="0.3">
      <c r="A1301" s="21" t="s">
        <v>1658</v>
      </c>
      <c r="B1301" s="21">
        <v>2020</v>
      </c>
      <c r="C1301" s="21">
        <v>2</v>
      </c>
      <c r="D1301" s="21">
        <v>12</v>
      </c>
      <c r="E1301" s="21" t="s">
        <v>307</v>
      </c>
      <c r="F1301" s="21">
        <v>0</v>
      </c>
      <c r="G1301" s="21">
        <v>46.25</v>
      </c>
      <c r="H1301" s="21">
        <v>1630.13</v>
      </c>
      <c r="I1301" s="21">
        <v>352.46</v>
      </c>
    </row>
    <row r="1302" spans="1:9" ht="15" customHeight="1" x14ac:dyDescent="0.3">
      <c r="A1302" s="21" t="s">
        <v>1659</v>
      </c>
      <c r="B1302" s="21">
        <v>2020</v>
      </c>
      <c r="C1302" s="21">
        <v>2</v>
      </c>
      <c r="D1302" s="21">
        <v>13</v>
      </c>
      <c r="E1302" s="21" t="s">
        <v>310</v>
      </c>
      <c r="F1302" s="21">
        <v>0</v>
      </c>
      <c r="G1302" s="21">
        <v>49.13</v>
      </c>
      <c r="H1302" s="21">
        <v>1731.86</v>
      </c>
      <c r="I1302" s="21">
        <v>352.51</v>
      </c>
    </row>
    <row r="1303" spans="1:9" ht="15" customHeight="1" x14ac:dyDescent="0.3">
      <c r="A1303" s="21" t="s">
        <v>1660</v>
      </c>
      <c r="B1303" s="21">
        <v>2020</v>
      </c>
      <c r="C1303" s="21">
        <v>2</v>
      </c>
      <c r="D1303" s="21">
        <v>14</v>
      </c>
      <c r="E1303" s="21" t="s">
        <v>313</v>
      </c>
      <c r="F1303" s="21">
        <v>0</v>
      </c>
      <c r="G1303" s="21">
        <v>49.36</v>
      </c>
      <c r="H1303" s="21">
        <v>1739.96</v>
      </c>
      <c r="I1303" s="21">
        <v>352.5</v>
      </c>
    </row>
    <row r="1304" spans="1:9" ht="15" customHeight="1" x14ac:dyDescent="0.3">
      <c r="A1304" s="21" t="s">
        <v>1661</v>
      </c>
      <c r="B1304" s="21">
        <v>2020</v>
      </c>
      <c r="C1304" s="21">
        <v>2</v>
      </c>
      <c r="D1304" s="21">
        <v>15</v>
      </c>
      <c r="E1304" s="21" t="s">
        <v>316</v>
      </c>
      <c r="F1304" s="21">
        <v>1</v>
      </c>
      <c r="G1304" s="21">
        <v>40.01</v>
      </c>
      <c r="H1304" s="21">
        <v>1410.18</v>
      </c>
      <c r="I1304" s="21">
        <v>352.46</v>
      </c>
    </row>
    <row r="1305" spans="1:9" ht="15" customHeight="1" x14ac:dyDescent="0.3">
      <c r="A1305" s="21" t="s">
        <v>1662</v>
      </c>
      <c r="B1305" s="21">
        <v>2020</v>
      </c>
      <c r="C1305" s="21">
        <v>2</v>
      </c>
      <c r="D1305" s="21">
        <v>16</v>
      </c>
      <c r="E1305" s="21" t="s">
        <v>319</v>
      </c>
      <c r="F1305" s="21">
        <v>1</v>
      </c>
      <c r="G1305" s="21">
        <v>38.97</v>
      </c>
      <c r="H1305" s="21">
        <v>1373.6</v>
      </c>
      <c r="I1305" s="21">
        <v>352.48</v>
      </c>
    </row>
    <row r="1306" spans="1:9" ht="15" customHeight="1" x14ac:dyDescent="0.3">
      <c r="A1306" s="21" t="s">
        <v>1663</v>
      </c>
      <c r="B1306" s="21">
        <v>2020</v>
      </c>
      <c r="C1306" s="21">
        <v>2</v>
      </c>
      <c r="D1306" s="21">
        <v>17</v>
      </c>
      <c r="E1306" s="21" t="s">
        <v>299</v>
      </c>
      <c r="F1306" s="21">
        <v>0</v>
      </c>
      <c r="G1306" s="21">
        <v>47.86</v>
      </c>
      <c r="H1306" s="21">
        <v>1687.13</v>
      </c>
      <c r="I1306" s="21">
        <v>352.51</v>
      </c>
    </row>
    <row r="1307" spans="1:9" ht="15" customHeight="1" x14ac:dyDescent="0.3">
      <c r="A1307" s="21" t="s">
        <v>1664</v>
      </c>
      <c r="B1307" s="21">
        <v>2020</v>
      </c>
      <c r="C1307" s="21">
        <v>2</v>
      </c>
      <c r="D1307" s="21">
        <v>18</v>
      </c>
      <c r="E1307" s="21" t="s">
        <v>303</v>
      </c>
      <c r="F1307" s="21">
        <v>0</v>
      </c>
      <c r="G1307" s="21">
        <v>46.97</v>
      </c>
      <c r="H1307" s="21">
        <v>1655.77</v>
      </c>
      <c r="I1307" s="21">
        <v>352.52</v>
      </c>
    </row>
    <row r="1308" spans="1:9" ht="15" customHeight="1" x14ac:dyDescent="0.3">
      <c r="A1308" s="21" t="s">
        <v>1665</v>
      </c>
      <c r="B1308" s="21">
        <v>2020</v>
      </c>
      <c r="C1308" s="21">
        <v>2</v>
      </c>
      <c r="D1308" s="21">
        <v>19</v>
      </c>
      <c r="E1308" s="21" t="s">
        <v>307</v>
      </c>
      <c r="F1308" s="21">
        <v>0</v>
      </c>
      <c r="G1308" s="21">
        <v>45.32</v>
      </c>
      <c r="H1308" s="21">
        <v>1597.31</v>
      </c>
      <c r="I1308" s="21">
        <v>352.45</v>
      </c>
    </row>
    <row r="1309" spans="1:9" ht="15" customHeight="1" x14ac:dyDescent="0.3">
      <c r="A1309" s="21" t="s">
        <v>1666</v>
      </c>
      <c r="B1309" s="21">
        <v>2020</v>
      </c>
      <c r="C1309" s="21">
        <v>2</v>
      </c>
      <c r="D1309" s="21">
        <v>20</v>
      </c>
      <c r="E1309" s="21" t="s">
        <v>310</v>
      </c>
      <c r="F1309" s="21">
        <v>0</v>
      </c>
      <c r="G1309" s="21">
        <v>46.08</v>
      </c>
      <c r="H1309" s="21">
        <v>1624.27</v>
      </c>
      <c r="I1309" s="21">
        <v>352.49</v>
      </c>
    </row>
    <row r="1310" spans="1:9" ht="15" customHeight="1" x14ac:dyDescent="0.3">
      <c r="A1310" s="21" t="s">
        <v>1667</v>
      </c>
      <c r="B1310" s="21">
        <v>2020</v>
      </c>
      <c r="C1310" s="21">
        <v>2</v>
      </c>
      <c r="D1310" s="21">
        <v>21</v>
      </c>
      <c r="E1310" s="21" t="s">
        <v>313</v>
      </c>
      <c r="F1310" s="21">
        <v>0</v>
      </c>
      <c r="G1310" s="21">
        <v>49.81</v>
      </c>
      <c r="H1310" s="21">
        <v>1755.8</v>
      </c>
      <c r="I1310" s="21">
        <v>352.5</v>
      </c>
    </row>
    <row r="1311" spans="1:9" ht="15" customHeight="1" x14ac:dyDescent="0.3">
      <c r="A1311" s="21" t="s">
        <v>1668</v>
      </c>
      <c r="B1311" s="21">
        <v>2020</v>
      </c>
      <c r="C1311" s="21">
        <v>2</v>
      </c>
      <c r="D1311" s="21">
        <v>22</v>
      </c>
      <c r="E1311" s="21" t="s">
        <v>316</v>
      </c>
      <c r="F1311" s="21">
        <v>1</v>
      </c>
      <c r="G1311" s="21">
        <v>37.94</v>
      </c>
      <c r="H1311" s="21">
        <v>1337.35</v>
      </c>
      <c r="I1311" s="21">
        <v>352.49</v>
      </c>
    </row>
    <row r="1312" spans="1:9" ht="15" customHeight="1" x14ac:dyDescent="0.3">
      <c r="A1312" s="21" t="s">
        <v>1669</v>
      </c>
      <c r="B1312" s="21">
        <v>2020</v>
      </c>
      <c r="C1312" s="21">
        <v>2</v>
      </c>
      <c r="D1312" s="21">
        <v>23</v>
      </c>
      <c r="E1312" s="21" t="s">
        <v>319</v>
      </c>
      <c r="F1312" s="21">
        <v>1</v>
      </c>
      <c r="G1312" s="21">
        <v>40.22</v>
      </c>
      <c r="H1312" s="21">
        <v>1417.6</v>
      </c>
      <c r="I1312" s="21">
        <v>352.46</v>
      </c>
    </row>
    <row r="1313" spans="1:9" ht="15" customHeight="1" x14ac:dyDescent="0.3">
      <c r="A1313" s="21" t="s">
        <v>1670</v>
      </c>
      <c r="B1313" s="21">
        <v>2020</v>
      </c>
      <c r="C1313" s="21">
        <v>2</v>
      </c>
      <c r="D1313" s="21">
        <v>24</v>
      </c>
      <c r="E1313" s="21" t="s">
        <v>299</v>
      </c>
      <c r="F1313" s="21">
        <v>0</v>
      </c>
      <c r="G1313" s="21">
        <v>47.76</v>
      </c>
      <c r="H1313" s="21">
        <v>1683.45</v>
      </c>
      <c r="I1313" s="21">
        <v>352.48</v>
      </c>
    </row>
    <row r="1314" spans="1:9" ht="15" customHeight="1" x14ac:dyDescent="0.3">
      <c r="A1314" s="21" t="s">
        <v>1671</v>
      </c>
      <c r="B1314" s="21">
        <v>2020</v>
      </c>
      <c r="C1314" s="21">
        <v>2</v>
      </c>
      <c r="D1314" s="21">
        <v>25</v>
      </c>
      <c r="E1314" s="21" t="s">
        <v>303</v>
      </c>
      <c r="F1314" s="21">
        <v>0</v>
      </c>
      <c r="G1314" s="21">
        <v>44.68</v>
      </c>
      <c r="H1314" s="21">
        <v>1574.81</v>
      </c>
      <c r="I1314" s="21">
        <v>352.46</v>
      </c>
    </row>
    <row r="1315" spans="1:9" ht="15" customHeight="1" x14ac:dyDescent="0.3">
      <c r="A1315" s="21" t="s">
        <v>1672</v>
      </c>
      <c r="B1315" s="21">
        <v>2020</v>
      </c>
      <c r="C1315" s="21">
        <v>2</v>
      </c>
      <c r="D1315" s="21">
        <v>26</v>
      </c>
      <c r="E1315" s="21" t="s">
        <v>307</v>
      </c>
      <c r="F1315" s="21">
        <v>0</v>
      </c>
      <c r="G1315" s="21">
        <v>46.45</v>
      </c>
      <c r="H1315" s="21">
        <v>1637.28</v>
      </c>
      <c r="I1315" s="21">
        <v>352.48</v>
      </c>
    </row>
    <row r="1316" spans="1:9" ht="15" customHeight="1" x14ac:dyDescent="0.3">
      <c r="A1316" s="21" t="s">
        <v>1673</v>
      </c>
      <c r="B1316" s="21">
        <v>2020</v>
      </c>
      <c r="C1316" s="21">
        <v>2</v>
      </c>
      <c r="D1316" s="21">
        <v>27</v>
      </c>
      <c r="E1316" s="21" t="s">
        <v>310</v>
      </c>
      <c r="F1316" s="21">
        <v>0</v>
      </c>
      <c r="G1316" s="21">
        <v>44.48</v>
      </c>
      <c r="H1316" s="21">
        <v>1567.91</v>
      </c>
      <c r="I1316" s="21">
        <v>352.5</v>
      </c>
    </row>
    <row r="1317" spans="1:9" ht="15" customHeight="1" x14ac:dyDescent="0.3">
      <c r="A1317" s="21" t="s">
        <v>1674</v>
      </c>
      <c r="B1317" s="21">
        <v>2020</v>
      </c>
      <c r="C1317" s="21">
        <v>2</v>
      </c>
      <c r="D1317" s="21">
        <v>28</v>
      </c>
      <c r="E1317" s="21" t="s">
        <v>313</v>
      </c>
      <c r="F1317" s="21">
        <v>0</v>
      </c>
      <c r="G1317" s="21">
        <v>56.82</v>
      </c>
      <c r="H1317" s="21">
        <v>2002.86</v>
      </c>
      <c r="I1317" s="21">
        <v>352.49</v>
      </c>
    </row>
    <row r="1318" spans="1:9" ht="15" customHeight="1" x14ac:dyDescent="0.3">
      <c r="A1318" s="21" t="s">
        <v>1675</v>
      </c>
      <c r="B1318" s="21">
        <v>2020</v>
      </c>
      <c r="C1318" s="21">
        <v>2</v>
      </c>
      <c r="D1318" s="21">
        <v>29</v>
      </c>
      <c r="E1318" s="21" t="s">
        <v>316</v>
      </c>
      <c r="F1318" s="21">
        <v>1</v>
      </c>
      <c r="G1318" s="21">
        <v>44.67</v>
      </c>
      <c r="H1318" s="21">
        <v>1574.58</v>
      </c>
      <c r="I1318" s="21">
        <v>352.49</v>
      </c>
    </row>
    <row r="1319" spans="1:9" ht="15" customHeight="1" x14ac:dyDescent="0.3">
      <c r="A1319" s="21" t="s">
        <v>141</v>
      </c>
      <c r="B1319" s="21">
        <v>2020</v>
      </c>
      <c r="C1319" s="21">
        <v>3</v>
      </c>
      <c r="D1319" s="21">
        <v>1</v>
      </c>
      <c r="E1319" s="21" t="s">
        <v>319</v>
      </c>
      <c r="F1319" s="21">
        <v>1</v>
      </c>
      <c r="G1319" s="21">
        <v>40.82</v>
      </c>
      <c r="H1319" s="21">
        <v>1423.6</v>
      </c>
      <c r="I1319" s="21">
        <v>348.75</v>
      </c>
    </row>
    <row r="1320" spans="1:9" ht="15" customHeight="1" x14ac:dyDescent="0.3">
      <c r="A1320" s="21" t="s">
        <v>1676</v>
      </c>
      <c r="B1320" s="21">
        <v>2020</v>
      </c>
      <c r="C1320" s="21">
        <v>3</v>
      </c>
      <c r="D1320" s="21">
        <v>2</v>
      </c>
      <c r="E1320" s="21" t="s">
        <v>299</v>
      </c>
      <c r="F1320" s="21">
        <v>0</v>
      </c>
      <c r="G1320" s="21">
        <v>49.22</v>
      </c>
      <c r="H1320" s="21">
        <v>1716.63</v>
      </c>
      <c r="I1320" s="21">
        <v>348.77</v>
      </c>
    </row>
    <row r="1321" spans="1:9" ht="15" customHeight="1" x14ac:dyDescent="0.3">
      <c r="A1321" s="21" t="s">
        <v>1677</v>
      </c>
      <c r="B1321" s="21">
        <v>2020</v>
      </c>
      <c r="C1321" s="21">
        <v>3</v>
      </c>
      <c r="D1321" s="21">
        <v>3</v>
      </c>
      <c r="E1321" s="21" t="s">
        <v>303</v>
      </c>
      <c r="F1321" s="21">
        <v>0</v>
      </c>
      <c r="G1321" s="21">
        <v>40.19</v>
      </c>
      <c r="H1321" s="21">
        <v>1401.56</v>
      </c>
      <c r="I1321" s="21">
        <v>348.73</v>
      </c>
    </row>
    <row r="1322" spans="1:9" ht="15" customHeight="1" x14ac:dyDescent="0.3">
      <c r="A1322" s="21" t="s">
        <v>1678</v>
      </c>
      <c r="B1322" s="21">
        <v>2020</v>
      </c>
      <c r="C1322" s="21">
        <v>3</v>
      </c>
      <c r="D1322" s="21">
        <v>4</v>
      </c>
      <c r="E1322" s="21" t="s">
        <v>307</v>
      </c>
      <c r="F1322" s="21">
        <v>0</v>
      </c>
      <c r="G1322" s="21">
        <v>41.21</v>
      </c>
      <c r="H1322" s="21">
        <v>1437.02</v>
      </c>
      <c r="I1322" s="21">
        <v>348.71</v>
      </c>
    </row>
    <row r="1323" spans="1:9" ht="15" customHeight="1" x14ac:dyDescent="0.3">
      <c r="A1323" s="21" t="s">
        <v>1679</v>
      </c>
      <c r="B1323" s="21">
        <v>2020</v>
      </c>
      <c r="C1323" s="21">
        <v>3</v>
      </c>
      <c r="D1323" s="21">
        <v>5</v>
      </c>
      <c r="E1323" s="21" t="s">
        <v>310</v>
      </c>
      <c r="F1323" s="21">
        <v>0</v>
      </c>
      <c r="G1323" s="21">
        <v>41.9</v>
      </c>
      <c r="H1323" s="21">
        <v>1461.11</v>
      </c>
      <c r="I1323" s="21">
        <v>348.71</v>
      </c>
    </row>
    <row r="1324" spans="1:9" ht="15" customHeight="1" x14ac:dyDescent="0.3">
      <c r="A1324" s="21" t="s">
        <v>1680</v>
      </c>
      <c r="B1324" s="21">
        <v>2020</v>
      </c>
      <c r="C1324" s="21">
        <v>3</v>
      </c>
      <c r="D1324" s="21">
        <v>6</v>
      </c>
      <c r="E1324" s="21" t="s">
        <v>313</v>
      </c>
      <c r="F1324" s="21">
        <v>0</v>
      </c>
      <c r="G1324" s="21">
        <v>44.11</v>
      </c>
      <c r="H1324" s="21">
        <v>1538.29</v>
      </c>
      <c r="I1324" s="21">
        <v>348.74</v>
      </c>
    </row>
    <row r="1325" spans="1:9" ht="15" customHeight="1" x14ac:dyDescent="0.3">
      <c r="A1325" s="21" t="s">
        <v>1681</v>
      </c>
      <c r="B1325" s="21">
        <v>2020</v>
      </c>
      <c r="C1325" s="21">
        <v>3</v>
      </c>
      <c r="D1325" s="21">
        <v>7</v>
      </c>
      <c r="E1325" s="21" t="s">
        <v>316</v>
      </c>
      <c r="F1325" s="21">
        <v>1</v>
      </c>
      <c r="G1325" s="21">
        <v>34.200000000000003</v>
      </c>
      <c r="H1325" s="21">
        <v>1192.6600000000001</v>
      </c>
      <c r="I1325" s="21">
        <v>348.73</v>
      </c>
    </row>
    <row r="1326" spans="1:9" ht="15" customHeight="1" x14ac:dyDescent="0.3">
      <c r="A1326" s="21" t="s">
        <v>1682</v>
      </c>
      <c r="B1326" s="21">
        <v>2020</v>
      </c>
      <c r="C1326" s="21">
        <v>3</v>
      </c>
      <c r="D1326" s="21">
        <v>8</v>
      </c>
      <c r="E1326" s="21" t="s">
        <v>319</v>
      </c>
      <c r="F1326" s="21">
        <v>1</v>
      </c>
      <c r="G1326" s="21">
        <v>32.6</v>
      </c>
      <c r="H1326" s="21">
        <v>1137.02</v>
      </c>
      <c r="I1326" s="21">
        <v>348.78</v>
      </c>
    </row>
    <row r="1327" spans="1:9" ht="15" customHeight="1" x14ac:dyDescent="0.3">
      <c r="A1327" s="21" t="s">
        <v>1683</v>
      </c>
      <c r="B1327" s="21">
        <v>2020</v>
      </c>
      <c r="C1327" s="21">
        <v>3</v>
      </c>
      <c r="D1327" s="21">
        <v>9</v>
      </c>
      <c r="E1327" s="21" t="s">
        <v>299</v>
      </c>
      <c r="F1327" s="21">
        <v>0</v>
      </c>
      <c r="G1327" s="21">
        <v>40.950000000000003</v>
      </c>
      <c r="H1327" s="21">
        <v>1427.93</v>
      </c>
      <c r="I1327" s="21">
        <v>348.7</v>
      </c>
    </row>
    <row r="1328" spans="1:9" ht="15" customHeight="1" x14ac:dyDescent="0.3">
      <c r="A1328" s="21" t="s">
        <v>1684</v>
      </c>
      <c r="B1328" s="21">
        <v>2020</v>
      </c>
      <c r="C1328" s="21">
        <v>3</v>
      </c>
      <c r="D1328" s="21">
        <v>10</v>
      </c>
      <c r="E1328" s="21" t="s">
        <v>303</v>
      </c>
      <c r="F1328" s="21">
        <v>0</v>
      </c>
      <c r="G1328" s="21">
        <v>39.85</v>
      </c>
      <c r="H1328" s="21">
        <v>1389.77</v>
      </c>
      <c r="I1328" s="21">
        <v>348.75</v>
      </c>
    </row>
    <row r="1329" spans="1:9" ht="15" customHeight="1" x14ac:dyDescent="0.3">
      <c r="A1329" s="21" t="s">
        <v>1685</v>
      </c>
      <c r="B1329" s="21">
        <v>2020</v>
      </c>
      <c r="C1329" s="21">
        <v>3</v>
      </c>
      <c r="D1329" s="21">
        <v>11</v>
      </c>
      <c r="E1329" s="21" t="s">
        <v>307</v>
      </c>
      <c r="F1329" s="21">
        <v>0</v>
      </c>
      <c r="G1329" s="21">
        <v>39.479999999999997</v>
      </c>
      <c r="H1329" s="21">
        <v>1376.97</v>
      </c>
      <c r="I1329" s="21">
        <v>348.78</v>
      </c>
    </row>
    <row r="1330" spans="1:9" ht="15" customHeight="1" x14ac:dyDescent="0.3">
      <c r="A1330" s="21" t="s">
        <v>1686</v>
      </c>
      <c r="B1330" s="21">
        <v>2020</v>
      </c>
      <c r="C1330" s="21">
        <v>3</v>
      </c>
      <c r="D1330" s="21">
        <v>12</v>
      </c>
      <c r="E1330" s="21" t="s">
        <v>310</v>
      </c>
      <c r="F1330" s="21">
        <v>0</v>
      </c>
      <c r="G1330" s="21">
        <v>39.99</v>
      </c>
      <c r="H1330" s="21">
        <v>1394.75</v>
      </c>
      <c r="I1330" s="21">
        <v>348.77</v>
      </c>
    </row>
    <row r="1331" spans="1:9" ht="15" customHeight="1" x14ac:dyDescent="0.3">
      <c r="A1331" s="21" t="s">
        <v>1687</v>
      </c>
      <c r="B1331" s="21">
        <v>2020</v>
      </c>
      <c r="C1331" s="21">
        <v>3</v>
      </c>
      <c r="D1331" s="21">
        <v>13</v>
      </c>
      <c r="E1331" s="21" t="s">
        <v>313</v>
      </c>
      <c r="F1331" s="21">
        <v>0</v>
      </c>
      <c r="G1331" s="21">
        <v>43.51</v>
      </c>
      <c r="H1331" s="21">
        <v>1517.21</v>
      </c>
      <c r="I1331" s="21">
        <v>348.7</v>
      </c>
    </row>
    <row r="1332" spans="1:9" ht="15" customHeight="1" x14ac:dyDescent="0.3">
      <c r="A1332" s="21" t="s">
        <v>1688</v>
      </c>
      <c r="B1332" s="21">
        <v>2020</v>
      </c>
      <c r="C1332" s="21">
        <v>3</v>
      </c>
      <c r="D1332" s="21">
        <v>14</v>
      </c>
      <c r="E1332" s="21" t="s">
        <v>316</v>
      </c>
      <c r="F1332" s="21">
        <v>1</v>
      </c>
      <c r="G1332" s="21">
        <v>34.83</v>
      </c>
      <c r="H1332" s="21">
        <v>1214.51</v>
      </c>
      <c r="I1332" s="21">
        <v>348.7</v>
      </c>
    </row>
    <row r="1333" spans="1:9" ht="15" customHeight="1" x14ac:dyDescent="0.3">
      <c r="A1333" s="21" t="s">
        <v>1689</v>
      </c>
      <c r="B1333" s="21">
        <v>2020</v>
      </c>
      <c r="C1333" s="21">
        <v>3</v>
      </c>
      <c r="D1333" s="21">
        <v>15</v>
      </c>
      <c r="E1333" s="21" t="s">
        <v>319</v>
      </c>
      <c r="F1333" s="21">
        <v>1</v>
      </c>
      <c r="G1333" s="21">
        <v>34.1</v>
      </c>
      <c r="H1333" s="21">
        <v>1189.25</v>
      </c>
      <c r="I1333" s="21">
        <v>348.75</v>
      </c>
    </row>
    <row r="1334" spans="1:9" ht="15" customHeight="1" x14ac:dyDescent="0.3">
      <c r="A1334" s="21" t="s">
        <v>1690</v>
      </c>
      <c r="B1334" s="21">
        <v>2020</v>
      </c>
      <c r="C1334" s="21">
        <v>3</v>
      </c>
      <c r="D1334" s="21">
        <v>16</v>
      </c>
      <c r="E1334" s="21" t="s">
        <v>299</v>
      </c>
      <c r="F1334" s="21">
        <v>0</v>
      </c>
      <c r="G1334" s="21">
        <v>42.82</v>
      </c>
      <c r="H1334" s="21">
        <v>1493.21</v>
      </c>
      <c r="I1334" s="21">
        <v>348.72</v>
      </c>
    </row>
    <row r="1335" spans="1:9" ht="15" customHeight="1" x14ac:dyDescent="0.3">
      <c r="A1335" s="21" t="s">
        <v>1691</v>
      </c>
      <c r="B1335" s="21">
        <v>2020</v>
      </c>
      <c r="C1335" s="21">
        <v>3</v>
      </c>
      <c r="D1335" s="21">
        <v>17</v>
      </c>
      <c r="E1335" s="21" t="s">
        <v>303</v>
      </c>
      <c r="F1335" s="21">
        <v>0</v>
      </c>
      <c r="G1335" s="21">
        <v>40.299999999999997</v>
      </c>
      <c r="H1335" s="21">
        <v>1405.33</v>
      </c>
      <c r="I1335" s="21">
        <v>348.72</v>
      </c>
    </row>
    <row r="1336" spans="1:9" ht="15" customHeight="1" x14ac:dyDescent="0.3">
      <c r="A1336" s="21" t="s">
        <v>1692</v>
      </c>
      <c r="B1336" s="21">
        <v>2020</v>
      </c>
      <c r="C1336" s="21">
        <v>3</v>
      </c>
      <c r="D1336" s="21">
        <v>18</v>
      </c>
      <c r="E1336" s="21" t="s">
        <v>307</v>
      </c>
      <c r="F1336" s="21">
        <v>0</v>
      </c>
      <c r="G1336" s="21">
        <v>37.840000000000003</v>
      </c>
      <c r="H1336" s="21">
        <v>1319.49</v>
      </c>
      <c r="I1336" s="21">
        <v>348.7</v>
      </c>
    </row>
    <row r="1337" spans="1:9" ht="15" customHeight="1" x14ac:dyDescent="0.3">
      <c r="A1337" s="21" t="s">
        <v>1693</v>
      </c>
      <c r="B1337" s="21">
        <v>2020</v>
      </c>
      <c r="C1337" s="21">
        <v>3</v>
      </c>
      <c r="D1337" s="21">
        <v>19</v>
      </c>
      <c r="E1337" s="21" t="s">
        <v>310</v>
      </c>
      <c r="F1337" s="21">
        <v>0</v>
      </c>
      <c r="G1337" s="21">
        <v>39.090000000000003</v>
      </c>
      <c r="H1337" s="21">
        <v>1363.09</v>
      </c>
      <c r="I1337" s="21">
        <v>348.71</v>
      </c>
    </row>
    <row r="1338" spans="1:9" ht="15" customHeight="1" x14ac:dyDescent="0.3">
      <c r="A1338" s="21" t="s">
        <v>1694</v>
      </c>
      <c r="B1338" s="21">
        <v>2020</v>
      </c>
      <c r="C1338" s="21">
        <v>3</v>
      </c>
      <c r="D1338" s="21">
        <v>20</v>
      </c>
      <c r="E1338" s="21" t="s">
        <v>313</v>
      </c>
      <c r="F1338" s="21">
        <v>0</v>
      </c>
      <c r="G1338" s="21">
        <v>43.26</v>
      </c>
      <c r="H1338" s="21">
        <v>1508.76</v>
      </c>
      <c r="I1338" s="21">
        <v>348.77</v>
      </c>
    </row>
    <row r="1339" spans="1:9" ht="15" customHeight="1" x14ac:dyDescent="0.3">
      <c r="A1339" s="21" t="s">
        <v>1695</v>
      </c>
      <c r="B1339" s="21">
        <v>2020</v>
      </c>
      <c r="C1339" s="21">
        <v>3</v>
      </c>
      <c r="D1339" s="21">
        <v>21</v>
      </c>
      <c r="E1339" s="21" t="s">
        <v>316</v>
      </c>
      <c r="F1339" s="21">
        <v>1</v>
      </c>
      <c r="G1339" s="21">
        <v>32.729999999999997</v>
      </c>
      <c r="H1339" s="21">
        <v>1141.32</v>
      </c>
      <c r="I1339" s="21">
        <v>348.71</v>
      </c>
    </row>
    <row r="1340" spans="1:9" ht="15" customHeight="1" x14ac:dyDescent="0.3">
      <c r="A1340" s="21" t="s">
        <v>1696</v>
      </c>
      <c r="B1340" s="21">
        <v>2020</v>
      </c>
      <c r="C1340" s="21">
        <v>3</v>
      </c>
      <c r="D1340" s="21">
        <v>22</v>
      </c>
      <c r="E1340" s="21" t="s">
        <v>319</v>
      </c>
      <c r="F1340" s="21">
        <v>1</v>
      </c>
      <c r="G1340" s="21">
        <v>34.909999999999997</v>
      </c>
      <c r="H1340" s="21">
        <v>1217.47</v>
      </c>
      <c r="I1340" s="21">
        <v>348.75</v>
      </c>
    </row>
    <row r="1341" spans="1:9" ht="15" customHeight="1" x14ac:dyDescent="0.3">
      <c r="A1341" s="21" t="s">
        <v>1697</v>
      </c>
      <c r="B1341" s="21">
        <v>2020</v>
      </c>
      <c r="C1341" s="21">
        <v>3</v>
      </c>
      <c r="D1341" s="21">
        <v>23</v>
      </c>
      <c r="E1341" s="21" t="s">
        <v>299</v>
      </c>
      <c r="F1341" s="21">
        <v>0</v>
      </c>
      <c r="G1341" s="21">
        <v>44.08</v>
      </c>
      <c r="H1341" s="21">
        <v>1537.16</v>
      </c>
      <c r="I1341" s="21">
        <v>348.72</v>
      </c>
    </row>
    <row r="1342" spans="1:9" ht="15" customHeight="1" x14ac:dyDescent="0.3">
      <c r="A1342" s="21" t="s">
        <v>1698</v>
      </c>
      <c r="B1342" s="21">
        <v>2020</v>
      </c>
      <c r="C1342" s="21">
        <v>3</v>
      </c>
      <c r="D1342" s="21">
        <v>24</v>
      </c>
      <c r="E1342" s="21" t="s">
        <v>303</v>
      </c>
      <c r="F1342" s="21">
        <v>0</v>
      </c>
      <c r="G1342" s="21">
        <v>41.69</v>
      </c>
      <c r="H1342" s="21">
        <v>1453.9</v>
      </c>
      <c r="I1342" s="21">
        <v>348.74</v>
      </c>
    </row>
    <row r="1343" spans="1:9" ht="15" customHeight="1" x14ac:dyDescent="0.3">
      <c r="A1343" s="21" t="s">
        <v>1699</v>
      </c>
      <c r="B1343" s="21">
        <v>2020</v>
      </c>
      <c r="C1343" s="21">
        <v>3</v>
      </c>
      <c r="D1343" s="21">
        <v>25</v>
      </c>
      <c r="E1343" s="21" t="s">
        <v>307</v>
      </c>
      <c r="F1343" s="21">
        <v>0</v>
      </c>
      <c r="G1343" s="21">
        <v>39.96</v>
      </c>
      <c r="H1343" s="21">
        <v>1393.63</v>
      </c>
      <c r="I1343" s="21">
        <v>348.76</v>
      </c>
    </row>
    <row r="1344" spans="1:9" ht="15" customHeight="1" x14ac:dyDescent="0.3">
      <c r="A1344" s="21" t="s">
        <v>1700</v>
      </c>
      <c r="B1344" s="21">
        <v>2020</v>
      </c>
      <c r="C1344" s="21">
        <v>3</v>
      </c>
      <c r="D1344" s="21">
        <v>26</v>
      </c>
      <c r="E1344" s="21" t="s">
        <v>310</v>
      </c>
      <c r="F1344" s="21">
        <v>0</v>
      </c>
      <c r="G1344" s="21">
        <v>42.02</v>
      </c>
      <c r="H1344" s="21">
        <v>1465.34</v>
      </c>
      <c r="I1344" s="21">
        <v>348.72</v>
      </c>
    </row>
    <row r="1345" spans="1:9" ht="15" customHeight="1" x14ac:dyDescent="0.3">
      <c r="A1345" s="21" t="s">
        <v>1701</v>
      </c>
      <c r="B1345" s="21">
        <v>2020</v>
      </c>
      <c r="C1345" s="21">
        <v>3</v>
      </c>
      <c r="D1345" s="21">
        <v>27</v>
      </c>
      <c r="E1345" s="21" t="s">
        <v>313</v>
      </c>
      <c r="F1345" s="21">
        <v>0</v>
      </c>
      <c r="G1345" s="21">
        <v>43.62</v>
      </c>
      <c r="H1345" s="21">
        <v>1521.08</v>
      </c>
      <c r="I1345" s="21">
        <v>348.71</v>
      </c>
    </row>
    <row r="1346" spans="1:9" ht="15" customHeight="1" x14ac:dyDescent="0.3">
      <c r="A1346" s="21" t="s">
        <v>1702</v>
      </c>
      <c r="B1346" s="21">
        <v>2020</v>
      </c>
      <c r="C1346" s="21">
        <v>3</v>
      </c>
      <c r="D1346" s="21">
        <v>28</v>
      </c>
      <c r="E1346" s="21" t="s">
        <v>316</v>
      </c>
      <c r="F1346" s="21">
        <v>1</v>
      </c>
      <c r="G1346" s="21">
        <v>33.78</v>
      </c>
      <c r="H1346" s="21">
        <v>1178.04</v>
      </c>
      <c r="I1346" s="21">
        <v>348.74</v>
      </c>
    </row>
    <row r="1347" spans="1:9" ht="15" customHeight="1" x14ac:dyDescent="0.3">
      <c r="A1347" s="21" t="s">
        <v>1703</v>
      </c>
      <c r="B1347" s="21">
        <v>2020</v>
      </c>
      <c r="C1347" s="21">
        <v>3</v>
      </c>
      <c r="D1347" s="21">
        <v>29</v>
      </c>
      <c r="E1347" s="21" t="s">
        <v>319</v>
      </c>
      <c r="F1347" s="21">
        <v>1</v>
      </c>
      <c r="G1347" s="21">
        <v>33.450000000000003</v>
      </c>
      <c r="H1347" s="21">
        <v>1166.4100000000001</v>
      </c>
      <c r="I1347" s="21">
        <v>348.7</v>
      </c>
    </row>
    <row r="1348" spans="1:9" ht="15" customHeight="1" x14ac:dyDescent="0.3">
      <c r="A1348" s="21" t="s">
        <v>1704</v>
      </c>
      <c r="B1348" s="21">
        <v>2020</v>
      </c>
      <c r="C1348" s="21">
        <v>3</v>
      </c>
      <c r="D1348" s="21">
        <v>30</v>
      </c>
      <c r="E1348" s="21" t="s">
        <v>299</v>
      </c>
      <c r="F1348" s="21">
        <v>0</v>
      </c>
      <c r="G1348" s="21">
        <v>48.15</v>
      </c>
      <c r="H1348" s="21">
        <v>1679.02</v>
      </c>
      <c r="I1348" s="21">
        <v>348.71</v>
      </c>
    </row>
    <row r="1349" spans="1:9" ht="15" customHeight="1" x14ac:dyDescent="0.3">
      <c r="A1349" s="21" t="s">
        <v>1705</v>
      </c>
      <c r="B1349" s="21">
        <v>2020</v>
      </c>
      <c r="C1349" s="21">
        <v>3</v>
      </c>
      <c r="D1349" s="21">
        <v>31</v>
      </c>
      <c r="E1349" s="21" t="s">
        <v>303</v>
      </c>
      <c r="F1349" s="21">
        <v>0</v>
      </c>
      <c r="G1349" s="21">
        <v>45.71</v>
      </c>
      <c r="H1349" s="21">
        <v>1594.22</v>
      </c>
      <c r="I1349" s="21">
        <v>348.77</v>
      </c>
    </row>
    <row r="1350" spans="1:9" ht="15" customHeight="1" x14ac:dyDescent="0.3">
      <c r="A1350" s="21" t="s">
        <v>142</v>
      </c>
      <c r="B1350" s="21">
        <v>2020</v>
      </c>
      <c r="C1350" s="21">
        <v>4</v>
      </c>
      <c r="D1350" s="21">
        <v>1</v>
      </c>
      <c r="E1350" s="21" t="s">
        <v>307</v>
      </c>
      <c r="F1350" s="21">
        <v>0</v>
      </c>
      <c r="G1350" s="21">
        <v>38.51</v>
      </c>
      <c r="H1350" s="21">
        <v>1318.36</v>
      </c>
      <c r="I1350" s="21">
        <v>342.34</v>
      </c>
    </row>
    <row r="1351" spans="1:9" ht="15" customHeight="1" x14ac:dyDescent="0.3">
      <c r="A1351" s="21" t="s">
        <v>1706</v>
      </c>
      <c r="B1351" s="21">
        <v>2020</v>
      </c>
      <c r="C1351" s="21">
        <v>4</v>
      </c>
      <c r="D1351" s="21">
        <v>2</v>
      </c>
      <c r="E1351" s="21" t="s">
        <v>310</v>
      </c>
      <c r="F1351" s="21">
        <v>0</v>
      </c>
      <c r="G1351" s="21">
        <v>38.5</v>
      </c>
      <c r="H1351" s="21">
        <v>1317.97</v>
      </c>
      <c r="I1351" s="21">
        <v>342.33</v>
      </c>
    </row>
    <row r="1352" spans="1:9" ht="15" customHeight="1" x14ac:dyDescent="0.3">
      <c r="A1352" s="21" t="s">
        <v>1707</v>
      </c>
      <c r="B1352" s="21">
        <v>2020</v>
      </c>
      <c r="C1352" s="21">
        <v>4</v>
      </c>
      <c r="D1352" s="21">
        <v>3</v>
      </c>
      <c r="E1352" s="21" t="s">
        <v>313</v>
      </c>
      <c r="F1352" s="21">
        <v>0</v>
      </c>
      <c r="G1352" s="21">
        <v>35.99</v>
      </c>
      <c r="H1352" s="21">
        <v>1231.92</v>
      </c>
      <c r="I1352" s="21">
        <v>342.3</v>
      </c>
    </row>
    <row r="1353" spans="1:9" ht="15" customHeight="1" x14ac:dyDescent="0.3">
      <c r="A1353" s="21" t="s">
        <v>1708</v>
      </c>
      <c r="B1353" s="21">
        <v>2020</v>
      </c>
      <c r="C1353" s="21">
        <v>4</v>
      </c>
      <c r="D1353" s="21">
        <v>4</v>
      </c>
      <c r="E1353" s="21" t="s">
        <v>316</v>
      </c>
      <c r="F1353" s="21">
        <v>1</v>
      </c>
      <c r="G1353" s="21">
        <v>28.76</v>
      </c>
      <c r="H1353" s="21">
        <v>984.43</v>
      </c>
      <c r="I1353" s="21">
        <v>342.29</v>
      </c>
    </row>
    <row r="1354" spans="1:9" ht="15" customHeight="1" x14ac:dyDescent="0.3">
      <c r="A1354" s="21" t="s">
        <v>1709</v>
      </c>
      <c r="B1354" s="21">
        <v>2020</v>
      </c>
      <c r="C1354" s="21">
        <v>4</v>
      </c>
      <c r="D1354" s="21">
        <v>5</v>
      </c>
      <c r="E1354" s="21" t="s">
        <v>319</v>
      </c>
      <c r="F1354" s="21">
        <v>1</v>
      </c>
      <c r="G1354" s="21">
        <v>29.51</v>
      </c>
      <c r="H1354" s="21">
        <v>1010.22</v>
      </c>
      <c r="I1354" s="21">
        <v>342.33</v>
      </c>
    </row>
    <row r="1355" spans="1:9" ht="15" customHeight="1" x14ac:dyDescent="0.3">
      <c r="A1355" s="21" t="s">
        <v>1710</v>
      </c>
      <c r="B1355" s="21">
        <v>2020</v>
      </c>
      <c r="C1355" s="21">
        <v>4</v>
      </c>
      <c r="D1355" s="21">
        <v>6</v>
      </c>
      <c r="E1355" s="21" t="s">
        <v>299</v>
      </c>
      <c r="F1355" s="21">
        <v>0</v>
      </c>
      <c r="G1355" s="21">
        <v>35.94</v>
      </c>
      <c r="H1355" s="21">
        <v>1230.0899999999999</v>
      </c>
      <c r="I1355" s="21">
        <v>342.26</v>
      </c>
    </row>
    <row r="1356" spans="1:9" ht="15" customHeight="1" x14ac:dyDescent="0.3">
      <c r="A1356" s="21" t="s">
        <v>1711</v>
      </c>
      <c r="B1356" s="21">
        <v>2020</v>
      </c>
      <c r="C1356" s="21">
        <v>4</v>
      </c>
      <c r="D1356" s="21">
        <v>7</v>
      </c>
      <c r="E1356" s="21" t="s">
        <v>303</v>
      </c>
      <c r="F1356" s="21">
        <v>0</v>
      </c>
      <c r="G1356" s="21">
        <v>31.84</v>
      </c>
      <c r="H1356" s="21">
        <v>1089.76</v>
      </c>
      <c r="I1356" s="21">
        <v>342.26</v>
      </c>
    </row>
    <row r="1357" spans="1:9" ht="15" customHeight="1" x14ac:dyDescent="0.3">
      <c r="A1357" s="21" t="s">
        <v>1712</v>
      </c>
      <c r="B1357" s="21">
        <v>2020</v>
      </c>
      <c r="C1357" s="21">
        <v>4</v>
      </c>
      <c r="D1357" s="21">
        <v>8</v>
      </c>
      <c r="E1357" s="21" t="s">
        <v>307</v>
      </c>
      <c r="F1357" s="21">
        <v>0</v>
      </c>
      <c r="G1357" s="21">
        <v>30.77</v>
      </c>
      <c r="H1357" s="21">
        <v>1053.18</v>
      </c>
      <c r="I1357" s="21">
        <v>342.27</v>
      </c>
    </row>
    <row r="1358" spans="1:9" ht="15" customHeight="1" x14ac:dyDescent="0.3">
      <c r="A1358" s="21" t="s">
        <v>1713</v>
      </c>
      <c r="B1358" s="21">
        <v>2020</v>
      </c>
      <c r="C1358" s="21">
        <v>4</v>
      </c>
      <c r="D1358" s="21">
        <v>9</v>
      </c>
      <c r="E1358" s="21" t="s">
        <v>310</v>
      </c>
      <c r="F1358" s="21">
        <v>0</v>
      </c>
      <c r="G1358" s="21">
        <v>34.25</v>
      </c>
      <c r="H1358" s="21">
        <v>1172.54</v>
      </c>
      <c r="I1358" s="21">
        <v>342.35</v>
      </c>
    </row>
    <row r="1359" spans="1:9" ht="15" customHeight="1" x14ac:dyDescent="0.3">
      <c r="A1359" s="21" t="s">
        <v>1714</v>
      </c>
      <c r="B1359" s="21">
        <v>2020</v>
      </c>
      <c r="C1359" s="21">
        <v>4</v>
      </c>
      <c r="D1359" s="21">
        <v>10</v>
      </c>
      <c r="E1359" s="21" t="s">
        <v>313</v>
      </c>
      <c r="F1359" s="21">
        <v>0</v>
      </c>
      <c r="G1359" s="21">
        <v>34.619999999999997</v>
      </c>
      <c r="H1359" s="21">
        <v>1185.04</v>
      </c>
      <c r="I1359" s="21">
        <v>342.3</v>
      </c>
    </row>
    <row r="1360" spans="1:9" ht="15" customHeight="1" x14ac:dyDescent="0.3">
      <c r="A1360" s="21" t="s">
        <v>1715</v>
      </c>
      <c r="B1360" s="21">
        <v>2020</v>
      </c>
      <c r="C1360" s="21">
        <v>4</v>
      </c>
      <c r="D1360" s="21">
        <v>11</v>
      </c>
      <c r="E1360" s="21" t="s">
        <v>316</v>
      </c>
      <c r="F1360" s="21">
        <v>1</v>
      </c>
      <c r="G1360" s="21">
        <v>28.1</v>
      </c>
      <c r="H1360" s="21">
        <v>961.79</v>
      </c>
      <c r="I1360" s="21">
        <v>342.27</v>
      </c>
    </row>
    <row r="1361" spans="1:9" ht="15" customHeight="1" x14ac:dyDescent="0.3">
      <c r="A1361" s="21" t="s">
        <v>1716</v>
      </c>
      <c r="B1361" s="21">
        <v>2020</v>
      </c>
      <c r="C1361" s="21">
        <v>4</v>
      </c>
      <c r="D1361" s="21">
        <v>12</v>
      </c>
      <c r="E1361" s="21" t="s">
        <v>319</v>
      </c>
      <c r="F1361" s="21">
        <v>1</v>
      </c>
      <c r="G1361" s="21">
        <v>27.15</v>
      </c>
      <c r="H1361" s="21">
        <v>929.44</v>
      </c>
      <c r="I1361" s="21">
        <v>342.34</v>
      </c>
    </row>
    <row r="1362" spans="1:9" ht="15" customHeight="1" x14ac:dyDescent="0.3">
      <c r="A1362" s="21" t="s">
        <v>1717</v>
      </c>
      <c r="B1362" s="21">
        <v>2020</v>
      </c>
      <c r="C1362" s="21">
        <v>4</v>
      </c>
      <c r="D1362" s="21">
        <v>13</v>
      </c>
      <c r="E1362" s="21" t="s">
        <v>299</v>
      </c>
      <c r="F1362" s="21">
        <v>0</v>
      </c>
      <c r="G1362" s="21">
        <v>33.18</v>
      </c>
      <c r="H1362" s="21">
        <v>1135.94</v>
      </c>
      <c r="I1362" s="21">
        <v>342.36</v>
      </c>
    </row>
    <row r="1363" spans="1:9" ht="15" customHeight="1" x14ac:dyDescent="0.3">
      <c r="A1363" s="21" t="s">
        <v>1718</v>
      </c>
      <c r="B1363" s="21">
        <v>2020</v>
      </c>
      <c r="C1363" s="21">
        <v>4</v>
      </c>
      <c r="D1363" s="21">
        <v>14</v>
      </c>
      <c r="E1363" s="21" t="s">
        <v>303</v>
      </c>
      <c r="F1363" s="21">
        <v>0</v>
      </c>
      <c r="G1363" s="21">
        <v>33.86</v>
      </c>
      <c r="H1363" s="21">
        <v>1159.0899999999999</v>
      </c>
      <c r="I1363" s="21">
        <v>342.32</v>
      </c>
    </row>
    <row r="1364" spans="1:9" ht="15" customHeight="1" x14ac:dyDescent="0.3">
      <c r="A1364" s="21" t="s">
        <v>1719</v>
      </c>
      <c r="B1364" s="21">
        <v>2020</v>
      </c>
      <c r="C1364" s="21">
        <v>4</v>
      </c>
      <c r="D1364" s="21">
        <v>15</v>
      </c>
      <c r="E1364" s="21" t="s">
        <v>307</v>
      </c>
      <c r="F1364" s="21">
        <v>0</v>
      </c>
      <c r="G1364" s="21">
        <v>34.08</v>
      </c>
      <c r="H1364" s="21">
        <v>1166.54</v>
      </c>
      <c r="I1364" s="21">
        <v>342.29</v>
      </c>
    </row>
    <row r="1365" spans="1:9" ht="15" customHeight="1" x14ac:dyDescent="0.3">
      <c r="A1365" s="21" t="s">
        <v>1720</v>
      </c>
      <c r="B1365" s="21">
        <v>2020</v>
      </c>
      <c r="C1365" s="21">
        <v>4</v>
      </c>
      <c r="D1365" s="21">
        <v>16</v>
      </c>
      <c r="E1365" s="21" t="s">
        <v>310</v>
      </c>
      <c r="F1365" s="21">
        <v>0</v>
      </c>
      <c r="G1365" s="21">
        <v>32.74</v>
      </c>
      <c r="H1365" s="21">
        <v>1120.8399999999999</v>
      </c>
      <c r="I1365" s="21">
        <v>342.35</v>
      </c>
    </row>
    <row r="1366" spans="1:9" ht="15" customHeight="1" x14ac:dyDescent="0.3">
      <c r="A1366" s="21" t="s">
        <v>1721</v>
      </c>
      <c r="B1366" s="21">
        <v>2020</v>
      </c>
      <c r="C1366" s="21">
        <v>4</v>
      </c>
      <c r="D1366" s="21">
        <v>17</v>
      </c>
      <c r="E1366" s="21" t="s">
        <v>313</v>
      </c>
      <c r="F1366" s="21">
        <v>0</v>
      </c>
      <c r="G1366" s="21">
        <v>33.4</v>
      </c>
      <c r="H1366" s="21">
        <v>1143.1500000000001</v>
      </c>
      <c r="I1366" s="21">
        <v>342.26</v>
      </c>
    </row>
    <row r="1367" spans="1:9" ht="15" customHeight="1" x14ac:dyDescent="0.3">
      <c r="A1367" s="21" t="s">
        <v>1722</v>
      </c>
      <c r="B1367" s="21">
        <v>2020</v>
      </c>
      <c r="C1367" s="21">
        <v>4</v>
      </c>
      <c r="D1367" s="21">
        <v>18</v>
      </c>
      <c r="E1367" s="21" t="s">
        <v>316</v>
      </c>
      <c r="F1367" s="21">
        <v>1</v>
      </c>
      <c r="G1367" s="21">
        <v>27.78</v>
      </c>
      <c r="H1367" s="21">
        <v>950.79</v>
      </c>
      <c r="I1367" s="21">
        <v>342.26</v>
      </c>
    </row>
    <row r="1368" spans="1:9" ht="15" customHeight="1" x14ac:dyDescent="0.3">
      <c r="A1368" s="21" t="s">
        <v>1723</v>
      </c>
      <c r="B1368" s="21">
        <v>2020</v>
      </c>
      <c r="C1368" s="21">
        <v>4</v>
      </c>
      <c r="D1368" s="21">
        <v>19</v>
      </c>
      <c r="E1368" s="21" t="s">
        <v>319</v>
      </c>
      <c r="F1368" s="21">
        <v>1</v>
      </c>
      <c r="G1368" s="21">
        <v>28.71</v>
      </c>
      <c r="H1368" s="21">
        <v>982.89</v>
      </c>
      <c r="I1368" s="21">
        <v>342.35</v>
      </c>
    </row>
    <row r="1369" spans="1:9" ht="15" customHeight="1" x14ac:dyDescent="0.3">
      <c r="A1369" s="21" t="s">
        <v>1724</v>
      </c>
      <c r="B1369" s="21">
        <v>2020</v>
      </c>
      <c r="C1369" s="21">
        <v>4</v>
      </c>
      <c r="D1369" s="21">
        <v>20</v>
      </c>
      <c r="E1369" s="21" t="s">
        <v>299</v>
      </c>
      <c r="F1369" s="21">
        <v>0</v>
      </c>
      <c r="G1369" s="21">
        <v>33.51</v>
      </c>
      <c r="H1369" s="21">
        <v>1146.99</v>
      </c>
      <c r="I1369" s="21">
        <v>342.28</v>
      </c>
    </row>
    <row r="1370" spans="1:9" ht="15" customHeight="1" x14ac:dyDescent="0.3">
      <c r="A1370" s="21" t="s">
        <v>1725</v>
      </c>
      <c r="B1370" s="21">
        <v>2020</v>
      </c>
      <c r="C1370" s="21">
        <v>4</v>
      </c>
      <c r="D1370" s="21">
        <v>21</v>
      </c>
      <c r="E1370" s="21" t="s">
        <v>303</v>
      </c>
      <c r="F1370" s="21">
        <v>0</v>
      </c>
      <c r="G1370" s="21">
        <v>33.5</v>
      </c>
      <c r="H1370" s="21">
        <v>1146.8399999999999</v>
      </c>
      <c r="I1370" s="21">
        <v>342.34</v>
      </c>
    </row>
    <row r="1371" spans="1:9" ht="15" customHeight="1" x14ac:dyDescent="0.3">
      <c r="A1371" s="21" t="s">
        <v>1726</v>
      </c>
      <c r="B1371" s="21">
        <v>2020</v>
      </c>
      <c r="C1371" s="21">
        <v>4</v>
      </c>
      <c r="D1371" s="21">
        <v>22</v>
      </c>
      <c r="E1371" s="21" t="s">
        <v>307</v>
      </c>
      <c r="F1371" s="21">
        <v>0</v>
      </c>
      <c r="G1371" s="21">
        <v>33.299999999999997</v>
      </c>
      <c r="H1371" s="21">
        <v>1140.04</v>
      </c>
      <c r="I1371" s="21">
        <v>342.35</v>
      </c>
    </row>
    <row r="1372" spans="1:9" ht="15" customHeight="1" x14ac:dyDescent="0.3">
      <c r="A1372" s="21" t="s">
        <v>1727</v>
      </c>
      <c r="B1372" s="21">
        <v>2020</v>
      </c>
      <c r="C1372" s="21">
        <v>4</v>
      </c>
      <c r="D1372" s="21">
        <v>23</v>
      </c>
      <c r="E1372" s="21" t="s">
        <v>310</v>
      </c>
      <c r="F1372" s="21">
        <v>0</v>
      </c>
      <c r="G1372" s="21">
        <v>33.9</v>
      </c>
      <c r="H1372" s="21">
        <v>1160.3900000000001</v>
      </c>
      <c r="I1372" s="21">
        <v>342.3</v>
      </c>
    </row>
    <row r="1373" spans="1:9" ht="15" customHeight="1" x14ac:dyDescent="0.3">
      <c r="A1373" s="21" t="s">
        <v>1728</v>
      </c>
      <c r="B1373" s="21">
        <v>2020</v>
      </c>
      <c r="C1373" s="21">
        <v>4</v>
      </c>
      <c r="D1373" s="21">
        <v>24</v>
      </c>
      <c r="E1373" s="21" t="s">
        <v>313</v>
      </c>
      <c r="F1373" s="21">
        <v>0</v>
      </c>
      <c r="G1373" s="21">
        <v>36.11</v>
      </c>
      <c r="H1373" s="21">
        <v>1235.9000000000001</v>
      </c>
      <c r="I1373" s="21">
        <v>342.26</v>
      </c>
    </row>
    <row r="1374" spans="1:9" ht="15" customHeight="1" x14ac:dyDescent="0.3">
      <c r="A1374" s="21" t="s">
        <v>1729</v>
      </c>
      <c r="B1374" s="21">
        <v>2020</v>
      </c>
      <c r="C1374" s="21">
        <v>4</v>
      </c>
      <c r="D1374" s="21">
        <v>25</v>
      </c>
      <c r="E1374" s="21" t="s">
        <v>316</v>
      </c>
      <c r="F1374" s="21">
        <v>1</v>
      </c>
      <c r="G1374" s="21">
        <v>27.35</v>
      </c>
      <c r="H1374" s="21">
        <v>936.19</v>
      </c>
      <c r="I1374" s="21">
        <v>342.3</v>
      </c>
    </row>
    <row r="1375" spans="1:9" ht="15" customHeight="1" x14ac:dyDescent="0.3">
      <c r="A1375" s="21" t="s">
        <v>1730</v>
      </c>
      <c r="B1375" s="21">
        <v>2020</v>
      </c>
      <c r="C1375" s="21">
        <v>4</v>
      </c>
      <c r="D1375" s="21">
        <v>26</v>
      </c>
      <c r="E1375" s="21" t="s">
        <v>319</v>
      </c>
      <c r="F1375" s="21">
        <v>1</v>
      </c>
      <c r="G1375" s="21">
        <v>29.52</v>
      </c>
      <c r="H1375" s="21">
        <v>1010.42</v>
      </c>
      <c r="I1375" s="21">
        <v>342.28</v>
      </c>
    </row>
    <row r="1376" spans="1:9" ht="15" customHeight="1" x14ac:dyDescent="0.3">
      <c r="A1376" s="21" t="s">
        <v>1731</v>
      </c>
      <c r="B1376" s="21">
        <v>2020</v>
      </c>
      <c r="C1376" s="21">
        <v>4</v>
      </c>
      <c r="D1376" s="21">
        <v>27</v>
      </c>
      <c r="E1376" s="21" t="s">
        <v>299</v>
      </c>
      <c r="F1376" s="21">
        <v>0</v>
      </c>
      <c r="G1376" s="21">
        <v>34.83</v>
      </c>
      <c r="H1376" s="21">
        <v>1192.17</v>
      </c>
      <c r="I1376" s="21">
        <v>342.28</v>
      </c>
    </row>
    <row r="1377" spans="1:9" ht="15" customHeight="1" x14ac:dyDescent="0.3">
      <c r="A1377" s="21" t="s">
        <v>1732</v>
      </c>
      <c r="B1377" s="21">
        <v>2020</v>
      </c>
      <c r="C1377" s="21">
        <v>4</v>
      </c>
      <c r="D1377" s="21">
        <v>28</v>
      </c>
      <c r="E1377" s="21" t="s">
        <v>303</v>
      </c>
      <c r="F1377" s="21">
        <v>0</v>
      </c>
      <c r="G1377" s="21">
        <v>33.29</v>
      </c>
      <c r="H1377" s="21">
        <v>1139.6300000000001</v>
      </c>
      <c r="I1377" s="21">
        <v>342.33</v>
      </c>
    </row>
    <row r="1378" spans="1:9" ht="15" customHeight="1" x14ac:dyDescent="0.3">
      <c r="A1378" s="21" t="s">
        <v>1733</v>
      </c>
      <c r="B1378" s="21">
        <v>2020</v>
      </c>
      <c r="C1378" s="21">
        <v>4</v>
      </c>
      <c r="D1378" s="21">
        <v>29</v>
      </c>
      <c r="E1378" s="21" t="s">
        <v>307</v>
      </c>
      <c r="F1378" s="21">
        <v>0</v>
      </c>
      <c r="G1378" s="21">
        <v>37.25</v>
      </c>
      <c r="H1378" s="21">
        <v>1274.93</v>
      </c>
      <c r="I1378" s="21">
        <v>342.26</v>
      </c>
    </row>
    <row r="1379" spans="1:9" ht="15" customHeight="1" x14ac:dyDescent="0.3">
      <c r="A1379" s="21" t="s">
        <v>1734</v>
      </c>
      <c r="B1379" s="21">
        <v>2020</v>
      </c>
      <c r="C1379" s="21">
        <v>4</v>
      </c>
      <c r="D1379" s="21">
        <v>30</v>
      </c>
      <c r="E1379" s="21" t="s">
        <v>310</v>
      </c>
      <c r="F1379" s="21">
        <v>0</v>
      </c>
      <c r="G1379" s="21">
        <v>37.81</v>
      </c>
      <c r="H1379" s="21">
        <v>1294.21</v>
      </c>
      <c r="I1379" s="21">
        <v>342.29</v>
      </c>
    </row>
    <row r="1380" spans="1:9" ht="15" customHeight="1" x14ac:dyDescent="0.3">
      <c r="A1380" s="21" t="s">
        <v>143</v>
      </c>
      <c r="B1380" s="21">
        <v>2020</v>
      </c>
      <c r="C1380" s="21">
        <v>5</v>
      </c>
      <c r="D1380" s="21">
        <v>1</v>
      </c>
      <c r="E1380" s="21" t="s">
        <v>313</v>
      </c>
      <c r="F1380" s="21">
        <v>0</v>
      </c>
      <c r="G1380" s="21">
        <v>48.24</v>
      </c>
      <c r="H1380" s="21">
        <v>1644.87</v>
      </c>
      <c r="I1380" s="21">
        <v>340.98</v>
      </c>
    </row>
    <row r="1381" spans="1:9" ht="15" customHeight="1" x14ac:dyDescent="0.3">
      <c r="A1381" s="21" t="s">
        <v>1735</v>
      </c>
      <c r="B1381" s="21">
        <v>2020</v>
      </c>
      <c r="C1381" s="21">
        <v>5</v>
      </c>
      <c r="D1381" s="21">
        <v>2</v>
      </c>
      <c r="E1381" s="21" t="s">
        <v>316</v>
      </c>
      <c r="F1381" s="21">
        <v>1</v>
      </c>
      <c r="G1381" s="21">
        <v>38.69</v>
      </c>
      <c r="H1381" s="21">
        <v>1319.09</v>
      </c>
      <c r="I1381" s="21">
        <v>340.94</v>
      </c>
    </row>
    <row r="1382" spans="1:9" ht="15" customHeight="1" x14ac:dyDescent="0.3">
      <c r="A1382" s="21" t="s">
        <v>1736</v>
      </c>
      <c r="B1382" s="21">
        <v>2020</v>
      </c>
      <c r="C1382" s="21">
        <v>5</v>
      </c>
      <c r="D1382" s="21">
        <v>3</v>
      </c>
      <c r="E1382" s="21" t="s">
        <v>319</v>
      </c>
      <c r="F1382" s="21">
        <v>1</v>
      </c>
      <c r="G1382" s="21">
        <v>35.89</v>
      </c>
      <c r="H1382" s="21">
        <v>1223.8</v>
      </c>
      <c r="I1382" s="21">
        <v>340.99</v>
      </c>
    </row>
    <row r="1383" spans="1:9" ht="15" customHeight="1" x14ac:dyDescent="0.3">
      <c r="A1383" s="21" t="s">
        <v>1737</v>
      </c>
      <c r="B1383" s="21">
        <v>2020</v>
      </c>
      <c r="C1383" s="21">
        <v>5</v>
      </c>
      <c r="D1383" s="21">
        <v>4</v>
      </c>
      <c r="E1383" s="21" t="s">
        <v>299</v>
      </c>
      <c r="F1383" s="21">
        <v>0</v>
      </c>
      <c r="G1383" s="21">
        <v>40.17</v>
      </c>
      <c r="H1383" s="21">
        <v>1369.75</v>
      </c>
      <c r="I1383" s="21">
        <v>340.99</v>
      </c>
    </row>
    <row r="1384" spans="1:9" ht="15" customHeight="1" x14ac:dyDescent="0.3">
      <c r="A1384" s="21" t="s">
        <v>1738</v>
      </c>
      <c r="B1384" s="21">
        <v>2020</v>
      </c>
      <c r="C1384" s="21">
        <v>5</v>
      </c>
      <c r="D1384" s="21">
        <v>5</v>
      </c>
      <c r="E1384" s="21" t="s">
        <v>303</v>
      </c>
      <c r="F1384" s="21">
        <v>0</v>
      </c>
      <c r="G1384" s="21">
        <v>37.89</v>
      </c>
      <c r="H1384" s="21">
        <v>1292.02</v>
      </c>
      <c r="I1384" s="21">
        <v>340.99</v>
      </c>
    </row>
    <row r="1385" spans="1:9" ht="15" customHeight="1" x14ac:dyDescent="0.3">
      <c r="A1385" s="21" t="s">
        <v>1739</v>
      </c>
      <c r="B1385" s="21">
        <v>2020</v>
      </c>
      <c r="C1385" s="21">
        <v>5</v>
      </c>
      <c r="D1385" s="21">
        <v>6</v>
      </c>
      <c r="E1385" s="21" t="s">
        <v>307</v>
      </c>
      <c r="F1385" s="21">
        <v>0</v>
      </c>
      <c r="G1385" s="21">
        <v>41.58</v>
      </c>
      <c r="H1385" s="21">
        <v>1417.67</v>
      </c>
      <c r="I1385" s="21">
        <v>340.95</v>
      </c>
    </row>
    <row r="1386" spans="1:9" ht="15" customHeight="1" x14ac:dyDescent="0.3">
      <c r="A1386" s="21" t="s">
        <v>1740</v>
      </c>
      <c r="B1386" s="21">
        <v>2020</v>
      </c>
      <c r="C1386" s="21">
        <v>5</v>
      </c>
      <c r="D1386" s="21">
        <v>7</v>
      </c>
      <c r="E1386" s="21" t="s">
        <v>310</v>
      </c>
      <c r="F1386" s="21">
        <v>0</v>
      </c>
      <c r="G1386" s="21">
        <v>39.57</v>
      </c>
      <c r="H1386" s="21">
        <v>1349.22</v>
      </c>
      <c r="I1386" s="21">
        <v>340.97</v>
      </c>
    </row>
    <row r="1387" spans="1:9" ht="15" customHeight="1" x14ac:dyDescent="0.3">
      <c r="A1387" s="21" t="s">
        <v>1741</v>
      </c>
      <c r="B1387" s="21">
        <v>2020</v>
      </c>
      <c r="C1387" s="21">
        <v>5</v>
      </c>
      <c r="D1387" s="21">
        <v>8</v>
      </c>
      <c r="E1387" s="21" t="s">
        <v>313</v>
      </c>
      <c r="F1387" s="21">
        <v>0</v>
      </c>
      <c r="G1387" s="21">
        <v>42.21</v>
      </c>
      <c r="H1387" s="21">
        <v>1439.11</v>
      </c>
      <c r="I1387" s="21">
        <v>340.94</v>
      </c>
    </row>
    <row r="1388" spans="1:9" ht="15" customHeight="1" x14ac:dyDescent="0.3">
      <c r="A1388" s="21" t="s">
        <v>1742</v>
      </c>
      <c r="B1388" s="21">
        <v>2020</v>
      </c>
      <c r="C1388" s="21">
        <v>5</v>
      </c>
      <c r="D1388" s="21">
        <v>9</v>
      </c>
      <c r="E1388" s="21" t="s">
        <v>316</v>
      </c>
      <c r="F1388" s="21">
        <v>1</v>
      </c>
      <c r="G1388" s="21">
        <v>35.090000000000003</v>
      </c>
      <c r="H1388" s="21">
        <v>1196.44</v>
      </c>
      <c r="I1388" s="21">
        <v>340.96</v>
      </c>
    </row>
    <row r="1389" spans="1:9" ht="15" customHeight="1" x14ac:dyDescent="0.3">
      <c r="A1389" s="21" t="s">
        <v>1743</v>
      </c>
      <c r="B1389" s="21">
        <v>2020</v>
      </c>
      <c r="C1389" s="21">
        <v>5</v>
      </c>
      <c r="D1389" s="21">
        <v>10</v>
      </c>
      <c r="E1389" s="21" t="s">
        <v>319</v>
      </c>
      <c r="F1389" s="21">
        <v>1</v>
      </c>
      <c r="G1389" s="21">
        <v>33.130000000000003</v>
      </c>
      <c r="H1389" s="21">
        <v>1129.4100000000001</v>
      </c>
      <c r="I1389" s="21">
        <v>340.9</v>
      </c>
    </row>
    <row r="1390" spans="1:9" ht="15" customHeight="1" x14ac:dyDescent="0.3">
      <c r="A1390" s="21" t="s">
        <v>1744</v>
      </c>
      <c r="B1390" s="21">
        <v>2020</v>
      </c>
      <c r="C1390" s="21">
        <v>5</v>
      </c>
      <c r="D1390" s="21">
        <v>11</v>
      </c>
      <c r="E1390" s="21" t="s">
        <v>299</v>
      </c>
      <c r="F1390" s="21">
        <v>0</v>
      </c>
      <c r="G1390" s="21">
        <v>44</v>
      </c>
      <c r="H1390" s="21">
        <v>1500.01</v>
      </c>
      <c r="I1390" s="21">
        <v>340.91</v>
      </c>
    </row>
    <row r="1391" spans="1:9" ht="15" customHeight="1" x14ac:dyDescent="0.3">
      <c r="A1391" s="21" t="s">
        <v>1745</v>
      </c>
      <c r="B1391" s="21">
        <v>2020</v>
      </c>
      <c r="C1391" s="21">
        <v>5</v>
      </c>
      <c r="D1391" s="21">
        <v>12</v>
      </c>
      <c r="E1391" s="21" t="s">
        <v>303</v>
      </c>
      <c r="F1391" s="21">
        <v>0</v>
      </c>
      <c r="G1391" s="21">
        <v>40.630000000000003</v>
      </c>
      <c r="H1391" s="21">
        <v>1385.36</v>
      </c>
      <c r="I1391" s="21">
        <v>340.97</v>
      </c>
    </row>
    <row r="1392" spans="1:9" ht="15" customHeight="1" x14ac:dyDescent="0.3">
      <c r="A1392" s="21" t="s">
        <v>1746</v>
      </c>
      <c r="B1392" s="21">
        <v>2020</v>
      </c>
      <c r="C1392" s="21">
        <v>5</v>
      </c>
      <c r="D1392" s="21">
        <v>13</v>
      </c>
      <c r="E1392" s="21" t="s">
        <v>307</v>
      </c>
      <c r="F1392" s="21">
        <v>0</v>
      </c>
      <c r="G1392" s="21">
        <v>39.24</v>
      </c>
      <c r="H1392" s="21">
        <v>1337.87</v>
      </c>
      <c r="I1392" s="21">
        <v>340.95</v>
      </c>
    </row>
    <row r="1393" spans="1:9" ht="15" customHeight="1" x14ac:dyDescent="0.3">
      <c r="A1393" s="21" t="s">
        <v>1747</v>
      </c>
      <c r="B1393" s="21">
        <v>2020</v>
      </c>
      <c r="C1393" s="21">
        <v>5</v>
      </c>
      <c r="D1393" s="21">
        <v>14</v>
      </c>
      <c r="E1393" s="21" t="s">
        <v>310</v>
      </c>
      <c r="F1393" s="21">
        <v>0</v>
      </c>
      <c r="G1393" s="21">
        <v>42.4</v>
      </c>
      <c r="H1393" s="21">
        <v>1445.61</v>
      </c>
      <c r="I1393" s="21">
        <v>340.95</v>
      </c>
    </row>
    <row r="1394" spans="1:9" ht="15" customHeight="1" x14ac:dyDescent="0.3">
      <c r="A1394" s="21" t="s">
        <v>1748</v>
      </c>
      <c r="B1394" s="21">
        <v>2020</v>
      </c>
      <c r="C1394" s="21">
        <v>5</v>
      </c>
      <c r="D1394" s="21">
        <v>15</v>
      </c>
      <c r="E1394" s="21" t="s">
        <v>313</v>
      </c>
      <c r="F1394" s="21">
        <v>0</v>
      </c>
      <c r="G1394" s="21">
        <v>42.28</v>
      </c>
      <c r="H1394" s="21">
        <v>1441.69</v>
      </c>
      <c r="I1394" s="21">
        <v>340.99</v>
      </c>
    </row>
    <row r="1395" spans="1:9" ht="15" customHeight="1" x14ac:dyDescent="0.3">
      <c r="A1395" s="21" t="s">
        <v>1749</v>
      </c>
      <c r="B1395" s="21">
        <v>2020</v>
      </c>
      <c r="C1395" s="21">
        <v>5</v>
      </c>
      <c r="D1395" s="21">
        <v>16</v>
      </c>
      <c r="E1395" s="21" t="s">
        <v>316</v>
      </c>
      <c r="F1395" s="21">
        <v>1</v>
      </c>
      <c r="G1395" s="21">
        <v>34.74</v>
      </c>
      <c r="H1395" s="21">
        <v>1184.31</v>
      </c>
      <c r="I1395" s="21">
        <v>340.91</v>
      </c>
    </row>
    <row r="1396" spans="1:9" ht="15" customHeight="1" x14ac:dyDescent="0.3">
      <c r="A1396" s="21" t="s">
        <v>1750</v>
      </c>
      <c r="B1396" s="21">
        <v>2020</v>
      </c>
      <c r="C1396" s="21">
        <v>5</v>
      </c>
      <c r="D1396" s="21">
        <v>17</v>
      </c>
      <c r="E1396" s="21" t="s">
        <v>319</v>
      </c>
      <c r="F1396" s="21">
        <v>1</v>
      </c>
      <c r="G1396" s="21">
        <v>34.21</v>
      </c>
      <c r="H1396" s="21">
        <v>1166.27</v>
      </c>
      <c r="I1396" s="21">
        <v>340.91</v>
      </c>
    </row>
    <row r="1397" spans="1:9" ht="15" customHeight="1" x14ac:dyDescent="0.3">
      <c r="A1397" s="21" t="s">
        <v>1751</v>
      </c>
      <c r="B1397" s="21">
        <v>2020</v>
      </c>
      <c r="C1397" s="21">
        <v>5</v>
      </c>
      <c r="D1397" s="21">
        <v>18</v>
      </c>
      <c r="E1397" s="21" t="s">
        <v>299</v>
      </c>
      <c r="F1397" s="21">
        <v>0</v>
      </c>
      <c r="G1397" s="21">
        <v>43.37</v>
      </c>
      <c r="H1397" s="21">
        <v>1478.65</v>
      </c>
      <c r="I1397" s="21">
        <v>340.94</v>
      </c>
    </row>
    <row r="1398" spans="1:9" ht="15" customHeight="1" x14ac:dyDescent="0.3">
      <c r="A1398" s="21" t="s">
        <v>1752</v>
      </c>
      <c r="B1398" s="21">
        <v>2020</v>
      </c>
      <c r="C1398" s="21">
        <v>5</v>
      </c>
      <c r="D1398" s="21">
        <v>19</v>
      </c>
      <c r="E1398" s="21" t="s">
        <v>303</v>
      </c>
      <c r="F1398" s="21">
        <v>0</v>
      </c>
      <c r="G1398" s="21">
        <v>41.69</v>
      </c>
      <c r="H1398" s="21">
        <v>1421.35</v>
      </c>
      <c r="I1398" s="21">
        <v>340.93</v>
      </c>
    </row>
    <row r="1399" spans="1:9" ht="15" customHeight="1" x14ac:dyDescent="0.3">
      <c r="A1399" s="21" t="s">
        <v>1753</v>
      </c>
      <c r="B1399" s="21">
        <v>2020</v>
      </c>
      <c r="C1399" s="21">
        <v>5</v>
      </c>
      <c r="D1399" s="21">
        <v>20</v>
      </c>
      <c r="E1399" s="21" t="s">
        <v>307</v>
      </c>
      <c r="F1399" s="21">
        <v>0</v>
      </c>
      <c r="G1399" s="21">
        <v>39.86</v>
      </c>
      <c r="H1399" s="21">
        <v>1359.05</v>
      </c>
      <c r="I1399" s="21">
        <v>340.96</v>
      </c>
    </row>
    <row r="1400" spans="1:9" ht="15" customHeight="1" x14ac:dyDescent="0.3">
      <c r="A1400" s="21" t="s">
        <v>1754</v>
      </c>
      <c r="B1400" s="21">
        <v>2020</v>
      </c>
      <c r="C1400" s="21">
        <v>5</v>
      </c>
      <c r="D1400" s="21">
        <v>21</v>
      </c>
      <c r="E1400" s="21" t="s">
        <v>310</v>
      </c>
      <c r="F1400" s="21">
        <v>0</v>
      </c>
      <c r="G1400" s="21">
        <v>38.92</v>
      </c>
      <c r="H1400" s="21">
        <v>1327.05</v>
      </c>
      <c r="I1400" s="21">
        <v>340.97</v>
      </c>
    </row>
    <row r="1401" spans="1:9" ht="15" customHeight="1" x14ac:dyDescent="0.3">
      <c r="A1401" s="21" t="s">
        <v>1755</v>
      </c>
      <c r="B1401" s="21">
        <v>2020</v>
      </c>
      <c r="C1401" s="21">
        <v>5</v>
      </c>
      <c r="D1401" s="21">
        <v>22</v>
      </c>
      <c r="E1401" s="21" t="s">
        <v>313</v>
      </c>
      <c r="F1401" s="21">
        <v>0</v>
      </c>
      <c r="G1401" s="21">
        <v>43.56</v>
      </c>
      <c r="H1401" s="21">
        <v>1485.1</v>
      </c>
      <c r="I1401" s="21">
        <v>340.93</v>
      </c>
    </row>
    <row r="1402" spans="1:9" ht="15" customHeight="1" x14ac:dyDescent="0.3">
      <c r="A1402" s="21" t="s">
        <v>1756</v>
      </c>
      <c r="B1402" s="21">
        <v>2020</v>
      </c>
      <c r="C1402" s="21">
        <v>5</v>
      </c>
      <c r="D1402" s="21">
        <v>23</v>
      </c>
      <c r="E1402" s="21" t="s">
        <v>316</v>
      </c>
      <c r="F1402" s="21">
        <v>1</v>
      </c>
      <c r="G1402" s="21">
        <v>33.04</v>
      </c>
      <c r="H1402" s="21">
        <v>1126.48</v>
      </c>
      <c r="I1402" s="21">
        <v>340.94</v>
      </c>
    </row>
    <row r="1403" spans="1:9" ht="15" customHeight="1" x14ac:dyDescent="0.3">
      <c r="A1403" s="21" t="s">
        <v>1757</v>
      </c>
      <c r="B1403" s="21">
        <v>2020</v>
      </c>
      <c r="C1403" s="21">
        <v>5</v>
      </c>
      <c r="D1403" s="21">
        <v>24</v>
      </c>
      <c r="E1403" s="21" t="s">
        <v>319</v>
      </c>
      <c r="F1403" s="21">
        <v>1</v>
      </c>
      <c r="G1403" s="21">
        <v>36.25</v>
      </c>
      <c r="H1403" s="21">
        <v>1236.0899999999999</v>
      </c>
      <c r="I1403" s="21">
        <v>340.99</v>
      </c>
    </row>
    <row r="1404" spans="1:9" ht="15" customHeight="1" x14ac:dyDescent="0.3">
      <c r="A1404" s="21" t="s">
        <v>1758</v>
      </c>
      <c r="B1404" s="21">
        <v>2020</v>
      </c>
      <c r="C1404" s="21">
        <v>5</v>
      </c>
      <c r="D1404" s="21">
        <v>25</v>
      </c>
      <c r="E1404" s="21" t="s">
        <v>299</v>
      </c>
      <c r="F1404" s="21">
        <v>0</v>
      </c>
      <c r="G1404" s="21">
        <v>41.98</v>
      </c>
      <c r="H1404" s="21">
        <v>1431.19</v>
      </c>
      <c r="I1404" s="21">
        <v>340.92</v>
      </c>
    </row>
    <row r="1405" spans="1:9" ht="15" customHeight="1" x14ac:dyDescent="0.3">
      <c r="A1405" s="21" t="s">
        <v>1759</v>
      </c>
      <c r="B1405" s="21">
        <v>2020</v>
      </c>
      <c r="C1405" s="21">
        <v>5</v>
      </c>
      <c r="D1405" s="21">
        <v>26</v>
      </c>
      <c r="E1405" s="21" t="s">
        <v>303</v>
      </c>
      <c r="F1405" s="21">
        <v>0</v>
      </c>
      <c r="G1405" s="21">
        <v>39.39</v>
      </c>
      <c r="H1405" s="21">
        <v>1342.86</v>
      </c>
      <c r="I1405" s="21">
        <v>340.91</v>
      </c>
    </row>
    <row r="1406" spans="1:9" ht="15" customHeight="1" x14ac:dyDescent="0.3">
      <c r="A1406" s="21" t="s">
        <v>1760</v>
      </c>
      <c r="B1406" s="21">
        <v>2020</v>
      </c>
      <c r="C1406" s="21">
        <v>5</v>
      </c>
      <c r="D1406" s="21">
        <v>27</v>
      </c>
      <c r="E1406" s="21" t="s">
        <v>307</v>
      </c>
      <c r="F1406" s="21">
        <v>0</v>
      </c>
      <c r="G1406" s="21">
        <v>40.04</v>
      </c>
      <c r="H1406" s="21">
        <v>1365.26</v>
      </c>
      <c r="I1406" s="21">
        <v>340.97</v>
      </c>
    </row>
    <row r="1407" spans="1:9" ht="15" customHeight="1" x14ac:dyDescent="0.3">
      <c r="A1407" s="21" t="s">
        <v>1761</v>
      </c>
      <c r="B1407" s="21">
        <v>2020</v>
      </c>
      <c r="C1407" s="21">
        <v>5</v>
      </c>
      <c r="D1407" s="21">
        <v>28</v>
      </c>
      <c r="E1407" s="21" t="s">
        <v>310</v>
      </c>
      <c r="F1407" s="21">
        <v>0</v>
      </c>
      <c r="G1407" s="21">
        <v>38.21</v>
      </c>
      <c r="H1407" s="21">
        <v>1302.8699999999999</v>
      </c>
      <c r="I1407" s="21">
        <v>340.98</v>
      </c>
    </row>
    <row r="1408" spans="1:9" ht="15" customHeight="1" x14ac:dyDescent="0.3">
      <c r="A1408" s="21" t="s">
        <v>1762</v>
      </c>
      <c r="B1408" s="21">
        <v>2020</v>
      </c>
      <c r="C1408" s="21">
        <v>5</v>
      </c>
      <c r="D1408" s="21">
        <v>29</v>
      </c>
      <c r="E1408" s="21" t="s">
        <v>313</v>
      </c>
      <c r="F1408" s="21">
        <v>0</v>
      </c>
      <c r="G1408" s="21">
        <v>41.85</v>
      </c>
      <c r="H1408" s="21">
        <v>1426.79</v>
      </c>
      <c r="I1408" s="21">
        <v>340.93</v>
      </c>
    </row>
    <row r="1409" spans="1:9" ht="15" customHeight="1" x14ac:dyDescent="0.3">
      <c r="A1409" s="21" t="s">
        <v>1763</v>
      </c>
      <c r="B1409" s="21">
        <v>2020</v>
      </c>
      <c r="C1409" s="21">
        <v>5</v>
      </c>
      <c r="D1409" s="21">
        <v>30</v>
      </c>
      <c r="E1409" s="21" t="s">
        <v>316</v>
      </c>
      <c r="F1409" s="21">
        <v>1</v>
      </c>
      <c r="G1409" s="21">
        <v>40.58</v>
      </c>
      <c r="H1409" s="21">
        <v>1383.42</v>
      </c>
      <c r="I1409" s="21">
        <v>340.91</v>
      </c>
    </row>
    <row r="1410" spans="1:9" ht="15" customHeight="1" x14ac:dyDescent="0.3">
      <c r="A1410" s="21" t="s">
        <v>1764</v>
      </c>
      <c r="B1410" s="21">
        <v>2020</v>
      </c>
      <c r="C1410" s="21">
        <v>5</v>
      </c>
      <c r="D1410" s="21">
        <v>31</v>
      </c>
      <c r="E1410" s="21" t="s">
        <v>319</v>
      </c>
      <c r="F1410" s="21">
        <v>1</v>
      </c>
      <c r="G1410" s="21">
        <v>38.020000000000003</v>
      </c>
      <c r="H1410" s="21">
        <v>1296.42</v>
      </c>
      <c r="I1410" s="21">
        <v>340.98</v>
      </c>
    </row>
    <row r="1411" spans="1:9" ht="15" customHeight="1" x14ac:dyDescent="0.3">
      <c r="A1411" s="21" t="s">
        <v>144</v>
      </c>
      <c r="B1411" s="21">
        <v>2020</v>
      </c>
      <c r="C1411" s="21">
        <v>6</v>
      </c>
      <c r="D1411" s="21">
        <v>1</v>
      </c>
      <c r="E1411" s="21" t="s">
        <v>299</v>
      </c>
      <c r="F1411" s="21">
        <v>0</v>
      </c>
      <c r="G1411" s="21">
        <v>52.33</v>
      </c>
      <c r="H1411" s="21">
        <v>1798.07</v>
      </c>
      <c r="I1411" s="21">
        <v>343.6</v>
      </c>
    </row>
    <row r="1412" spans="1:9" ht="15" customHeight="1" x14ac:dyDescent="0.3">
      <c r="A1412" s="21" t="s">
        <v>1765</v>
      </c>
      <c r="B1412" s="21">
        <v>2020</v>
      </c>
      <c r="C1412" s="21">
        <v>6</v>
      </c>
      <c r="D1412" s="21">
        <v>2</v>
      </c>
      <c r="E1412" s="21" t="s">
        <v>303</v>
      </c>
      <c r="F1412" s="21">
        <v>0</v>
      </c>
      <c r="G1412" s="21">
        <v>52.2</v>
      </c>
      <c r="H1412" s="21">
        <v>1793.67</v>
      </c>
      <c r="I1412" s="21">
        <v>343.61</v>
      </c>
    </row>
    <row r="1413" spans="1:9" ht="15" customHeight="1" x14ac:dyDescent="0.3">
      <c r="A1413" s="21" t="s">
        <v>1766</v>
      </c>
      <c r="B1413" s="21">
        <v>2020</v>
      </c>
      <c r="C1413" s="21">
        <v>6</v>
      </c>
      <c r="D1413" s="21">
        <v>3</v>
      </c>
      <c r="E1413" s="21" t="s">
        <v>307</v>
      </c>
      <c r="F1413" s="21">
        <v>0</v>
      </c>
      <c r="G1413" s="21">
        <v>46.26</v>
      </c>
      <c r="H1413" s="21">
        <v>1589.6</v>
      </c>
      <c r="I1413" s="21">
        <v>343.62</v>
      </c>
    </row>
    <row r="1414" spans="1:9" ht="15" customHeight="1" x14ac:dyDescent="0.3">
      <c r="A1414" s="21" t="s">
        <v>1767</v>
      </c>
      <c r="B1414" s="21">
        <v>2020</v>
      </c>
      <c r="C1414" s="21">
        <v>6</v>
      </c>
      <c r="D1414" s="21">
        <v>4</v>
      </c>
      <c r="E1414" s="21" t="s">
        <v>310</v>
      </c>
      <c r="F1414" s="21">
        <v>0</v>
      </c>
      <c r="G1414" s="21">
        <v>45.63</v>
      </c>
      <c r="H1414" s="21">
        <v>1568.11</v>
      </c>
      <c r="I1414" s="21">
        <v>343.66</v>
      </c>
    </row>
    <row r="1415" spans="1:9" ht="15" customHeight="1" x14ac:dyDescent="0.3">
      <c r="A1415" s="21" t="s">
        <v>1768</v>
      </c>
      <c r="B1415" s="21">
        <v>2020</v>
      </c>
      <c r="C1415" s="21">
        <v>6</v>
      </c>
      <c r="D1415" s="21">
        <v>5</v>
      </c>
      <c r="E1415" s="21" t="s">
        <v>313</v>
      </c>
      <c r="F1415" s="21">
        <v>0</v>
      </c>
      <c r="G1415" s="21">
        <v>49.58</v>
      </c>
      <c r="H1415" s="21">
        <v>1703.67</v>
      </c>
      <c r="I1415" s="21">
        <v>343.62</v>
      </c>
    </row>
    <row r="1416" spans="1:9" ht="15" customHeight="1" x14ac:dyDescent="0.3">
      <c r="A1416" s="21" t="s">
        <v>1769</v>
      </c>
      <c r="B1416" s="21">
        <v>2020</v>
      </c>
      <c r="C1416" s="21">
        <v>6</v>
      </c>
      <c r="D1416" s="21">
        <v>6</v>
      </c>
      <c r="E1416" s="21" t="s">
        <v>316</v>
      </c>
      <c r="F1416" s="21">
        <v>1</v>
      </c>
      <c r="G1416" s="21">
        <v>36.96</v>
      </c>
      <c r="H1416" s="21">
        <v>1269.9000000000001</v>
      </c>
      <c r="I1416" s="21">
        <v>343.59</v>
      </c>
    </row>
    <row r="1417" spans="1:9" ht="15" customHeight="1" x14ac:dyDescent="0.3">
      <c r="A1417" s="21" t="s">
        <v>1770</v>
      </c>
      <c r="B1417" s="21">
        <v>2020</v>
      </c>
      <c r="C1417" s="21">
        <v>6</v>
      </c>
      <c r="D1417" s="21">
        <v>7</v>
      </c>
      <c r="E1417" s="21" t="s">
        <v>319</v>
      </c>
      <c r="F1417" s="21">
        <v>1</v>
      </c>
      <c r="G1417" s="21">
        <v>36.06</v>
      </c>
      <c r="H1417" s="21">
        <v>1239.28</v>
      </c>
      <c r="I1417" s="21">
        <v>343.67</v>
      </c>
    </row>
    <row r="1418" spans="1:9" ht="15" customHeight="1" x14ac:dyDescent="0.3">
      <c r="A1418" s="21" t="s">
        <v>1771</v>
      </c>
      <c r="B1418" s="21">
        <v>2020</v>
      </c>
      <c r="C1418" s="21">
        <v>6</v>
      </c>
      <c r="D1418" s="21">
        <v>8</v>
      </c>
      <c r="E1418" s="21" t="s">
        <v>299</v>
      </c>
      <c r="F1418" s="21">
        <v>0</v>
      </c>
      <c r="G1418" s="21">
        <v>48.92</v>
      </c>
      <c r="H1418" s="21">
        <v>1680.89</v>
      </c>
      <c r="I1418" s="21">
        <v>343.6</v>
      </c>
    </row>
    <row r="1419" spans="1:9" ht="15" customHeight="1" x14ac:dyDescent="0.3">
      <c r="A1419" s="21" t="s">
        <v>1772</v>
      </c>
      <c r="B1419" s="21">
        <v>2020</v>
      </c>
      <c r="C1419" s="21">
        <v>6</v>
      </c>
      <c r="D1419" s="21">
        <v>9</v>
      </c>
      <c r="E1419" s="21" t="s">
        <v>303</v>
      </c>
      <c r="F1419" s="21">
        <v>0</v>
      </c>
      <c r="G1419" s="21">
        <v>44.24</v>
      </c>
      <c r="H1419" s="21">
        <v>1520.14</v>
      </c>
      <c r="I1419" s="21">
        <v>343.61</v>
      </c>
    </row>
    <row r="1420" spans="1:9" ht="15" customHeight="1" x14ac:dyDescent="0.3">
      <c r="A1420" s="21" t="s">
        <v>1773</v>
      </c>
      <c r="B1420" s="21">
        <v>2020</v>
      </c>
      <c r="C1420" s="21">
        <v>6</v>
      </c>
      <c r="D1420" s="21">
        <v>10</v>
      </c>
      <c r="E1420" s="21" t="s">
        <v>307</v>
      </c>
      <c r="F1420" s="21">
        <v>0</v>
      </c>
      <c r="G1420" s="21">
        <v>44.33</v>
      </c>
      <c r="H1420" s="21">
        <v>1523.45</v>
      </c>
      <c r="I1420" s="21">
        <v>343.66</v>
      </c>
    </row>
    <row r="1421" spans="1:9" ht="15" customHeight="1" x14ac:dyDescent="0.3">
      <c r="A1421" s="21" t="s">
        <v>1774</v>
      </c>
      <c r="B1421" s="21">
        <v>2020</v>
      </c>
      <c r="C1421" s="21">
        <v>6</v>
      </c>
      <c r="D1421" s="21">
        <v>11</v>
      </c>
      <c r="E1421" s="21" t="s">
        <v>310</v>
      </c>
      <c r="F1421" s="21">
        <v>0</v>
      </c>
      <c r="G1421" s="21">
        <v>46.45</v>
      </c>
      <c r="H1421" s="21">
        <v>1596.16</v>
      </c>
      <c r="I1421" s="21">
        <v>343.63</v>
      </c>
    </row>
    <row r="1422" spans="1:9" ht="15" customHeight="1" x14ac:dyDescent="0.3">
      <c r="A1422" s="21" t="s">
        <v>1775</v>
      </c>
      <c r="B1422" s="21">
        <v>2020</v>
      </c>
      <c r="C1422" s="21">
        <v>6</v>
      </c>
      <c r="D1422" s="21">
        <v>12</v>
      </c>
      <c r="E1422" s="21" t="s">
        <v>313</v>
      </c>
      <c r="F1422" s="21">
        <v>0</v>
      </c>
      <c r="G1422" s="21">
        <v>48.99</v>
      </c>
      <c r="H1422" s="21">
        <v>1683.41</v>
      </c>
      <c r="I1422" s="21">
        <v>343.62</v>
      </c>
    </row>
    <row r="1423" spans="1:9" ht="15" customHeight="1" x14ac:dyDescent="0.3">
      <c r="A1423" s="21" t="s">
        <v>1776</v>
      </c>
      <c r="B1423" s="21">
        <v>2020</v>
      </c>
      <c r="C1423" s="21">
        <v>6</v>
      </c>
      <c r="D1423" s="21">
        <v>13</v>
      </c>
      <c r="E1423" s="21" t="s">
        <v>316</v>
      </c>
      <c r="F1423" s="21">
        <v>1</v>
      </c>
      <c r="G1423" s="21">
        <v>38.58</v>
      </c>
      <c r="H1423" s="21">
        <v>1325.74</v>
      </c>
      <c r="I1423" s="21">
        <v>343.63</v>
      </c>
    </row>
    <row r="1424" spans="1:9" ht="15" customHeight="1" x14ac:dyDescent="0.3">
      <c r="A1424" s="21" t="s">
        <v>1777</v>
      </c>
      <c r="B1424" s="21">
        <v>2020</v>
      </c>
      <c r="C1424" s="21">
        <v>6</v>
      </c>
      <c r="D1424" s="21">
        <v>14</v>
      </c>
      <c r="E1424" s="21" t="s">
        <v>319</v>
      </c>
      <c r="F1424" s="21">
        <v>1</v>
      </c>
      <c r="G1424" s="21">
        <v>40.869999999999997</v>
      </c>
      <c r="H1424" s="21">
        <v>1404.45</v>
      </c>
      <c r="I1424" s="21">
        <v>343.64</v>
      </c>
    </row>
    <row r="1425" spans="1:9" ht="15" customHeight="1" x14ac:dyDescent="0.3">
      <c r="A1425" s="21" t="s">
        <v>1778</v>
      </c>
      <c r="B1425" s="21">
        <v>2020</v>
      </c>
      <c r="C1425" s="21">
        <v>6</v>
      </c>
      <c r="D1425" s="21">
        <v>15</v>
      </c>
      <c r="E1425" s="21" t="s">
        <v>299</v>
      </c>
      <c r="F1425" s="21">
        <v>0</v>
      </c>
      <c r="G1425" s="21">
        <v>46.04</v>
      </c>
      <c r="H1425" s="21">
        <v>1582.12</v>
      </c>
      <c r="I1425" s="21">
        <v>343.64</v>
      </c>
    </row>
    <row r="1426" spans="1:9" ht="15" customHeight="1" x14ac:dyDescent="0.3">
      <c r="A1426" s="21" t="s">
        <v>1779</v>
      </c>
      <c r="B1426" s="21">
        <v>2020</v>
      </c>
      <c r="C1426" s="21">
        <v>6</v>
      </c>
      <c r="D1426" s="21">
        <v>16</v>
      </c>
      <c r="E1426" s="21" t="s">
        <v>303</v>
      </c>
      <c r="F1426" s="21">
        <v>0</v>
      </c>
      <c r="G1426" s="21">
        <v>45.91</v>
      </c>
      <c r="H1426" s="21">
        <v>1577.73</v>
      </c>
      <c r="I1426" s="21">
        <v>343.66</v>
      </c>
    </row>
    <row r="1427" spans="1:9" ht="15" customHeight="1" x14ac:dyDescent="0.3">
      <c r="A1427" s="21" t="s">
        <v>1780</v>
      </c>
      <c r="B1427" s="21">
        <v>2020</v>
      </c>
      <c r="C1427" s="21">
        <v>6</v>
      </c>
      <c r="D1427" s="21">
        <v>17</v>
      </c>
      <c r="E1427" s="21" t="s">
        <v>307</v>
      </c>
      <c r="F1427" s="21">
        <v>0</v>
      </c>
      <c r="G1427" s="21">
        <v>44.75</v>
      </c>
      <c r="H1427" s="21">
        <v>1537.63</v>
      </c>
      <c r="I1427" s="21">
        <v>343.6</v>
      </c>
    </row>
    <row r="1428" spans="1:9" ht="15" customHeight="1" x14ac:dyDescent="0.3">
      <c r="A1428" s="21" t="s">
        <v>1781</v>
      </c>
      <c r="B1428" s="21">
        <v>2020</v>
      </c>
      <c r="C1428" s="21">
        <v>6</v>
      </c>
      <c r="D1428" s="21">
        <v>18</v>
      </c>
      <c r="E1428" s="21" t="s">
        <v>310</v>
      </c>
      <c r="F1428" s="21">
        <v>0</v>
      </c>
      <c r="G1428" s="21">
        <v>45.03</v>
      </c>
      <c r="H1428" s="21">
        <v>1547.37</v>
      </c>
      <c r="I1428" s="21">
        <v>343.63</v>
      </c>
    </row>
    <row r="1429" spans="1:9" ht="15" customHeight="1" x14ac:dyDescent="0.3">
      <c r="A1429" s="21" t="s">
        <v>1782</v>
      </c>
      <c r="B1429" s="21">
        <v>2020</v>
      </c>
      <c r="C1429" s="21">
        <v>6</v>
      </c>
      <c r="D1429" s="21">
        <v>19</v>
      </c>
      <c r="E1429" s="21" t="s">
        <v>313</v>
      </c>
      <c r="F1429" s="21">
        <v>0</v>
      </c>
      <c r="G1429" s="21">
        <v>50.29</v>
      </c>
      <c r="H1429" s="21">
        <v>1728.19</v>
      </c>
      <c r="I1429" s="21">
        <v>343.64</v>
      </c>
    </row>
    <row r="1430" spans="1:9" ht="15" customHeight="1" x14ac:dyDescent="0.3">
      <c r="A1430" s="21" t="s">
        <v>1783</v>
      </c>
      <c r="B1430" s="21">
        <v>2020</v>
      </c>
      <c r="C1430" s="21">
        <v>6</v>
      </c>
      <c r="D1430" s="21">
        <v>20</v>
      </c>
      <c r="E1430" s="21" t="s">
        <v>316</v>
      </c>
      <c r="F1430" s="21">
        <v>1</v>
      </c>
      <c r="G1430" s="21">
        <v>38.65</v>
      </c>
      <c r="H1430" s="21">
        <v>1328.14</v>
      </c>
      <c r="I1430" s="21">
        <v>343.63</v>
      </c>
    </row>
    <row r="1431" spans="1:9" ht="15" customHeight="1" x14ac:dyDescent="0.3">
      <c r="A1431" s="21" t="s">
        <v>1784</v>
      </c>
      <c r="B1431" s="21">
        <v>2020</v>
      </c>
      <c r="C1431" s="21">
        <v>6</v>
      </c>
      <c r="D1431" s="21">
        <v>21</v>
      </c>
      <c r="E1431" s="21" t="s">
        <v>319</v>
      </c>
      <c r="F1431" s="21">
        <v>1</v>
      </c>
      <c r="G1431" s="21">
        <v>38.69</v>
      </c>
      <c r="H1431" s="21">
        <v>1329.54</v>
      </c>
      <c r="I1431" s="21">
        <v>343.64</v>
      </c>
    </row>
    <row r="1432" spans="1:9" ht="15" customHeight="1" x14ac:dyDescent="0.3">
      <c r="A1432" s="21" t="s">
        <v>1785</v>
      </c>
      <c r="B1432" s="21">
        <v>2020</v>
      </c>
      <c r="C1432" s="21">
        <v>6</v>
      </c>
      <c r="D1432" s="21">
        <v>22</v>
      </c>
      <c r="E1432" s="21" t="s">
        <v>299</v>
      </c>
      <c r="F1432" s="21">
        <v>0</v>
      </c>
      <c r="G1432" s="21">
        <v>48.34</v>
      </c>
      <c r="H1432" s="21">
        <v>1661.14</v>
      </c>
      <c r="I1432" s="21">
        <v>343.64</v>
      </c>
    </row>
    <row r="1433" spans="1:9" ht="15" customHeight="1" x14ac:dyDescent="0.3">
      <c r="A1433" s="21" t="s">
        <v>1786</v>
      </c>
      <c r="B1433" s="21">
        <v>2020</v>
      </c>
      <c r="C1433" s="21">
        <v>6</v>
      </c>
      <c r="D1433" s="21">
        <v>23</v>
      </c>
      <c r="E1433" s="21" t="s">
        <v>303</v>
      </c>
      <c r="F1433" s="21">
        <v>0</v>
      </c>
      <c r="G1433" s="21">
        <v>44.18</v>
      </c>
      <c r="H1433" s="21">
        <v>1518.19</v>
      </c>
      <c r="I1433" s="21">
        <v>343.64</v>
      </c>
    </row>
    <row r="1434" spans="1:9" ht="15" customHeight="1" x14ac:dyDescent="0.3">
      <c r="A1434" s="21" t="s">
        <v>1787</v>
      </c>
      <c r="B1434" s="21">
        <v>2020</v>
      </c>
      <c r="C1434" s="21">
        <v>6</v>
      </c>
      <c r="D1434" s="21">
        <v>24</v>
      </c>
      <c r="E1434" s="21" t="s">
        <v>307</v>
      </c>
      <c r="F1434" s="21">
        <v>0</v>
      </c>
      <c r="G1434" s="21">
        <v>43.55</v>
      </c>
      <c r="H1434" s="21">
        <v>1496.35</v>
      </c>
      <c r="I1434" s="21">
        <v>343.59</v>
      </c>
    </row>
    <row r="1435" spans="1:9" ht="15" customHeight="1" x14ac:dyDescent="0.3">
      <c r="A1435" s="21" t="s">
        <v>1788</v>
      </c>
      <c r="B1435" s="21">
        <v>2020</v>
      </c>
      <c r="C1435" s="21">
        <v>6</v>
      </c>
      <c r="D1435" s="21">
        <v>25</v>
      </c>
      <c r="E1435" s="21" t="s">
        <v>310</v>
      </c>
      <c r="F1435" s="21">
        <v>0</v>
      </c>
      <c r="G1435" s="21">
        <v>43.27</v>
      </c>
      <c r="H1435" s="21">
        <v>1486.89</v>
      </c>
      <c r="I1435" s="21">
        <v>343.63</v>
      </c>
    </row>
    <row r="1436" spans="1:9" ht="15" customHeight="1" x14ac:dyDescent="0.3">
      <c r="A1436" s="21" t="s">
        <v>1789</v>
      </c>
      <c r="B1436" s="21">
        <v>2020</v>
      </c>
      <c r="C1436" s="21">
        <v>6</v>
      </c>
      <c r="D1436" s="21">
        <v>26</v>
      </c>
      <c r="E1436" s="21" t="s">
        <v>313</v>
      </c>
      <c r="F1436" s="21">
        <v>0</v>
      </c>
      <c r="G1436" s="21">
        <v>45.61</v>
      </c>
      <c r="H1436" s="21">
        <v>1567.25</v>
      </c>
      <c r="I1436" s="21">
        <v>343.62</v>
      </c>
    </row>
    <row r="1437" spans="1:9" ht="15" customHeight="1" x14ac:dyDescent="0.3">
      <c r="A1437" s="21" t="s">
        <v>1790</v>
      </c>
      <c r="B1437" s="21">
        <v>2020</v>
      </c>
      <c r="C1437" s="21">
        <v>6</v>
      </c>
      <c r="D1437" s="21">
        <v>27</v>
      </c>
      <c r="E1437" s="21" t="s">
        <v>316</v>
      </c>
      <c r="F1437" s="21">
        <v>1</v>
      </c>
      <c r="G1437" s="21">
        <v>40.729999999999997</v>
      </c>
      <c r="H1437" s="21">
        <v>1399.44</v>
      </c>
      <c r="I1437" s="21">
        <v>343.59</v>
      </c>
    </row>
    <row r="1438" spans="1:9" ht="15" customHeight="1" x14ac:dyDescent="0.3">
      <c r="A1438" s="21" t="s">
        <v>1791</v>
      </c>
      <c r="B1438" s="21">
        <v>2020</v>
      </c>
      <c r="C1438" s="21">
        <v>6</v>
      </c>
      <c r="D1438" s="21">
        <v>28</v>
      </c>
      <c r="E1438" s="21" t="s">
        <v>319</v>
      </c>
      <c r="F1438" s="21">
        <v>1</v>
      </c>
      <c r="G1438" s="21">
        <v>36.49</v>
      </c>
      <c r="H1438" s="21">
        <v>1253.95</v>
      </c>
      <c r="I1438" s="21">
        <v>343.64</v>
      </c>
    </row>
    <row r="1439" spans="1:9" ht="15" customHeight="1" x14ac:dyDescent="0.3">
      <c r="A1439" s="21" t="s">
        <v>1792</v>
      </c>
      <c r="B1439" s="21">
        <v>2020</v>
      </c>
      <c r="C1439" s="21">
        <v>6</v>
      </c>
      <c r="D1439" s="21">
        <v>29</v>
      </c>
      <c r="E1439" s="21" t="s">
        <v>299</v>
      </c>
      <c r="F1439" s="21">
        <v>0</v>
      </c>
      <c r="G1439" s="21">
        <v>53.6</v>
      </c>
      <c r="H1439" s="21">
        <v>1841.8</v>
      </c>
      <c r="I1439" s="21">
        <v>343.62</v>
      </c>
    </row>
    <row r="1440" spans="1:9" ht="15" customHeight="1" x14ac:dyDescent="0.3">
      <c r="A1440" s="21" t="s">
        <v>1793</v>
      </c>
      <c r="B1440" s="21">
        <v>2020</v>
      </c>
      <c r="C1440" s="21">
        <v>6</v>
      </c>
      <c r="D1440" s="21">
        <v>30</v>
      </c>
      <c r="E1440" s="21" t="s">
        <v>303</v>
      </c>
      <c r="F1440" s="21">
        <v>0</v>
      </c>
      <c r="G1440" s="21">
        <v>50.94</v>
      </c>
      <c r="H1440" s="21">
        <v>1750.59</v>
      </c>
      <c r="I1440" s="21">
        <v>343.66</v>
      </c>
    </row>
    <row r="1441" spans="1:9" ht="15" customHeight="1" x14ac:dyDescent="0.3">
      <c r="A1441" s="21" t="s">
        <v>145</v>
      </c>
      <c r="B1441" s="21">
        <v>2020</v>
      </c>
      <c r="C1441" s="21">
        <v>7</v>
      </c>
      <c r="D1441" s="21">
        <v>1</v>
      </c>
      <c r="E1441" s="21" t="s">
        <v>307</v>
      </c>
      <c r="F1441" s="21">
        <v>0</v>
      </c>
      <c r="G1441" s="21">
        <v>56.06</v>
      </c>
      <c r="H1441" s="21">
        <v>1927.17</v>
      </c>
      <c r="I1441" s="21">
        <v>343.77</v>
      </c>
    </row>
    <row r="1442" spans="1:9" ht="15" customHeight="1" x14ac:dyDescent="0.3">
      <c r="A1442" s="21" t="s">
        <v>1794</v>
      </c>
      <c r="B1442" s="21">
        <v>2020</v>
      </c>
      <c r="C1442" s="21">
        <v>7</v>
      </c>
      <c r="D1442" s="21">
        <v>2</v>
      </c>
      <c r="E1442" s="21" t="s">
        <v>310</v>
      </c>
      <c r="F1442" s="21">
        <v>0</v>
      </c>
      <c r="G1442" s="21">
        <v>56.91</v>
      </c>
      <c r="H1442" s="21">
        <v>1956.29</v>
      </c>
      <c r="I1442" s="21">
        <v>343.75</v>
      </c>
    </row>
    <row r="1443" spans="1:9" ht="15" customHeight="1" x14ac:dyDescent="0.3">
      <c r="A1443" s="21" t="s">
        <v>1795</v>
      </c>
      <c r="B1443" s="21">
        <v>2020</v>
      </c>
      <c r="C1443" s="21">
        <v>7</v>
      </c>
      <c r="D1443" s="21">
        <v>3</v>
      </c>
      <c r="E1443" s="21" t="s">
        <v>313</v>
      </c>
      <c r="F1443" s="21">
        <v>0</v>
      </c>
      <c r="G1443" s="21">
        <v>53.41</v>
      </c>
      <c r="H1443" s="21">
        <v>1836.19</v>
      </c>
      <c r="I1443" s="21">
        <v>343.79</v>
      </c>
    </row>
    <row r="1444" spans="1:9" ht="15" customHeight="1" x14ac:dyDescent="0.3">
      <c r="A1444" s="21" t="s">
        <v>1796</v>
      </c>
      <c r="B1444" s="21">
        <v>2020</v>
      </c>
      <c r="C1444" s="21">
        <v>7</v>
      </c>
      <c r="D1444" s="21">
        <v>4</v>
      </c>
      <c r="E1444" s="21" t="s">
        <v>316</v>
      </c>
      <c r="F1444" s="21">
        <v>1</v>
      </c>
      <c r="G1444" s="21">
        <v>40.21</v>
      </c>
      <c r="H1444" s="21">
        <v>1382.37</v>
      </c>
      <c r="I1444" s="21">
        <v>343.79</v>
      </c>
    </row>
    <row r="1445" spans="1:9" ht="15" customHeight="1" x14ac:dyDescent="0.3">
      <c r="A1445" s="21" t="s">
        <v>1797</v>
      </c>
      <c r="B1445" s="21">
        <v>2020</v>
      </c>
      <c r="C1445" s="21">
        <v>7</v>
      </c>
      <c r="D1445" s="21">
        <v>5</v>
      </c>
      <c r="E1445" s="21" t="s">
        <v>319</v>
      </c>
      <c r="F1445" s="21">
        <v>1</v>
      </c>
      <c r="G1445" s="21">
        <v>40.82</v>
      </c>
      <c r="H1445" s="21">
        <v>1403.09</v>
      </c>
      <c r="I1445" s="21">
        <v>343.73</v>
      </c>
    </row>
    <row r="1446" spans="1:9" ht="15" customHeight="1" x14ac:dyDescent="0.3">
      <c r="A1446" s="21" t="s">
        <v>1798</v>
      </c>
      <c r="B1446" s="21">
        <v>2020</v>
      </c>
      <c r="C1446" s="21">
        <v>7</v>
      </c>
      <c r="D1446" s="21">
        <v>6</v>
      </c>
      <c r="E1446" s="21" t="s">
        <v>299</v>
      </c>
      <c r="F1446" s="21">
        <v>0</v>
      </c>
      <c r="G1446" s="21">
        <v>51.13</v>
      </c>
      <c r="H1446" s="21">
        <v>1757.58</v>
      </c>
      <c r="I1446" s="21">
        <v>343.75</v>
      </c>
    </row>
    <row r="1447" spans="1:9" ht="15" customHeight="1" x14ac:dyDescent="0.3">
      <c r="A1447" s="21" t="s">
        <v>1799</v>
      </c>
      <c r="B1447" s="21">
        <v>2020</v>
      </c>
      <c r="C1447" s="21">
        <v>7</v>
      </c>
      <c r="D1447" s="21">
        <v>7</v>
      </c>
      <c r="E1447" s="21" t="s">
        <v>303</v>
      </c>
      <c r="F1447" s="21">
        <v>0</v>
      </c>
      <c r="G1447" s="21">
        <v>47.94</v>
      </c>
      <c r="H1447" s="21">
        <v>1648.1</v>
      </c>
      <c r="I1447" s="21">
        <v>343.78</v>
      </c>
    </row>
    <row r="1448" spans="1:9" ht="15" customHeight="1" x14ac:dyDescent="0.3">
      <c r="A1448" s="21" t="s">
        <v>1800</v>
      </c>
      <c r="B1448" s="21">
        <v>2020</v>
      </c>
      <c r="C1448" s="21">
        <v>7</v>
      </c>
      <c r="D1448" s="21">
        <v>8</v>
      </c>
      <c r="E1448" s="21" t="s">
        <v>307</v>
      </c>
      <c r="F1448" s="21">
        <v>0</v>
      </c>
      <c r="G1448" s="21">
        <v>50.63</v>
      </c>
      <c r="H1448" s="21">
        <v>1740.55</v>
      </c>
      <c r="I1448" s="21">
        <v>343.78</v>
      </c>
    </row>
    <row r="1449" spans="1:9" ht="15" customHeight="1" x14ac:dyDescent="0.3">
      <c r="A1449" s="21" t="s">
        <v>1801</v>
      </c>
      <c r="B1449" s="21">
        <v>2020</v>
      </c>
      <c r="C1449" s="21">
        <v>7</v>
      </c>
      <c r="D1449" s="21">
        <v>9</v>
      </c>
      <c r="E1449" s="21" t="s">
        <v>310</v>
      </c>
      <c r="F1449" s="21">
        <v>0</v>
      </c>
      <c r="G1449" s="21">
        <v>49.01</v>
      </c>
      <c r="H1449" s="21">
        <v>1684.94</v>
      </c>
      <c r="I1449" s="21">
        <v>343.8</v>
      </c>
    </row>
    <row r="1450" spans="1:9" ht="15" customHeight="1" x14ac:dyDescent="0.3">
      <c r="A1450" s="21" t="s">
        <v>1802</v>
      </c>
      <c r="B1450" s="21">
        <v>2020</v>
      </c>
      <c r="C1450" s="21">
        <v>7</v>
      </c>
      <c r="D1450" s="21">
        <v>10</v>
      </c>
      <c r="E1450" s="21" t="s">
        <v>313</v>
      </c>
      <c r="F1450" s="21">
        <v>0</v>
      </c>
      <c r="G1450" s="21">
        <v>53.23</v>
      </c>
      <c r="H1450" s="21">
        <v>1829.93</v>
      </c>
      <c r="I1450" s="21">
        <v>343.78</v>
      </c>
    </row>
    <row r="1451" spans="1:9" ht="15" customHeight="1" x14ac:dyDescent="0.3">
      <c r="A1451" s="21" t="s">
        <v>1803</v>
      </c>
      <c r="B1451" s="21">
        <v>2020</v>
      </c>
      <c r="C1451" s="21">
        <v>7</v>
      </c>
      <c r="D1451" s="21">
        <v>11</v>
      </c>
      <c r="E1451" s="21" t="s">
        <v>316</v>
      </c>
      <c r="F1451" s="21">
        <v>1</v>
      </c>
      <c r="G1451" s="21">
        <v>42.02</v>
      </c>
      <c r="H1451" s="21">
        <v>1444.43</v>
      </c>
      <c r="I1451" s="21">
        <v>343.75</v>
      </c>
    </row>
    <row r="1452" spans="1:9" ht="15" customHeight="1" x14ac:dyDescent="0.3">
      <c r="A1452" s="21" t="s">
        <v>1804</v>
      </c>
      <c r="B1452" s="21">
        <v>2020</v>
      </c>
      <c r="C1452" s="21">
        <v>7</v>
      </c>
      <c r="D1452" s="21">
        <v>12</v>
      </c>
      <c r="E1452" s="21" t="s">
        <v>319</v>
      </c>
      <c r="F1452" s="21">
        <v>1</v>
      </c>
      <c r="G1452" s="21">
        <v>42.76</v>
      </c>
      <c r="H1452" s="21">
        <v>1469.87</v>
      </c>
      <c r="I1452" s="21">
        <v>343.75</v>
      </c>
    </row>
    <row r="1453" spans="1:9" ht="15" customHeight="1" x14ac:dyDescent="0.3">
      <c r="A1453" s="21" t="s">
        <v>1805</v>
      </c>
      <c r="B1453" s="21">
        <v>2020</v>
      </c>
      <c r="C1453" s="21">
        <v>7</v>
      </c>
      <c r="D1453" s="21">
        <v>13</v>
      </c>
      <c r="E1453" s="21" t="s">
        <v>299</v>
      </c>
      <c r="F1453" s="21">
        <v>0</v>
      </c>
      <c r="G1453" s="21">
        <v>50.98</v>
      </c>
      <c r="H1453" s="21">
        <v>1752.53</v>
      </c>
      <c r="I1453" s="21">
        <v>343.77</v>
      </c>
    </row>
    <row r="1454" spans="1:9" ht="15" customHeight="1" x14ac:dyDescent="0.3">
      <c r="A1454" s="21" t="s">
        <v>1806</v>
      </c>
      <c r="B1454" s="21">
        <v>2020</v>
      </c>
      <c r="C1454" s="21">
        <v>7</v>
      </c>
      <c r="D1454" s="21">
        <v>14</v>
      </c>
      <c r="E1454" s="21" t="s">
        <v>303</v>
      </c>
      <c r="F1454" s="21">
        <v>0</v>
      </c>
      <c r="G1454" s="21">
        <v>46.42</v>
      </c>
      <c r="H1454" s="21">
        <v>1595.88</v>
      </c>
      <c r="I1454" s="21">
        <v>343.79</v>
      </c>
    </row>
    <row r="1455" spans="1:9" ht="15" customHeight="1" x14ac:dyDescent="0.3">
      <c r="A1455" s="21" t="s">
        <v>1807</v>
      </c>
      <c r="B1455" s="21">
        <v>2020</v>
      </c>
      <c r="C1455" s="21">
        <v>7</v>
      </c>
      <c r="D1455" s="21">
        <v>15</v>
      </c>
      <c r="E1455" s="21" t="s">
        <v>307</v>
      </c>
      <c r="F1455" s="21">
        <v>0</v>
      </c>
      <c r="G1455" s="21">
        <v>48.88</v>
      </c>
      <c r="H1455" s="21">
        <v>1680.39</v>
      </c>
      <c r="I1455" s="21">
        <v>343.78</v>
      </c>
    </row>
    <row r="1456" spans="1:9" ht="15" customHeight="1" x14ac:dyDescent="0.3">
      <c r="A1456" s="21" t="s">
        <v>1808</v>
      </c>
      <c r="B1456" s="21">
        <v>2020</v>
      </c>
      <c r="C1456" s="21">
        <v>7</v>
      </c>
      <c r="D1456" s="21">
        <v>16</v>
      </c>
      <c r="E1456" s="21" t="s">
        <v>310</v>
      </c>
      <c r="F1456" s="21">
        <v>0</v>
      </c>
      <c r="G1456" s="21">
        <v>47.36</v>
      </c>
      <c r="H1456" s="21">
        <v>1628.04</v>
      </c>
      <c r="I1456" s="21">
        <v>343.76</v>
      </c>
    </row>
    <row r="1457" spans="1:9" ht="15" customHeight="1" x14ac:dyDescent="0.3">
      <c r="A1457" s="21" t="s">
        <v>1809</v>
      </c>
      <c r="B1457" s="21">
        <v>2020</v>
      </c>
      <c r="C1457" s="21">
        <v>7</v>
      </c>
      <c r="D1457" s="21">
        <v>17</v>
      </c>
      <c r="E1457" s="21" t="s">
        <v>313</v>
      </c>
      <c r="F1457" s="21">
        <v>0</v>
      </c>
      <c r="G1457" s="21">
        <v>51.4</v>
      </c>
      <c r="H1457" s="21">
        <v>1766.99</v>
      </c>
      <c r="I1457" s="21">
        <v>343.77</v>
      </c>
    </row>
    <row r="1458" spans="1:9" ht="15" customHeight="1" x14ac:dyDescent="0.3">
      <c r="A1458" s="21" t="s">
        <v>1810</v>
      </c>
      <c r="B1458" s="21">
        <v>2020</v>
      </c>
      <c r="C1458" s="21">
        <v>7</v>
      </c>
      <c r="D1458" s="21">
        <v>18</v>
      </c>
      <c r="E1458" s="21" t="s">
        <v>316</v>
      </c>
      <c r="F1458" s="21">
        <v>1</v>
      </c>
      <c r="G1458" s="21">
        <v>41.91</v>
      </c>
      <c r="H1458" s="21">
        <v>1440.62</v>
      </c>
      <c r="I1458" s="21">
        <v>343.74</v>
      </c>
    </row>
    <row r="1459" spans="1:9" ht="15" customHeight="1" x14ac:dyDescent="0.3">
      <c r="A1459" s="21" t="s">
        <v>1811</v>
      </c>
      <c r="B1459" s="21">
        <v>2020</v>
      </c>
      <c r="C1459" s="21">
        <v>7</v>
      </c>
      <c r="D1459" s="21">
        <v>19</v>
      </c>
      <c r="E1459" s="21" t="s">
        <v>319</v>
      </c>
      <c r="F1459" s="21">
        <v>1</v>
      </c>
      <c r="G1459" s="21">
        <v>42.85</v>
      </c>
      <c r="H1459" s="21">
        <v>1473.1</v>
      </c>
      <c r="I1459" s="21">
        <v>343.78</v>
      </c>
    </row>
    <row r="1460" spans="1:9" ht="15" customHeight="1" x14ac:dyDescent="0.3">
      <c r="A1460" s="21" t="s">
        <v>1812</v>
      </c>
      <c r="B1460" s="21">
        <v>2020</v>
      </c>
      <c r="C1460" s="21">
        <v>7</v>
      </c>
      <c r="D1460" s="21">
        <v>20</v>
      </c>
      <c r="E1460" s="21" t="s">
        <v>299</v>
      </c>
      <c r="F1460" s="21">
        <v>0</v>
      </c>
      <c r="G1460" s="21">
        <v>50.75</v>
      </c>
      <c r="H1460" s="21">
        <v>1744.57</v>
      </c>
      <c r="I1460" s="21">
        <v>343.76</v>
      </c>
    </row>
    <row r="1461" spans="1:9" ht="15" customHeight="1" x14ac:dyDescent="0.3">
      <c r="A1461" s="21" t="s">
        <v>1813</v>
      </c>
      <c r="B1461" s="21">
        <v>2020</v>
      </c>
      <c r="C1461" s="21">
        <v>7</v>
      </c>
      <c r="D1461" s="21">
        <v>21</v>
      </c>
      <c r="E1461" s="21" t="s">
        <v>303</v>
      </c>
      <c r="F1461" s="21">
        <v>0</v>
      </c>
      <c r="G1461" s="21">
        <v>48.75</v>
      </c>
      <c r="H1461" s="21">
        <v>1675.87</v>
      </c>
      <c r="I1461" s="21">
        <v>343.77</v>
      </c>
    </row>
    <row r="1462" spans="1:9" ht="15" customHeight="1" x14ac:dyDescent="0.3">
      <c r="A1462" s="21" t="s">
        <v>1814</v>
      </c>
      <c r="B1462" s="21">
        <v>2020</v>
      </c>
      <c r="C1462" s="21">
        <v>7</v>
      </c>
      <c r="D1462" s="21">
        <v>22</v>
      </c>
      <c r="E1462" s="21" t="s">
        <v>307</v>
      </c>
      <c r="F1462" s="21">
        <v>0</v>
      </c>
      <c r="G1462" s="21">
        <v>50.77</v>
      </c>
      <c r="H1462" s="21">
        <v>1745.28</v>
      </c>
      <c r="I1462" s="21">
        <v>343.76</v>
      </c>
    </row>
    <row r="1463" spans="1:9" ht="15" customHeight="1" x14ac:dyDescent="0.3">
      <c r="A1463" s="21" t="s">
        <v>1815</v>
      </c>
      <c r="B1463" s="21">
        <v>2020</v>
      </c>
      <c r="C1463" s="21">
        <v>7</v>
      </c>
      <c r="D1463" s="21">
        <v>23</v>
      </c>
      <c r="E1463" s="21" t="s">
        <v>310</v>
      </c>
      <c r="F1463" s="21">
        <v>0</v>
      </c>
      <c r="G1463" s="21">
        <v>48.65</v>
      </c>
      <c r="H1463" s="21">
        <v>1672.48</v>
      </c>
      <c r="I1463" s="21">
        <v>343.78</v>
      </c>
    </row>
    <row r="1464" spans="1:9" ht="15" customHeight="1" x14ac:dyDescent="0.3">
      <c r="A1464" s="21" t="s">
        <v>1816</v>
      </c>
      <c r="B1464" s="21">
        <v>2020</v>
      </c>
      <c r="C1464" s="21">
        <v>7</v>
      </c>
      <c r="D1464" s="21">
        <v>24</v>
      </c>
      <c r="E1464" s="21" t="s">
        <v>313</v>
      </c>
      <c r="F1464" s="21">
        <v>0</v>
      </c>
      <c r="G1464" s="21">
        <v>55.94</v>
      </c>
      <c r="H1464" s="21">
        <v>1922.92</v>
      </c>
      <c r="I1464" s="21">
        <v>343.75</v>
      </c>
    </row>
    <row r="1465" spans="1:9" ht="15" customHeight="1" x14ac:dyDescent="0.3">
      <c r="A1465" s="21" t="s">
        <v>1817</v>
      </c>
      <c r="B1465" s="21">
        <v>2020</v>
      </c>
      <c r="C1465" s="21">
        <v>7</v>
      </c>
      <c r="D1465" s="21">
        <v>25</v>
      </c>
      <c r="E1465" s="21" t="s">
        <v>316</v>
      </c>
      <c r="F1465" s="21">
        <v>1</v>
      </c>
      <c r="G1465" s="21">
        <v>41.88</v>
      </c>
      <c r="H1465" s="21">
        <v>1439.58</v>
      </c>
      <c r="I1465" s="21">
        <v>343.74</v>
      </c>
    </row>
    <row r="1466" spans="1:9" ht="15" customHeight="1" x14ac:dyDescent="0.3">
      <c r="A1466" s="21" t="s">
        <v>1818</v>
      </c>
      <c r="B1466" s="21">
        <v>2020</v>
      </c>
      <c r="C1466" s="21">
        <v>7</v>
      </c>
      <c r="D1466" s="21">
        <v>26</v>
      </c>
      <c r="E1466" s="21" t="s">
        <v>319</v>
      </c>
      <c r="F1466" s="21">
        <v>1</v>
      </c>
      <c r="G1466" s="21">
        <v>38.51</v>
      </c>
      <c r="H1466" s="21">
        <v>1323.7</v>
      </c>
      <c r="I1466" s="21">
        <v>343.73</v>
      </c>
    </row>
    <row r="1467" spans="1:9" ht="15" customHeight="1" x14ac:dyDescent="0.3">
      <c r="A1467" s="21" t="s">
        <v>1819</v>
      </c>
      <c r="B1467" s="21">
        <v>2020</v>
      </c>
      <c r="C1467" s="21">
        <v>7</v>
      </c>
      <c r="D1467" s="21">
        <v>27</v>
      </c>
      <c r="E1467" s="21" t="s">
        <v>299</v>
      </c>
      <c r="F1467" s="21">
        <v>0</v>
      </c>
      <c r="G1467" s="21">
        <v>51.81</v>
      </c>
      <c r="H1467" s="21">
        <v>1781.04</v>
      </c>
      <c r="I1467" s="21">
        <v>343.76</v>
      </c>
    </row>
    <row r="1468" spans="1:9" ht="15" customHeight="1" x14ac:dyDescent="0.3">
      <c r="A1468" s="21" t="s">
        <v>1820</v>
      </c>
      <c r="B1468" s="21">
        <v>2020</v>
      </c>
      <c r="C1468" s="21">
        <v>7</v>
      </c>
      <c r="D1468" s="21">
        <v>28</v>
      </c>
      <c r="E1468" s="21" t="s">
        <v>303</v>
      </c>
      <c r="F1468" s="21">
        <v>0</v>
      </c>
      <c r="G1468" s="21">
        <v>48.86</v>
      </c>
      <c r="H1468" s="21">
        <v>1679.47</v>
      </c>
      <c r="I1468" s="21">
        <v>343.73</v>
      </c>
    </row>
    <row r="1469" spans="1:9" ht="15" customHeight="1" x14ac:dyDescent="0.3">
      <c r="A1469" s="21" t="s">
        <v>1821</v>
      </c>
      <c r="B1469" s="21">
        <v>2020</v>
      </c>
      <c r="C1469" s="21">
        <v>7</v>
      </c>
      <c r="D1469" s="21">
        <v>29</v>
      </c>
      <c r="E1469" s="21" t="s">
        <v>307</v>
      </c>
      <c r="F1469" s="21">
        <v>0</v>
      </c>
      <c r="G1469" s="21">
        <v>50.17</v>
      </c>
      <c r="H1469" s="21">
        <v>1724.73</v>
      </c>
      <c r="I1469" s="21">
        <v>343.78</v>
      </c>
    </row>
    <row r="1470" spans="1:9" ht="15" customHeight="1" x14ac:dyDescent="0.3">
      <c r="A1470" s="21" t="s">
        <v>1822</v>
      </c>
      <c r="B1470" s="21">
        <v>2020</v>
      </c>
      <c r="C1470" s="21">
        <v>7</v>
      </c>
      <c r="D1470" s="21">
        <v>30</v>
      </c>
      <c r="E1470" s="21" t="s">
        <v>310</v>
      </c>
      <c r="F1470" s="21">
        <v>0</v>
      </c>
      <c r="G1470" s="21">
        <v>56.67</v>
      </c>
      <c r="H1470" s="21">
        <v>1948.12</v>
      </c>
      <c r="I1470" s="21">
        <v>343.77</v>
      </c>
    </row>
    <row r="1471" spans="1:9" ht="15" customHeight="1" x14ac:dyDescent="0.3">
      <c r="A1471" s="21" t="s">
        <v>1823</v>
      </c>
      <c r="B1471" s="21">
        <v>2020</v>
      </c>
      <c r="C1471" s="21">
        <v>7</v>
      </c>
      <c r="D1471" s="21">
        <v>31</v>
      </c>
      <c r="E1471" s="21" t="s">
        <v>313</v>
      </c>
      <c r="F1471" s="21">
        <v>0</v>
      </c>
      <c r="G1471" s="21">
        <v>59.76</v>
      </c>
      <c r="H1471" s="21">
        <v>2054.39</v>
      </c>
      <c r="I1471" s="21">
        <v>343.77</v>
      </c>
    </row>
    <row r="1472" spans="1:9" ht="15" customHeight="1" x14ac:dyDescent="0.3">
      <c r="A1472" s="21" t="s">
        <v>146</v>
      </c>
      <c r="B1472" s="21">
        <v>2020</v>
      </c>
      <c r="C1472" s="21">
        <v>8</v>
      </c>
      <c r="D1472" s="21">
        <v>1</v>
      </c>
      <c r="E1472" s="21" t="s">
        <v>316</v>
      </c>
      <c r="F1472" s="21">
        <v>1</v>
      </c>
      <c r="G1472" s="21">
        <v>48.84</v>
      </c>
      <c r="H1472" s="21">
        <v>1729.03</v>
      </c>
      <c r="I1472" s="21">
        <v>354.02</v>
      </c>
    </row>
    <row r="1473" spans="1:9" ht="15" customHeight="1" x14ac:dyDescent="0.3">
      <c r="A1473" s="21" t="s">
        <v>1824</v>
      </c>
      <c r="B1473" s="21">
        <v>2020</v>
      </c>
      <c r="C1473" s="21">
        <v>8</v>
      </c>
      <c r="D1473" s="21">
        <v>2</v>
      </c>
      <c r="E1473" s="21" t="s">
        <v>319</v>
      </c>
      <c r="F1473" s="21">
        <v>1</v>
      </c>
      <c r="G1473" s="21">
        <v>50.67</v>
      </c>
      <c r="H1473" s="21">
        <v>1793.78</v>
      </c>
      <c r="I1473" s="21">
        <v>354.01</v>
      </c>
    </row>
    <row r="1474" spans="1:9" ht="15" customHeight="1" x14ac:dyDescent="0.3">
      <c r="A1474" s="21" t="s">
        <v>1825</v>
      </c>
      <c r="B1474" s="21">
        <v>2020</v>
      </c>
      <c r="C1474" s="21">
        <v>8</v>
      </c>
      <c r="D1474" s="21">
        <v>3</v>
      </c>
      <c r="E1474" s="21" t="s">
        <v>299</v>
      </c>
      <c r="F1474" s="21">
        <v>0</v>
      </c>
      <c r="G1474" s="21">
        <v>53.5</v>
      </c>
      <c r="H1474" s="21">
        <v>1893.97</v>
      </c>
      <c r="I1474" s="21">
        <v>354.01</v>
      </c>
    </row>
    <row r="1475" spans="1:9" ht="15" customHeight="1" x14ac:dyDescent="0.3">
      <c r="A1475" s="21" t="s">
        <v>1826</v>
      </c>
      <c r="B1475" s="21">
        <v>2020</v>
      </c>
      <c r="C1475" s="21">
        <v>8</v>
      </c>
      <c r="D1475" s="21">
        <v>4</v>
      </c>
      <c r="E1475" s="21" t="s">
        <v>303</v>
      </c>
      <c r="F1475" s="21">
        <v>0</v>
      </c>
      <c r="G1475" s="21">
        <v>51.31</v>
      </c>
      <c r="H1475" s="21">
        <v>1816.51</v>
      </c>
      <c r="I1475" s="21">
        <v>354.03</v>
      </c>
    </row>
    <row r="1476" spans="1:9" ht="15" customHeight="1" x14ac:dyDescent="0.3">
      <c r="A1476" s="21" t="s">
        <v>1827</v>
      </c>
      <c r="B1476" s="21">
        <v>2020</v>
      </c>
      <c r="C1476" s="21">
        <v>8</v>
      </c>
      <c r="D1476" s="21">
        <v>5</v>
      </c>
      <c r="E1476" s="21" t="s">
        <v>307</v>
      </c>
      <c r="F1476" s="21">
        <v>0</v>
      </c>
      <c r="G1476" s="21">
        <v>53.14</v>
      </c>
      <c r="H1476" s="21">
        <v>1881.35</v>
      </c>
      <c r="I1476" s="21">
        <v>354.04</v>
      </c>
    </row>
    <row r="1477" spans="1:9" ht="15" customHeight="1" x14ac:dyDescent="0.3">
      <c r="A1477" s="21" t="s">
        <v>1828</v>
      </c>
      <c r="B1477" s="21">
        <v>2020</v>
      </c>
      <c r="C1477" s="21">
        <v>8</v>
      </c>
      <c r="D1477" s="21">
        <v>6</v>
      </c>
      <c r="E1477" s="21" t="s">
        <v>310</v>
      </c>
      <c r="F1477" s="21">
        <v>0</v>
      </c>
      <c r="G1477" s="21">
        <v>54.84</v>
      </c>
      <c r="H1477" s="21">
        <v>1941.32</v>
      </c>
      <c r="I1477" s="21">
        <v>354</v>
      </c>
    </row>
    <row r="1478" spans="1:9" ht="15" customHeight="1" x14ac:dyDescent="0.3">
      <c r="A1478" s="21" t="s">
        <v>1829</v>
      </c>
      <c r="B1478" s="21">
        <v>2020</v>
      </c>
      <c r="C1478" s="21">
        <v>8</v>
      </c>
      <c r="D1478" s="21">
        <v>7</v>
      </c>
      <c r="E1478" s="21" t="s">
        <v>313</v>
      </c>
      <c r="F1478" s="21">
        <v>0</v>
      </c>
      <c r="G1478" s="21">
        <v>57.02</v>
      </c>
      <c r="H1478" s="21">
        <v>2018.5</v>
      </c>
      <c r="I1478" s="21">
        <v>354</v>
      </c>
    </row>
    <row r="1479" spans="1:9" ht="15" customHeight="1" x14ac:dyDescent="0.3">
      <c r="A1479" s="21" t="s">
        <v>1830</v>
      </c>
      <c r="B1479" s="21">
        <v>2020</v>
      </c>
      <c r="C1479" s="21">
        <v>8</v>
      </c>
      <c r="D1479" s="21">
        <v>8</v>
      </c>
      <c r="E1479" s="21" t="s">
        <v>316</v>
      </c>
      <c r="F1479" s="21">
        <v>1</v>
      </c>
      <c r="G1479" s="21">
        <v>42.51</v>
      </c>
      <c r="H1479" s="21">
        <v>1505.08</v>
      </c>
      <c r="I1479" s="21">
        <v>354.05</v>
      </c>
    </row>
    <row r="1480" spans="1:9" ht="15" customHeight="1" x14ac:dyDescent="0.3">
      <c r="A1480" s="21" t="s">
        <v>1831</v>
      </c>
      <c r="B1480" s="21">
        <v>2020</v>
      </c>
      <c r="C1480" s="21">
        <v>8</v>
      </c>
      <c r="D1480" s="21">
        <v>9</v>
      </c>
      <c r="E1480" s="21" t="s">
        <v>319</v>
      </c>
      <c r="F1480" s="21">
        <v>1</v>
      </c>
      <c r="G1480" s="21">
        <v>45.08</v>
      </c>
      <c r="H1480" s="21">
        <v>1596.06</v>
      </c>
      <c r="I1480" s="21">
        <v>354.05</v>
      </c>
    </row>
    <row r="1481" spans="1:9" ht="15" customHeight="1" x14ac:dyDescent="0.3">
      <c r="A1481" s="21" t="s">
        <v>1832</v>
      </c>
      <c r="B1481" s="21">
        <v>2020</v>
      </c>
      <c r="C1481" s="21">
        <v>8</v>
      </c>
      <c r="D1481" s="21">
        <v>10</v>
      </c>
      <c r="E1481" s="21" t="s">
        <v>299</v>
      </c>
      <c r="F1481" s="21">
        <v>0</v>
      </c>
      <c r="G1481" s="21">
        <v>56.7</v>
      </c>
      <c r="H1481" s="21">
        <v>2007.51</v>
      </c>
      <c r="I1481" s="21">
        <v>354.06</v>
      </c>
    </row>
    <row r="1482" spans="1:9" ht="15" customHeight="1" x14ac:dyDescent="0.3">
      <c r="A1482" s="21" t="s">
        <v>1833</v>
      </c>
      <c r="B1482" s="21">
        <v>2020</v>
      </c>
      <c r="C1482" s="21">
        <v>8</v>
      </c>
      <c r="D1482" s="21">
        <v>11</v>
      </c>
      <c r="E1482" s="21" t="s">
        <v>303</v>
      </c>
      <c r="F1482" s="21">
        <v>0</v>
      </c>
      <c r="G1482" s="21">
        <v>51.26</v>
      </c>
      <c r="H1482" s="21">
        <v>1814.89</v>
      </c>
      <c r="I1482" s="21">
        <v>354.06</v>
      </c>
    </row>
    <row r="1483" spans="1:9" ht="15" customHeight="1" x14ac:dyDescent="0.3">
      <c r="A1483" s="21" t="s">
        <v>1834</v>
      </c>
      <c r="B1483" s="21">
        <v>2020</v>
      </c>
      <c r="C1483" s="21">
        <v>8</v>
      </c>
      <c r="D1483" s="21">
        <v>12</v>
      </c>
      <c r="E1483" s="21" t="s">
        <v>307</v>
      </c>
      <c r="F1483" s="21">
        <v>0</v>
      </c>
      <c r="G1483" s="21">
        <v>52.01</v>
      </c>
      <c r="H1483" s="21">
        <v>1841.28</v>
      </c>
      <c r="I1483" s="21">
        <v>354.02</v>
      </c>
    </row>
    <row r="1484" spans="1:9" ht="15" customHeight="1" x14ac:dyDescent="0.3">
      <c r="A1484" s="21" t="s">
        <v>1835</v>
      </c>
      <c r="B1484" s="21">
        <v>2020</v>
      </c>
      <c r="C1484" s="21">
        <v>8</v>
      </c>
      <c r="D1484" s="21">
        <v>13</v>
      </c>
      <c r="E1484" s="21" t="s">
        <v>310</v>
      </c>
      <c r="F1484" s="21">
        <v>0</v>
      </c>
      <c r="G1484" s="21">
        <v>52.24</v>
      </c>
      <c r="H1484" s="21">
        <v>1849.52</v>
      </c>
      <c r="I1484" s="21">
        <v>354.04</v>
      </c>
    </row>
    <row r="1485" spans="1:9" ht="15" customHeight="1" x14ac:dyDescent="0.3">
      <c r="A1485" s="21" t="s">
        <v>1836</v>
      </c>
      <c r="B1485" s="21">
        <v>2020</v>
      </c>
      <c r="C1485" s="21">
        <v>8</v>
      </c>
      <c r="D1485" s="21">
        <v>14</v>
      </c>
      <c r="E1485" s="21" t="s">
        <v>313</v>
      </c>
      <c r="F1485" s="21">
        <v>0</v>
      </c>
      <c r="G1485" s="21">
        <v>55.17</v>
      </c>
      <c r="H1485" s="21">
        <v>1953.07</v>
      </c>
      <c r="I1485" s="21">
        <v>354.01</v>
      </c>
    </row>
    <row r="1486" spans="1:9" ht="15" customHeight="1" x14ac:dyDescent="0.3">
      <c r="A1486" s="21" t="s">
        <v>1837</v>
      </c>
      <c r="B1486" s="21">
        <v>2020</v>
      </c>
      <c r="C1486" s="21">
        <v>8</v>
      </c>
      <c r="D1486" s="21">
        <v>15</v>
      </c>
      <c r="E1486" s="21" t="s">
        <v>316</v>
      </c>
      <c r="F1486" s="21">
        <v>1</v>
      </c>
      <c r="G1486" s="21">
        <v>45.4</v>
      </c>
      <c r="H1486" s="21">
        <v>1607.36</v>
      </c>
      <c r="I1486" s="21">
        <v>354.04</v>
      </c>
    </row>
    <row r="1487" spans="1:9" ht="15" customHeight="1" x14ac:dyDescent="0.3">
      <c r="A1487" s="21" t="s">
        <v>1838</v>
      </c>
      <c r="B1487" s="21">
        <v>2020</v>
      </c>
      <c r="C1487" s="21">
        <v>8</v>
      </c>
      <c r="D1487" s="21">
        <v>16</v>
      </c>
      <c r="E1487" s="21" t="s">
        <v>319</v>
      </c>
      <c r="F1487" s="21">
        <v>1</v>
      </c>
      <c r="G1487" s="21">
        <v>44.2</v>
      </c>
      <c r="H1487" s="21">
        <v>1564.7</v>
      </c>
      <c r="I1487" s="21">
        <v>354</v>
      </c>
    </row>
    <row r="1488" spans="1:9" ht="15" customHeight="1" x14ac:dyDescent="0.3">
      <c r="A1488" s="21" t="s">
        <v>1839</v>
      </c>
      <c r="B1488" s="21">
        <v>2020</v>
      </c>
      <c r="C1488" s="21">
        <v>8</v>
      </c>
      <c r="D1488" s="21">
        <v>17</v>
      </c>
      <c r="E1488" s="21" t="s">
        <v>299</v>
      </c>
      <c r="F1488" s="21">
        <v>0</v>
      </c>
      <c r="G1488" s="21">
        <v>55.49</v>
      </c>
      <c r="H1488" s="21">
        <v>1964.41</v>
      </c>
      <c r="I1488" s="21">
        <v>354.01</v>
      </c>
    </row>
    <row r="1489" spans="1:9" ht="15" customHeight="1" x14ac:dyDescent="0.3">
      <c r="A1489" s="21" t="s">
        <v>1840</v>
      </c>
      <c r="B1489" s="21">
        <v>2020</v>
      </c>
      <c r="C1489" s="21">
        <v>8</v>
      </c>
      <c r="D1489" s="21">
        <v>18</v>
      </c>
      <c r="E1489" s="21" t="s">
        <v>303</v>
      </c>
      <c r="F1489" s="21">
        <v>0</v>
      </c>
      <c r="G1489" s="21">
        <v>50.83</v>
      </c>
      <c r="H1489" s="21">
        <v>1799.49</v>
      </c>
      <c r="I1489" s="21">
        <v>354.02</v>
      </c>
    </row>
    <row r="1490" spans="1:9" ht="15" customHeight="1" x14ac:dyDescent="0.3">
      <c r="A1490" s="21" t="s">
        <v>1841</v>
      </c>
      <c r="B1490" s="21">
        <v>2020</v>
      </c>
      <c r="C1490" s="21">
        <v>8</v>
      </c>
      <c r="D1490" s="21">
        <v>19</v>
      </c>
      <c r="E1490" s="21" t="s">
        <v>307</v>
      </c>
      <c r="F1490" s="21">
        <v>0</v>
      </c>
      <c r="G1490" s="21">
        <v>51.53</v>
      </c>
      <c r="H1490" s="21">
        <v>1824.45</v>
      </c>
      <c r="I1490" s="21">
        <v>354.06</v>
      </c>
    </row>
    <row r="1491" spans="1:9" ht="15" customHeight="1" x14ac:dyDescent="0.3">
      <c r="A1491" s="21" t="s">
        <v>1842</v>
      </c>
      <c r="B1491" s="21">
        <v>2020</v>
      </c>
      <c r="C1491" s="21">
        <v>8</v>
      </c>
      <c r="D1491" s="21">
        <v>20</v>
      </c>
      <c r="E1491" s="21" t="s">
        <v>310</v>
      </c>
      <c r="F1491" s="21">
        <v>0</v>
      </c>
      <c r="G1491" s="21">
        <v>53.35</v>
      </c>
      <c r="H1491" s="21">
        <v>1888.77</v>
      </c>
      <c r="I1491" s="21">
        <v>354.03</v>
      </c>
    </row>
    <row r="1492" spans="1:9" ht="15" customHeight="1" x14ac:dyDescent="0.3">
      <c r="A1492" s="21" t="s">
        <v>1843</v>
      </c>
      <c r="B1492" s="21">
        <v>2020</v>
      </c>
      <c r="C1492" s="21">
        <v>8</v>
      </c>
      <c r="D1492" s="21">
        <v>21</v>
      </c>
      <c r="E1492" s="21" t="s">
        <v>313</v>
      </c>
      <c r="F1492" s="21">
        <v>0</v>
      </c>
      <c r="G1492" s="21">
        <v>55.81</v>
      </c>
      <c r="H1492" s="21">
        <v>1975.93</v>
      </c>
      <c r="I1492" s="21">
        <v>354.05</v>
      </c>
    </row>
    <row r="1493" spans="1:9" ht="15" customHeight="1" x14ac:dyDescent="0.3">
      <c r="A1493" s="21" t="s">
        <v>1844</v>
      </c>
      <c r="B1493" s="21">
        <v>2020</v>
      </c>
      <c r="C1493" s="21">
        <v>8</v>
      </c>
      <c r="D1493" s="21">
        <v>22</v>
      </c>
      <c r="E1493" s="21" t="s">
        <v>316</v>
      </c>
      <c r="F1493" s="21">
        <v>1</v>
      </c>
      <c r="G1493" s="21">
        <v>47.09</v>
      </c>
      <c r="H1493" s="21">
        <v>1667.18</v>
      </c>
      <c r="I1493" s="21">
        <v>354.04</v>
      </c>
    </row>
    <row r="1494" spans="1:9" ht="15" customHeight="1" x14ac:dyDescent="0.3">
      <c r="A1494" s="21" t="s">
        <v>1845</v>
      </c>
      <c r="B1494" s="21">
        <v>2020</v>
      </c>
      <c r="C1494" s="21">
        <v>8</v>
      </c>
      <c r="D1494" s="21">
        <v>23</v>
      </c>
      <c r="E1494" s="21" t="s">
        <v>319</v>
      </c>
      <c r="F1494" s="21">
        <v>1</v>
      </c>
      <c r="G1494" s="21">
        <v>43.76</v>
      </c>
      <c r="H1494" s="21">
        <v>1549.24</v>
      </c>
      <c r="I1494" s="21">
        <v>354.03</v>
      </c>
    </row>
    <row r="1495" spans="1:9" ht="15" customHeight="1" x14ac:dyDescent="0.3">
      <c r="A1495" s="21" t="s">
        <v>1846</v>
      </c>
      <c r="B1495" s="21">
        <v>2020</v>
      </c>
      <c r="C1495" s="21">
        <v>8</v>
      </c>
      <c r="D1495" s="21">
        <v>24</v>
      </c>
      <c r="E1495" s="21" t="s">
        <v>299</v>
      </c>
      <c r="F1495" s="21">
        <v>0</v>
      </c>
      <c r="G1495" s="21">
        <v>55.18</v>
      </c>
      <c r="H1495" s="21">
        <v>1953.61</v>
      </c>
      <c r="I1495" s="21">
        <v>354.04</v>
      </c>
    </row>
    <row r="1496" spans="1:9" ht="15" customHeight="1" x14ac:dyDescent="0.3">
      <c r="A1496" s="21" t="s">
        <v>1847</v>
      </c>
      <c r="B1496" s="21">
        <v>2020</v>
      </c>
      <c r="C1496" s="21">
        <v>8</v>
      </c>
      <c r="D1496" s="21">
        <v>25</v>
      </c>
      <c r="E1496" s="21" t="s">
        <v>303</v>
      </c>
      <c r="F1496" s="21">
        <v>0</v>
      </c>
      <c r="G1496" s="21">
        <v>53.68</v>
      </c>
      <c r="H1496" s="21">
        <v>1900.43</v>
      </c>
      <c r="I1496" s="21">
        <v>354.03</v>
      </c>
    </row>
    <row r="1497" spans="1:9" ht="15" customHeight="1" x14ac:dyDescent="0.3">
      <c r="A1497" s="21" t="s">
        <v>1848</v>
      </c>
      <c r="B1497" s="21">
        <v>2020</v>
      </c>
      <c r="C1497" s="21">
        <v>8</v>
      </c>
      <c r="D1497" s="21">
        <v>26</v>
      </c>
      <c r="E1497" s="21" t="s">
        <v>307</v>
      </c>
      <c r="F1497" s="21">
        <v>0</v>
      </c>
      <c r="G1497" s="21">
        <v>50</v>
      </c>
      <c r="H1497" s="21">
        <v>1770.05</v>
      </c>
      <c r="I1497" s="21">
        <v>354.01</v>
      </c>
    </row>
    <row r="1498" spans="1:9" ht="15" customHeight="1" x14ac:dyDescent="0.3">
      <c r="A1498" s="21" t="s">
        <v>1849</v>
      </c>
      <c r="B1498" s="21">
        <v>2020</v>
      </c>
      <c r="C1498" s="21">
        <v>8</v>
      </c>
      <c r="D1498" s="21">
        <v>27</v>
      </c>
      <c r="E1498" s="21" t="s">
        <v>310</v>
      </c>
      <c r="F1498" s="21">
        <v>0</v>
      </c>
      <c r="G1498" s="21">
        <v>49.46</v>
      </c>
      <c r="H1498" s="21">
        <v>1751.05</v>
      </c>
      <c r="I1498" s="21">
        <v>354.03</v>
      </c>
    </row>
    <row r="1499" spans="1:9" ht="15" customHeight="1" x14ac:dyDescent="0.3">
      <c r="A1499" s="21" t="s">
        <v>1850</v>
      </c>
      <c r="B1499" s="21">
        <v>2020</v>
      </c>
      <c r="C1499" s="21">
        <v>8</v>
      </c>
      <c r="D1499" s="21">
        <v>28</v>
      </c>
      <c r="E1499" s="21" t="s">
        <v>313</v>
      </c>
      <c r="F1499" s="21">
        <v>0</v>
      </c>
      <c r="G1499" s="21">
        <v>54.01</v>
      </c>
      <c r="H1499" s="21">
        <v>1911.99</v>
      </c>
      <c r="I1499" s="21">
        <v>354.01</v>
      </c>
    </row>
    <row r="1500" spans="1:9" ht="15" customHeight="1" x14ac:dyDescent="0.3">
      <c r="A1500" s="21" t="s">
        <v>1851</v>
      </c>
      <c r="B1500" s="21">
        <v>2020</v>
      </c>
      <c r="C1500" s="21">
        <v>8</v>
      </c>
      <c r="D1500" s="21">
        <v>29</v>
      </c>
      <c r="E1500" s="21" t="s">
        <v>316</v>
      </c>
      <c r="F1500" s="21">
        <v>1</v>
      </c>
      <c r="G1500" s="21">
        <v>46.36</v>
      </c>
      <c r="H1500" s="21">
        <v>1641.43</v>
      </c>
      <c r="I1500" s="21">
        <v>354.06</v>
      </c>
    </row>
    <row r="1501" spans="1:9" ht="15" customHeight="1" x14ac:dyDescent="0.3">
      <c r="A1501" s="21" t="s">
        <v>1852</v>
      </c>
      <c r="B1501" s="21">
        <v>2020</v>
      </c>
      <c r="C1501" s="21">
        <v>8</v>
      </c>
      <c r="D1501" s="21">
        <v>30</v>
      </c>
      <c r="E1501" s="21" t="s">
        <v>319</v>
      </c>
      <c r="F1501" s="21">
        <v>1</v>
      </c>
      <c r="G1501" s="21">
        <v>50.05</v>
      </c>
      <c r="H1501" s="21">
        <v>1771.92</v>
      </c>
      <c r="I1501" s="21">
        <v>354.03</v>
      </c>
    </row>
    <row r="1502" spans="1:9" ht="15" customHeight="1" x14ac:dyDescent="0.3">
      <c r="A1502" s="21" t="s">
        <v>1853</v>
      </c>
      <c r="B1502" s="21">
        <v>2020</v>
      </c>
      <c r="C1502" s="21">
        <v>8</v>
      </c>
      <c r="D1502" s="21">
        <v>31</v>
      </c>
      <c r="E1502" s="21" t="s">
        <v>299</v>
      </c>
      <c r="F1502" s="21">
        <v>0</v>
      </c>
      <c r="G1502" s="21">
        <v>67.66</v>
      </c>
      <c r="H1502" s="21">
        <v>2395.48</v>
      </c>
      <c r="I1502" s="21">
        <v>354.05</v>
      </c>
    </row>
    <row r="1503" spans="1:9" ht="15" customHeight="1" x14ac:dyDescent="0.3">
      <c r="A1503" s="21" t="s">
        <v>147</v>
      </c>
      <c r="B1503" s="21">
        <v>2020</v>
      </c>
      <c r="C1503" s="21">
        <v>9</v>
      </c>
      <c r="D1503" s="21">
        <v>1</v>
      </c>
      <c r="E1503" s="21" t="s">
        <v>303</v>
      </c>
      <c r="F1503" s="21">
        <v>0</v>
      </c>
      <c r="G1503" s="21">
        <v>67.84</v>
      </c>
      <c r="H1503" s="21">
        <v>2352.2600000000002</v>
      </c>
      <c r="I1503" s="21">
        <v>346.74</v>
      </c>
    </row>
    <row r="1504" spans="1:9" ht="15" customHeight="1" x14ac:dyDescent="0.3">
      <c r="A1504" s="21" t="s">
        <v>1854</v>
      </c>
      <c r="B1504" s="21">
        <v>2020</v>
      </c>
      <c r="C1504" s="21">
        <v>9</v>
      </c>
      <c r="D1504" s="21">
        <v>2</v>
      </c>
      <c r="E1504" s="21" t="s">
        <v>307</v>
      </c>
      <c r="F1504" s="21">
        <v>0</v>
      </c>
      <c r="G1504" s="21">
        <v>69.39</v>
      </c>
      <c r="H1504" s="21">
        <v>2406.0100000000002</v>
      </c>
      <c r="I1504" s="21">
        <v>346.74</v>
      </c>
    </row>
    <row r="1505" spans="1:9" ht="15" customHeight="1" x14ac:dyDescent="0.3">
      <c r="A1505" s="21" t="s">
        <v>1855</v>
      </c>
      <c r="B1505" s="21">
        <v>2020</v>
      </c>
      <c r="C1505" s="21">
        <v>9</v>
      </c>
      <c r="D1505" s="21">
        <v>3</v>
      </c>
      <c r="E1505" s="21" t="s">
        <v>310</v>
      </c>
      <c r="F1505" s="21">
        <v>0</v>
      </c>
      <c r="G1505" s="21">
        <v>62.78</v>
      </c>
      <c r="H1505" s="21">
        <v>2176.9299999999998</v>
      </c>
      <c r="I1505" s="21">
        <v>346.76</v>
      </c>
    </row>
    <row r="1506" spans="1:9" ht="15" customHeight="1" x14ac:dyDescent="0.3">
      <c r="A1506" s="21" t="s">
        <v>1856</v>
      </c>
      <c r="B1506" s="21">
        <v>2020</v>
      </c>
      <c r="C1506" s="21">
        <v>9</v>
      </c>
      <c r="D1506" s="21">
        <v>4</v>
      </c>
      <c r="E1506" s="21" t="s">
        <v>313</v>
      </c>
      <c r="F1506" s="21">
        <v>0</v>
      </c>
      <c r="G1506" s="21">
        <v>68.41</v>
      </c>
      <c r="H1506" s="21">
        <v>2372.34</v>
      </c>
      <c r="I1506" s="21">
        <v>346.78</v>
      </c>
    </row>
    <row r="1507" spans="1:9" ht="15" customHeight="1" x14ac:dyDescent="0.3">
      <c r="A1507" s="21" t="s">
        <v>1857</v>
      </c>
      <c r="B1507" s="21">
        <v>2020</v>
      </c>
      <c r="C1507" s="21">
        <v>9</v>
      </c>
      <c r="D1507" s="21">
        <v>5</v>
      </c>
      <c r="E1507" s="21" t="s">
        <v>316</v>
      </c>
      <c r="F1507" s="21">
        <v>1</v>
      </c>
      <c r="G1507" s="21">
        <v>54.71</v>
      </c>
      <c r="H1507" s="21">
        <v>1897.25</v>
      </c>
      <c r="I1507" s="21">
        <v>346.78</v>
      </c>
    </row>
    <row r="1508" spans="1:9" ht="15" customHeight="1" x14ac:dyDescent="0.3">
      <c r="A1508" s="21" t="s">
        <v>1858</v>
      </c>
      <c r="B1508" s="21">
        <v>2020</v>
      </c>
      <c r="C1508" s="21">
        <v>9</v>
      </c>
      <c r="D1508" s="21">
        <v>6</v>
      </c>
      <c r="E1508" s="21" t="s">
        <v>319</v>
      </c>
      <c r="F1508" s="21">
        <v>1</v>
      </c>
      <c r="G1508" s="21">
        <v>53.18</v>
      </c>
      <c r="H1508" s="21">
        <v>1843.99</v>
      </c>
      <c r="I1508" s="21">
        <v>346.75</v>
      </c>
    </row>
    <row r="1509" spans="1:9" ht="15" customHeight="1" x14ac:dyDescent="0.3">
      <c r="A1509" s="21" t="s">
        <v>1859</v>
      </c>
      <c r="B1509" s="21">
        <v>2020</v>
      </c>
      <c r="C1509" s="21">
        <v>9</v>
      </c>
      <c r="D1509" s="21">
        <v>7</v>
      </c>
      <c r="E1509" s="21" t="s">
        <v>299</v>
      </c>
      <c r="F1509" s="21">
        <v>0</v>
      </c>
      <c r="G1509" s="21">
        <v>64.849999999999994</v>
      </c>
      <c r="H1509" s="21">
        <v>2248.62</v>
      </c>
      <c r="I1509" s="21">
        <v>346.74</v>
      </c>
    </row>
    <row r="1510" spans="1:9" ht="15" customHeight="1" x14ac:dyDescent="0.3">
      <c r="A1510" s="21" t="s">
        <v>1860</v>
      </c>
      <c r="B1510" s="21">
        <v>2020</v>
      </c>
      <c r="C1510" s="21">
        <v>9</v>
      </c>
      <c r="D1510" s="21">
        <v>8</v>
      </c>
      <c r="E1510" s="21" t="s">
        <v>303</v>
      </c>
      <c r="F1510" s="21">
        <v>0</v>
      </c>
      <c r="G1510" s="21">
        <v>61.07</v>
      </c>
      <c r="H1510" s="21">
        <v>2117.65</v>
      </c>
      <c r="I1510" s="21">
        <v>346.76</v>
      </c>
    </row>
    <row r="1511" spans="1:9" ht="15" customHeight="1" x14ac:dyDescent="0.3">
      <c r="A1511" s="21" t="s">
        <v>1861</v>
      </c>
      <c r="B1511" s="21">
        <v>2020</v>
      </c>
      <c r="C1511" s="21">
        <v>9</v>
      </c>
      <c r="D1511" s="21">
        <v>9</v>
      </c>
      <c r="E1511" s="21" t="s">
        <v>307</v>
      </c>
      <c r="F1511" s="21">
        <v>0</v>
      </c>
      <c r="G1511" s="21">
        <v>61.4</v>
      </c>
      <c r="H1511" s="21">
        <v>2129.25</v>
      </c>
      <c r="I1511" s="21">
        <v>346.78</v>
      </c>
    </row>
    <row r="1512" spans="1:9" ht="15" customHeight="1" x14ac:dyDescent="0.3">
      <c r="A1512" s="21" t="s">
        <v>1862</v>
      </c>
      <c r="B1512" s="21">
        <v>2020</v>
      </c>
      <c r="C1512" s="21">
        <v>9</v>
      </c>
      <c r="D1512" s="21">
        <v>10</v>
      </c>
      <c r="E1512" s="21" t="s">
        <v>310</v>
      </c>
      <c r="F1512" s="21">
        <v>0</v>
      </c>
      <c r="G1512" s="21">
        <v>59.01</v>
      </c>
      <c r="H1512" s="21">
        <v>2046.26</v>
      </c>
      <c r="I1512" s="21">
        <v>346.76</v>
      </c>
    </row>
    <row r="1513" spans="1:9" ht="15" customHeight="1" x14ac:dyDescent="0.3">
      <c r="A1513" s="21" t="s">
        <v>1863</v>
      </c>
      <c r="B1513" s="21">
        <v>2020</v>
      </c>
      <c r="C1513" s="21">
        <v>9</v>
      </c>
      <c r="D1513" s="21">
        <v>11</v>
      </c>
      <c r="E1513" s="21" t="s">
        <v>313</v>
      </c>
      <c r="F1513" s="21">
        <v>0</v>
      </c>
      <c r="G1513" s="21">
        <v>63.33</v>
      </c>
      <c r="H1513" s="21">
        <v>2196.0500000000002</v>
      </c>
      <c r="I1513" s="21">
        <v>346.76</v>
      </c>
    </row>
    <row r="1514" spans="1:9" ht="15" customHeight="1" x14ac:dyDescent="0.3">
      <c r="A1514" s="21" t="s">
        <v>1864</v>
      </c>
      <c r="B1514" s="21">
        <v>2020</v>
      </c>
      <c r="C1514" s="21">
        <v>9</v>
      </c>
      <c r="D1514" s="21">
        <v>12</v>
      </c>
      <c r="E1514" s="21" t="s">
        <v>316</v>
      </c>
      <c r="F1514" s="21">
        <v>1</v>
      </c>
      <c r="G1514" s="21">
        <v>51</v>
      </c>
      <c r="H1514" s="21">
        <v>1768.36</v>
      </c>
      <c r="I1514" s="21">
        <v>346.74</v>
      </c>
    </row>
    <row r="1515" spans="1:9" ht="15" customHeight="1" x14ac:dyDescent="0.3">
      <c r="A1515" s="21" t="s">
        <v>1865</v>
      </c>
      <c r="B1515" s="21">
        <v>2020</v>
      </c>
      <c r="C1515" s="21">
        <v>9</v>
      </c>
      <c r="D1515" s="21">
        <v>13</v>
      </c>
      <c r="E1515" s="21" t="s">
        <v>319</v>
      </c>
      <c r="F1515" s="21">
        <v>1</v>
      </c>
      <c r="G1515" s="21">
        <v>50.7</v>
      </c>
      <c r="H1515" s="21">
        <v>1757.94</v>
      </c>
      <c r="I1515" s="21">
        <v>346.73</v>
      </c>
    </row>
    <row r="1516" spans="1:9" ht="15" customHeight="1" x14ac:dyDescent="0.3">
      <c r="A1516" s="21" t="s">
        <v>1866</v>
      </c>
      <c r="B1516" s="21">
        <v>2020</v>
      </c>
      <c r="C1516" s="21">
        <v>9</v>
      </c>
      <c r="D1516" s="21">
        <v>14</v>
      </c>
      <c r="E1516" s="21" t="s">
        <v>299</v>
      </c>
      <c r="F1516" s="21">
        <v>0</v>
      </c>
      <c r="G1516" s="21">
        <v>62.19</v>
      </c>
      <c r="H1516" s="21">
        <v>2156.41</v>
      </c>
      <c r="I1516" s="21">
        <v>346.75</v>
      </c>
    </row>
    <row r="1517" spans="1:9" ht="15" customHeight="1" x14ac:dyDescent="0.3">
      <c r="A1517" s="21" t="s">
        <v>1867</v>
      </c>
      <c r="B1517" s="21">
        <v>2020</v>
      </c>
      <c r="C1517" s="21">
        <v>9</v>
      </c>
      <c r="D1517" s="21">
        <v>15</v>
      </c>
      <c r="E1517" s="21" t="s">
        <v>303</v>
      </c>
      <c r="F1517" s="21">
        <v>0</v>
      </c>
      <c r="G1517" s="21">
        <v>61.26</v>
      </c>
      <c r="H1517" s="21">
        <v>2124.14</v>
      </c>
      <c r="I1517" s="21">
        <v>346.74</v>
      </c>
    </row>
    <row r="1518" spans="1:9" ht="15" customHeight="1" x14ac:dyDescent="0.3">
      <c r="A1518" s="21" t="s">
        <v>1868</v>
      </c>
      <c r="B1518" s="21">
        <v>2020</v>
      </c>
      <c r="C1518" s="21">
        <v>9</v>
      </c>
      <c r="D1518" s="21">
        <v>16</v>
      </c>
      <c r="E1518" s="21" t="s">
        <v>307</v>
      </c>
      <c r="F1518" s="21">
        <v>0</v>
      </c>
      <c r="G1518" s="21">
        <v>61.72</v>
      </c>
      <c r="H1518" s="21">
        <v>2140.3000000000002</v>
      </c>
      <c r="I1518" s="21">
        <v>346.78</v>
      </c>
    </row>
    <row r="1519" spans="1:9" ht="15" customHeight="1" x14ac:dyDescent="0.3">
      <c r="A1519" s="21" t="s">
        <v>1869</v>
      </c>
      <c r="B1519" s="21">
        <v>2020</v>
      </c>
      <c r="C1519" s="21">
        <v>9</v>
      </c>
      <c r="D1519" s="21">
        <v>17</v>
      </c>
      <c r="E1519" s="21" t="s">
        <v>310</v>
      </c>
      <c r="F1519" s="21">
        <v>0</v>
      </c>
      <c r="G1519" s="21">
        <v>60.16</v>
      </c>
      <c r="H1519" s="21">
        <v>2086.19</v>
      </c>
      <c r="I1519" s="21">
        <v>346.77</v>
      </c>
    </row>
    <row r="1520" spans="1:9" ht="15" customHeight="1" x14ac:dyDescent="0.3">
      <c r="A1520" s="21" t="s">
        <v>1870</v>
      </c>
      <c r="B1520" s="21">
        <v>2020</v>
      </c>
      <c r="C1520" s="21">
        <v>9</v>
      </c>
      <c r="D1520" s="21">
        <v>18</v>
      </c>
      <c r="E1520" s="21" t="s">
        <v>313</v>
      </c>
      <c r="F1520" s="21">
        <v>0</v>
      </c>
      <c r="G1520" s="21">
        <v>67.459999999999994</v>
      </c>
      <c r="H1520" s="21">
        <v>2339.35</v>
      </c>
      <c r="I1520" s="21">
        <v>346.78</v>
      </c>
    </row>
    <row r="1521" spans="1:9" ht="15" customHeight="1" x14ac:dyDescent="0.3">
      <c r="A1521" s="21" t="s">
        <v>1871</v>
      </c>
      <c r="B1521" s="21">
        <v>2020</v>
      </c>
      <c r="C1521" s="21">
        <v>9</v>
      </c>
      <c r="D1521" s="21">
        <v>19</v>
      </c>
      <c r="E1521" s="21" t="s">
        <v>316</v>
      </c>
      <c r="F1521" s="21">
        <v>1</v>
      </c>
      <c r="G1521" s="21">
        <v>48.95</v>
      </c>
      <c r="H1521" s="21">
        <v>1697.3</v>
      </c>
      <c r="I1521" s="21">
        <v>346.74</v>
      </c>
    </row>
    <row r="1522" spans="1:9" ht="15" customHeight="1" x14ac:dyDescent="0.3">
      <c r="A1522" s="21" t="s">
        <v>1872</v>
      </c>
      <c r="B1522" s="21">
        <v>2020</v>
      </c>
      <c r="C1522" s="21">
        <v>9</v>
      </c>
      <c r="D1522" s="21">
        <v>20</v>
      </c>
      <c r="E1522" s="21" t="s">
        <v>319</v>
      </c>
      <c r="F1522" s="21">
        <v>1</v>
      </c>
      <c r="G1522" s="21">
        <v>50.65</v>
      </c>
      <c r="H1522" s="21">
        <v>1756.48</v>
      </c>
      <c r="I1522" s="21">
        <v>346.79</v>
      </c>
    </row>
    <row r="1523" spans="1:9" ht="15" customHeight="1" x14ac:dyDescent="0.3">
      <c r="A1523" s="21" t="s">
        <v>1873</v>
      </c>
      <c r="B1523" s="21">
        <v>2020</v>
      </c>
      <c r="C1523" s="21">
        <v>9</v>
      </c>
      <c r="D1523" s="21">
        <v>21</v>
      </c>
      <c r="E1523" s="21" t="s">
        <v>299</v>
      </c>
      <c r="F1523" s="21">
        <v>0</v>
      </c>
      <c r="G1523" s="21">
        <v>61.71</v>
      </c>
      <c r="H1523" s="21">
        <v>2139.96</v>
      </c>
      <c r="I1523" s="21">
        <v>346.78</v>
      </c>
    </row>
    <row r="1524" spans="1:9" ht="15" customHeight="1" x14ac:dyDescent="0.3">
      <c r="A1524" s="21" t="s">
        <v>1874</v>
      </c>
      <c r="B1524" s="21">
        <v>2020</v>
      </c>
      <c r="C1524" s="21">
        <v>9</v>
      </c>
      <c r="D1524" s="21">
        <v>22</v>
      </c>
      <c r="E1524" s="21" t="s">
        <v>303</v>
      </c>
      <c r="F1524" s="21">
        <v>0</v>
      </c>
      <c r="G1524" s="21">
        <v>56.64</v>
      </c>
      <c r="H1524" s="21">
        <v>1964.16</v>
      </c>
      <c r="I1524" s="21">
        <v>346.78</v>
      </c>
    </row>
    <row r="1525" spans="1:9" ht="15" customHeight="1" x14ac:dyDescent="0.3">
      <c r="A1525" s="21" t="s">
        <v>1875</v>
      </c>
      <c r="B1525" s="21">
        <v>2020</v>
      </c>
      <c r="C1525" s="21">
        <v>9</v>
      </c>
      <c r="D1525" s="21">
        <v>23</v>
      </c>
      <c r="E1525" s="21" t="s">
        <v>307</v>
      </c>
      <c r="F1525" s="21">
        <v>0</v>
      </c>
      <c r="G1525" s="21">
        <v>59.85</v>
      </c>
      <c r="H1525" s="21">
        <v>2075.5100000000002</v>
      </c>
      <c r="I1525" s="21">
        <v>346.79</v>
      </c>
    </row>
    <row r="1526" spans="1:9" ht="15" customHeight="1" x14ac:dyDescent="0.3">
      <c r="A1526" s="21" t="s">
        <v>1876</v>
      </c>
      <c r="B1526" s="21">
        <v>2020</v>
      </c>
      <c r="C1526" s="21">
        <v>9</v>
      </c>
      <c r="D1526" s="21">
        <v>24</v>
      </c>
      <c r="E1526" s="21" t="s">
        <v>310</v>
      </c>
      <c r="F1526" s="21">
        <v>0</v>
      </c>
      <c r="G1526" s="21">
        <v>59.78</v>
      </c>
      <c r="H1526" s="21">
        <v>2073.0700000000002</v>
      </c>
      <c r="I1526" s="21">
        <v>346.78</v>
      </c>
    </row>
    <row r="1527" spans="1:9" ht="15" customHeight="1" x14ac:dyDescent="0.3">
      <c r="A1527" s="21" t="s">
        <v>1877</v>
      </c>
      <c r="B1527" s="21">
        <v>2020</v>
      </c>
      <c r="C1527" s="21">
        <v>9</v>
      </c>
      <c r="D1527" s="21">
        <v>25</v>
      </c>
      <c r="E1527" s="21" t="s">
        <v>313</v>
      </c>
      <c r="F1527" s="21">
        <v>0</v>
      </c>
      <c r="G1527" s="21">
        <v>67.53</v>
      </c>
      <c r="H1527" s="21">
        <v>2341.59</v>
      </c>
      <c r="I1527" s="21">
        <v>346.75</v>
      </c>
    </row>
    <row r="1528" spans="1:9" ht="15" customHeight="1" x14ac:dyDescent="0.3">
      <c r="A1528" s="21" t="s">
        <v>1878</v>
      </c>
      <c r="B1528" s="21">
        <v>2020</v>
      </c>
      <c r="C1528" s="21">
        <v>9</v>
      </c>
      <c r="D1528" s="21">
        <v>26</v>
      </c>
      <c r="E1528" s="21" t="s">
        <v>316</v>
      </c>
      <c r="F1528" s="21">
        <v>1</v>
      </c>
      <c r="G1528" s="21">
        <v>52.14</v>
      </c>
      <c r="H1528" s="21">
        <v>1807.94</v>
      </c>
      <c r="I1528" s="21">
        <v>346.75</v>
      </c>
    </row>
    <row r="1529" spans="1:9" ht="15" customHeight="1" x14ac:dyDescent="0.3">
      <c r="A1529" s="21" t="s">
        <v>1879</v>
      </c>
      <c r="B1529" s="21">
        <v>2020</v>
      </c>
      <c r="C1529" s="21">
        <v>9</v>
      </c>
      <c r="D1529" s="21">
        <v>27</v>
      </c>
      <c r="E1529" s="21" t="s">
        <v>319</v>
      </c>
      <c r="F1529" s="21">
        <v>1</v>
      </c>
      <c r="G1529" s="21">
        <v>49.16</v>
      </c>
      <c r="H1529" s="21">
        <v>1704.64</v>
      </c>
      <c r="I1529" s="21">
        <v>346.75</v>
      </c>
    </row>
    <row r="1530" spans="1:9" ht="15" customHeight="1" x14ac:dyDescent="0.3">
      <c r="A1530" s="21" t="s">
        <v>1880</v>
      </c>
      <c r="B1530" s="21">
        <v>2020</v>
      </c>
      <c r="C1530" s="21">
        <v>9</v>
      </c>
      <c r="D1530" s="21">
        <v>28</v>
      </c>
      <c r="E1530" s="21" t="s">
        <v>299</v>
      </c>
      <c r="F1530" s="21">
        <v>0</v>
      </c>
      <c r="G1530" s="21">
        <v>66.34</v>
      </c>
      <c r="H1530" s="21">
        <v>2300.4299999999998</v>
      </c>
      <c r="I1530" s="21">
        <v>346.76</v>
      </c>
    </row>
    <row r="1531" spans="1:9" ht="15" customHeight="1" x14ac:dyDescent="0.3">
      <c r="A1531" s="21" t="s">
        <v>1881</v>
      </c>
      <c r="B1531" s="21">
        <v>2020</v>
      </c>
      <c r="C1531" s="21">
        <v>9</v>
      </c>
      <c r="D1531" s="21">
        <v>29</v>
      </c>
      <c r="E1531" s="21" t="s">
        <v>303</v>
      </c>
      <c r="F1531" s="21">
        <v>0</v>
      </c>
      <c r="G1531" s="21">
        <v>71.53</v>
      </c>
      <c r="H1531" s="21">
        <v>2480.42</v>
      </c>
      <c r="I1531" s="21">
        <v>346.77</v>
      </c>
    </row>
    <row r="1532" spans="1:9" ht="15" customHeight="1" x14ac:dyDescent="0.3">
      <c r="A1532" s="21" t="s">
        <v>1882</v>
      </c>
      <c r="B1532" s="21">
        <v>2020</v>
      </c>
      <c r="C1532" s="21">
        <v>9</v>
      </c>
      <c r="D1532" s="21">
        <v>30</v>
      </c>
      <c r="E1532" s="21" t="s">
        <v>307</v>
      </c>
      <c r="F1532" s="21">
        <v>0</v>
      </c>
      <c r="G1532" s="21">
        <v>70.209999999999994</v>
      </c>
      <c r="H1532" s="21">
        <v>2434.5500000000002</v>
      </c>
      <c r="I1532" s="21">
        <v>346.75</v>
      </c>
    </row>
    <row r="1533" spans="1:9" ht="15" customHeight="1" x14ac:dyDescent="0.3">
      <c r="A1533" s="21" t="s">
        <v>148</v>
      </c>
      <c r="B1533" s="21">
        <v>2020</v>
      </c>
      <c r="C1533" s="21">
        <v>10</v>
      </c>
      <c r="D1533" s="21">
        <v>1</v>
      </c>
      <c r="E1533" s="21" t="s">
        <v>310</v>
      </c>
      <c r="F1533" s="21">
        <v>0</v>
      </c>
      <c r="G1533" s="21">
        <v>76.31</v>
      </c>
      <c r="H1533" s="21">
        <v>2637.35</v>
      </c>
      <c r="I1533" s="21">
        <v>345.61</v>
      </c>
    </row>
    <row r="1534" spans="1:9" ht="15" customHeight="1" x14ac:dyDescent="0.3">
      <c r="A1534" s="21" t="s">
        <v>1883</v>
      </c>
      <c r="B1534" s="21">
        <v>2020</v>
      </c>
      <c r="C1534" s="21">
        <v>10</v>
      </c>
      <c r="D1534" s="21">
        <v>2</v>
      </c>
      <c r="E1534" s="21" t="s">
        <v>313</v>
      </c>
      <c r="F1534" s="21">
        <v>0</v>
      </c>
      <c r="G1534" s="21">
        <v>80.77</v>
      </c>
      <c r="H1534" s="21">
        <v>2791.39</v>
      </c>
      <c r="I1534" s="21">
        <v>345.6</v>
      </c>
    </row>
    <row r="1535" spans="1:9" ht="15" customHeight="1" x14ac:dyDescent="0.3">
      <c r="A1535" s="21" t="s">
        <v>1884</v>
      </c>
      <c r="B1535" s="21">
        <v>2020</v>
      </c>
      <c r="C1535" s="21">
        <v>10</v>
      </c>
      <c r="D1535" s="21">
        <v>3</v>
      </c>
      <c r="E1535" s="21" t="s">
        <v>316</v>
      </c>
      <c r="F1535" s="21">
        <v>1</v>
      </c>
      <c r="G1535" s="21">
        <v>56.04</v>
      </c>
      <c r="H1535" s="21">
        <v>1936.89</v>
      </c>
      <c r="I1535" s="21">
        <v>345.63</v>
      </c>
    </row>
    <row r="1536" spans="1:9" ht="15" customHeight="1" x14ac:dyDescent="0.3">
      <c r="A1536" s="21" t="s">
        <v>1885</v>
      </c>
      <c r="B1536" s="21">
        <v>2020</v>
      </c>
      <c r="C1536" s="21">
        <v>10</v>
      </c>
      <c r="D1536" s="21">
        <v>4</v>
      </c>
      <c r="E1536" s="21" t="s">
        <v>319</v>
      </c>
      <c r="F1536" s="21">
        <v>1</v>
      </c>
      <c r="G1536" s="21">
        <v>58.97</v>
      </c>
      <c r="H1536" s="21">
        <v>2038.1</v>
      </c>
      <c r="I1536" s="21">
        <v>345.62</v>
      </c>
    </row>
    <row r="1537" spans="1:9" ht="15" customHeight="1" x14ac:dyDescent="0.3">
      <c r="A1537" s="21" t="s">
        <v>1886</v>
      </c>
      <c r="B1537" s="21">
        <v>2020</v>
      </c>
      <c r="C1537" s="21">
        <v>10</v>
      </c>
      <c r="D1537" s="21">
        <v>5</v>
      </c>
      <c r="E1537" s="21" t="s">
        <v>299</v>
      </c>
      <c r="F1537" s="21">
        <v>0</v>
      </c>
      <c r="G1537" s="21">
        <v>73.930000000000007</v>
      </c>
      <c r="H1537" s="21">
        <v>2555.0300000000002</v>
      </c>
      <c r="I1537" s="21">
        <v>345.6</v>
      </c>
    </row>
    <row r="1538" spans="1:9" ht="15" customHeight="1" x14ac:dyDescent="0.3">
      <c r="A1538" s="21" t="s">
        <v>1887</v>
      </c>
      <c r="B1538" s="21">
        <v>2020</v>
      </c>
      <c r="C1538" s="21">
        <v>10</v>
      </c>
      <c r="D1538" s="21">
        <v>6</v>
      </c>
      <c r="E1538" s="21" t="s">
        <v>303</v>
      </c>
      <c r="F1538" s="21">
        <v>0</v>
      </c>
      <c r="G1538" s="21">
        <v>69.91</v>
      </c>
      <c r="H1538" s="21">
        <v>2415.9299999999998</v>
      </c>
      <c r="I1538" s="21">
        <v>345.58</v>
      </c>
    </row>
    <row r="1539" spans="1:9" ht="15" customHeight="1" x14ac:dyDescent="0.3">
      <c r="A1539" s="21" t="s">
        <v>1888</v>
      </c>
      <c r="B1539" s="21">
        <v>2020</v>
      </c>
      <c r="C1539" s="21">
        <v>10</v>
      </c>
      <c r="D1539" s="21">
        <v>7</v>
      </c>
      <c r="E1539" s="21" t="s">
        <v>307</v>
      </c>
      <c r="F1539" s="21">
        <v>0</v>
      </c>
      <c r="G1539" s="21">
        <v>65.83</v>
      </c>
      <c r="H1539" s="21">
        <v>2275.17</v>
      </c>
      <c r="I1539" s="21">
        <v>345.61</v>
      </c>
    </row>
    <row r="1540" spans="1:9" ht="15" customHeight="1" x14ac:dyDescent="0.3">
      <c r="A1540" s="21" t="s">
        <v>1889</v>
      </c>
      <c r="B1540" s="21">
        <v>2020</v>
      </c>
      <c r="C1540" s="21">
        <v>10</v>
      </c>
      <c r="D1540" s="21">
        <v>8</v>
      </c>
      <c r="E1540" s="21" t="s">
        <v>310</v>
      </c>
      <c r="F1540" s="21">
        <v>0</v>
      </c>
      <c r="G1540" s="21">
        <v>64.569999999999993</v>
      </c>
      <c r="H1540" s="21">
        <v>2231.48</v>
      </c>
      <c r="I1540" s="21">
        <v>345.59</v>
      </c>
    </row>
    <row r="1541" spans="1:9" ht="15" customHeight="1" x14ac:dyDescent="0.3">
      <c r="A1541" s="21" t="s">
        <v>1890</v>
      </c>
      <c r="B1541" s="21">
        <v>2020</v>
      </c>
      <c r="C1541" s="21">
        <v>10</v>
      </c>
      <c r="D1541" s="21">
        <v>9</v>
      </c>
      <c r="E1541" s="21" t="s">
        <v>313</v>
      </c>
      <c r="F1541" s="21">
        <v>0</v>
      </c>
      <c r="G1541" s="21">
        <v>72.44</v>
      </c>
      <c r="H1541" s="21">
        <v>2503.5100000000002</v>
      </c>
      <c r="I1541" s="21">
        <v>345.6</v>
      </c>
    </row>
    <row r="1542" spans="1:9" ht="15" customHeight="1" x14ac:dyDescent="0.3">
      <c r="A1542" s="21" t="s">
        <v>1891</v>
      </c>
      <c r="B1542" s="21">
        <v>2020</v>
      </c>
      <c r="C1542" s="21">
        <v>10</v>
      </c>
      <c r="D1542" s="21">
        <v>10</v>
      </c>
      <c r="E1542" s="21" t="s">
        <v>316</v>
      </c>
      <c r="F1542" s="21">
        <v>1</v>
      </c>
      <c r="G1542" s="21">
        <v>53.25</v>
      </c>
      <c r="H1542" s="21">
        <v>1840.18</v>
      </c>
      <c r="I1542" s="21">
        <v>345.57</v>
      </c>
    </row>
    <row r="1543" spans="1:9" ht="15" customHeight="1" x14ac:dyDescent="0.3">
      <c r="A1543" s="21" t="s">
        <v>1892</v>
      </c>
      <c r="B1543" s="21">
        <v>2020</v>
      </c>
      <c r="C1543" s="21">
        <v>10</v>
      </c>
      <c r="D1543" s="21">
        <v>11</v>
      </c>
      <c r="E1543" s="21" t="s">
        <v>319</v>
      </c>
      <c r="F1543" s="21">
        <v>1</v>
      </c>
      <c r="G1543" s="21">
        <v>57.44</v>
      </c>
      <c r="H1543" s="21">
        <v>1985.06</v>
      </c>
      <c r="I1543" s="21">
        <v>345.59</v>
      </c>
    </row>
    <row r="1544" spans="1:9" ht="15" customHeight="1" x14ac:dyDescent="0.3">
      <c r="A1544" s="21" t="s">
        <v>1893</v>
      </c>
      <c r="B1544" s="21">
        <v>2020</v>
      </c>
      <c r="C1544" s="21">
        <v>10</v>
      </c>
      <c r="D1544" s="21">
        <v>12</v>
      </c>
      <c r="E1544" s="21" t="s">
        <v>299</v>
      </c>
      <c r="F1544" s="21">
        <v>0</v>
      </c>
      <c r="G1544" s="21">
        <v>69.86</v>
      </c>
      <c r="H1544" s="21">
        <v>2414.2600000000002</v>
      </c>
      <c r="I1544" s="21">
        <v>345.59</v>
      </c>
    </row>
    <row r="1545" spans="1:9" ht="15" customHeight="1" x14ac:dyDescent="0.3">
      <c r="A1545" s="21" t="s">
        <v>1894</v>
      </c>
      <c r="B1545" s="21">
        <v>2020</v>
      </c>
      <c r="C1545" s="21">
        <v>10</v>
      </c>
      <c r="D1545" s="21">
        <v>13</v>
      </c>
      <c r="E1545" s="21" t="s">
        <v>303</v>
      </c>
      <c r="F1545" s="21">
        <v>0</v>
      </c>
      <c r="G1545" s="21">
        <v>65.88</v>
      </c>
      <c r="H1545" s="21">
        <v>2276.75</v>
      </c>
      <c r="I1545" s="21">
        <v>345.59</v>
      </c>
    </row>
    <row r="1546" spans="1:9" ht="15" customHeight="1" x14ac:dyDescent="0.3">
      <c r="A1546" s="21" t="s">
        <v>1895</v>
      </c>
      <c r="B1546" s="21">
        <v>2020</v>
      </c>
      <c r="C1546" s="21">
        <v>10</v>
      </c>
      <c r="D1546" s="21">
        <v>14</v>
      </c>
      <c r="E1546" s="21" t="s">
        <v>307</v>
      </c>
      <c r="F1546" s="21">
        <v>0</v>
      </c>
      <c r="G1546" s="21">
        <v>63.62</v>
      </c>
      <c r="H1546" s="21">
        <v>2198.5700000000002</v>
      </c>
      <c r="I1546" s="21">
        <v>345.58</v>
      </c>
    </row>
    <row r="1547" spans="1:9" ht="15" customHeight="1" x14ac:dyDescent="0.3">
      <c r="A1547" s="21" t="s">
        <v>1896</v>
      </c>
      <c r="B1547" s="21">
        <v>2020</v>
      </c>
      <c r="C1547" s="21">
        <v>10</v>
      </c>
      <c r="D1547" s="21">
        <v>15</v>
      </c>
      <c r="E1547" s="21" t="s">
        <v>310</v>
      </c>
      <c r="F1547" s="21">
        <v>0</v>
      </c>
      <c r="G1547" s="21">
        <v>74.63</v>
      </c>
      <c r="H1547" s="21">
        <v>2579.0700000000002</v>
      </c>
      <c r="I1547" s="21">
        <v>345.58</v>
      </c>
    </row>
    <row r="1548" spans="1:9" ht="15" customHeight="1" x14ac:dyDescent="0.3">
      <c r="A1548" s="21" t="s">
        <v>1897</v>
      </c>
      <c r="B1548" s="21">
        <v>2020</v>
      </c>
      <c r="C1548" s="21">
        <v>10</v>
      </c>
      <c r="D1548" s="21">
        <v>16</v>
      </c>
      <c r="E1548" s="21" t="s">
        <v>313</v>
      </c>
      <c r="F1548" s="21">
        <v>0</v>
      </c>
      <c r="G1548" s="21">
        <v>78.2</v>
      </c>
      <c r="H1548" s="21">
        <v>2702.54</v>
      </c>
      <c r="I1548" s="21">
        <v>345.59</v>
      </c>
    </row>
    <row r="1549" spans="1:9" ht="15" customHeight="1" x14ac:dyDescent="0.3">
      <c r="A1549" s="21" t="s">
        <v>1898</v>
      </c>
      <c r="B1549" s="21">
        <v>2020</v>
      </c>
      <c r="C1549" s="21">
        <v>10</v>
      </c>
      <c r="D1549" s="21">
        <v>17</v>
      </c>
      <c r="E1549" s="21" t="s">
        <v>316</v>
      </c>
      <c r="F1549" s="21">
        <v>1</v>
      </c>
      <c r="G1549" s="21">
        <v>59.89</v>
      </c>
      <c r="H1549" s="21">
        <v>2069.8000000000002</v>
      </c>
      <c r="I1549" s="21">
        <v>345.6</v>
      </c>
    </row>
    <row r="1550" spans="1:9" ht="15" customHeight="1" x14ac:dyDescent="0.3">
      <c r="A1550" s="21" t="s">
        <v>1899</v>
      </c>
      <c r="B1550" s="21">
        <v>2020</v>
      </c>
      <c r="C1550" s="21">
        <v>10</v>
      </c>
      <c r="D1550" s="21">
        <v>18</v>
      </c>
      <c r="E1550" s="21" t="s">
        <v>319</v>
      </c>
      <c r="F1550" s="21">
        <v>1</v>
      </c>
      <c r="G1550" s="21">
        <v>56.14</v>
      </c>
      <c r="H1550" s="21">
        <v>1940.08</v>
      </c>
      <c r="I1550" s="21">
        <v>345.58</v>
      </c>
    </row>
    <row r="1551" spans="1:9" ht="15" customHeight="1" x14ac:dyDescent="0.3">
      <c r="A1551" s="21" t="s">
        <v>1900</v>
      </c>
      <c r="B1551" s="21">
        <v>2020</v>
      </c>
      <c r="C1551" s="21">
        <v>10</v>
      </c>
      <c r="D1551" s="21">
        <v>19</v>
      </c>
      <c r="E1551" s="21" t="s">
        <v>299</v>
      </c>
      <c r="F1551" s="21">
        <v>0</v>
      </c>
      <c r="G1551" s="21">
        <v>77.11</v>
      </c>
      <c r="H1551" s="21">
        <v>2664.84</v>
      </c>
      <c r="I1551" s="21">
        <v>345.59</v>
      </c>
    </row>
    <row r="1552" spans="1:9" ht="15" customHeight="1" x14ac:dyDescent="0.3">
      <c r="A1552" s="21" t="s">
        <v>1901</v>
      </c>
      <c r="B1552" s="21">
        <v>2020</v>
      </c>
      <c r="C1552" s="21">
        <v>10</v>
      </c>
      <c r="D1552" s="21">
        <v>20</v>
      </c>
      <c r="E1552" s="21" t="s">
        <v>303</v>
      </c>
      <c r="F1552" s="21">
        <v>0</v>
      </c>
      <c r="G1552" s="21">
        <v>77.400000000000006</v>
      </c>
      <c r="H1552" s="21">
        <v>2674.98</v>
      </c>
      <c r="I1552" s="21">
        <v>345.6</v>
      </c>
    </row>
    <row r="1553" spans="1:9" ht="15" customHeight="1" x14ac:dyDescent="0.3">
      <c r="A1553" s="21" t="s">
        <v>1902</v>
      </c>
      <c r="B1553" s="21">
        <v>2020</v>
      </c>
      <c r="C1553" s="21">
        <v>10</v>
      </c>
      <c r="D1553" s="21">
        <v>21</v>
      </c>
      <c r="E1553" s="21" t="s">
        <v>307</v>
      </c>
      <c r="F1553" s="21">
        <v>0</v>
      </c>
      <c r="G1553" s="21">
        <v>77.16</v>
      </c>
      <c r="H1553" s="21">
        <v>2666.52</v>
      </c>
      <c r="I1553" s="21">
        <v>345.58</v>
      </c>
    </row>
    <row r="1554" spans="1:9" ht="15" customHeight="1" x14ac:dyDescent="0.3">
      <c r="A1554" s="21" t="s">
        <v>1903</v>
      </c>
      <c r="B1554" s="21">
        <v>2020</v>
      </c>
      <c r="C1554" s="21">
        <v>10</v>
      </c>
      <c r="D1554" s="21">
        <v>22</v>
      </c>
      <c r="E1554" s="21" t="s">
        <v>310</v>
      </c>
      <c r="F1554" s="21">
        <v>0</v>
      </c>
      <c r="G1554" s="21">
        <v>72.489999999999995</v>
      </c>
      <c r="H1554" s="21">
        <v>2505.11</v>
      </c>
      <c r="I1554" s="21">
        <v>345.58</v>
      </c>
    </row>
    <row r="1555" spans="1:9" ht="15" customHeight="1" x14ac:dyDescent="0.3">
      <c r="A1555" s="21" t="s">
        <v>1904</v>
      </c>
      <c r="B1555" s="21">
        <v>2020</v>
      </c>
      <c r="C1555" s="21">
        <v>10</v>
      </c>
      <c r="D1555" s="21">
        <v>23</v>
      </c>
      <c r="E1555" s="21" t="s">
        <v>313</v>
      </c>
      <c r="F1555" s="21">
        <v>0</v>
      </c>
      <c r="G1555" s="21">
        <v>78.05</v>
      </c>
      <c r="H1555" s="21">
        <v>2697.24</v>
      </c>
      <c r="I1555" s="21">
        <v>345.58</v>
      </c>
    </row>
    <row r="1556" spans="1:9" ht="15" customHeight="1" x14ac:dyDescent="0.3">
      <c r="A1556" s="21" t="s">
        <v>1905</v>
      </c>
      <c r="B1556" s="21">
        <v>2020</v>
      </c>
      <c r="C1556" s="21">
        <v>10</v>
      </c>
      <c r="D1556" s="21">
        <v>24</v>
      </c>
      <c r="E1556" s="21" t="s">
        <v>316</v>
      </c>
      <c r="F1556" s="21">
        <v>1</v>
      </c>
      <c r="G1556" s="21">
        <v>63.5</v>
      </c>
      <c r="H1556" s="21">
        <v>2194.66</v>
      </c>
      <c r="I1556" s="21">
        <v>345.62</v>
      </c>
    </row>
    <row r="1557" spans="1:9" ht="15" customHeight="1" x14ac:dyDescent="0.3">
      <c r="A1557" s="21" t="s">
        <v>1906</v>
      </c>
      <c r="B1557" s="21">
        <v>2020</v>
      </c>
      <c r="C1557" s="21">
        <v>10</v>
      </c>
      <c r="D1557" s="21">
        <v>25</v>
      </c>
      <c r="E1557" s="21" t="s">
        <v>319</v>
      </c>
      <c r="F1557" s="21">
        <v>1</v>
      </c>
      <c r="G1557" s="21">
        <v>60.27</v>
      </c>
      <c r="H1557" s="21">
        <v>2082.87</v>
      </c>
      <c r="I1557" s="21">
        <v>345.59</v>
      </c>
    </row>
    <row r="1558" spans="1:9" ht="15" customHeight="1" x14ac:dyDescent="0.3">
      <c r="A1558" s="21" t="s">
        <v>1907</v>
      </c>
      <c r="B1558" s="21">
        <v>2020</v>
      </c>
      <c r="C1558" s="21">
        <v>10</v>
      </c>
      <c r="D1558" s="21">
        <v>26</v>
      </c>
      <c r="E1558" s="21" t="s">
        <v>299</v>
      </c>
      <c r="F1558" s="21">
        <v>0</v>
      </c>
      <c r="G1558" s="21">
        <v>70.760000000000005</v>
      </c>
      <c r="H1558" s="21">
        <v>2445.39</v>
      </c>
      <c r="I1558" s="21">
        <v>345.59</v>
      </c>
    </row>
    <row r="1559" spans="1:9" ht="15" customHeight="1" x14ac:dyDescent="0.3">
      <c r="A1559" s="21" t="s">
        <v>1908</v>
      </c>
      <c r="B1559" s="21">
        <v>2020</v>
      </c>
      <c r="C1559" s="21">
        <v>10</v>
      </c>
      <c r="D1559" s="21">
        <v>27</v>
      </c>
      <c r="E1559" s="21" t="s">
        <v>303</v>
      </c>
      <c r="F1559" s="21">
        <v>0</v>
      </c>
      <c r="G1559" s="21">
        <v>68.349999999999994</v>
      </c>
      <c r="H1559" s="21">
        <v>2362.1</v>
      </c>
      <c r="I1559" s="21">
        <v>345.59</v>
      </c>
    </row>
    <row r="1560" spans="1:9" ht="15" customHeight="1" x14ac:dyDescent="0.3">
      <c r="A1560" s="21" t="s">
        <v>1909</v>
      </c>
      <c r="B1560" s="21">
        <v>2020</v>
      </c>
      <c r="C1560" s="21">
        <v>10</v>
      </c>
      <c r="D1560" s="21">
        <v>28</v>
      </c>
      <c r="E1560" s="21" t="s">
        <v>307</v>
      </c>
      <c r="F1560" s="21">
        <v>0</v>
      </c>
      <c r="G1560" s="21">
        <v>69.27</v>
      </c>
      <c r="H1560" s="21">
        <v>2394.02</v>
      </c>
      <c r="I1560" s="21">
        <v>345.61</v>
      </c>
    </row>
    <row r="1561" spans="1:9" ht="15" customHeight="1" x14ac:dyDescent="0.3">
      <c r="A1561" s="21" t="s">
        <v>1910</v>
      </c>
      <c r="B1561" s="21">
        <v>2020</v>
      </c>
      <c r="C1561" s="21">
        <v>10</v>
      </c>
      <c r="D1561" s="21">
        <v>29</v>
      </c>
      <c r="E1561" s="21" t="s">
        <v>310</v>
      </c>
      <c r="F1561" s="21">
        <v>0</v>
      </c>
      <c r="G1561" s="21">
        <v>66.61</v>
      </c>
      <c r="H1561" s="21">
        <v>2302.09</v>
      </c>
      <c r="I1561" s="21">
        <v>345.61</v>
      </c>
    </row>
    <row r="1562" spans="1:9" ht="15" customHeight="1" x14ac:dyDescent="0.3">
      <c r="A1562" s="21" t="s">
        <v>1911</v>
      </c>
      <c r="B1562" s="21">
        <v>2020</v>
      </c>
      <c r="C1562" s="21">
        <v>10</v>
      </c>
      <c r="D1562" s="21">
        <v>30</v>
      </c>
      <c r="E1562" s="21" t="s">
        <v>313</v>
      </c>
      <c r="F1562" s="21">
        <v>0</v>
      </c>
      <c r="G1562" s="21">
        <v>82.51</v>
      </c>
      <c r="H1562" s="21">
        <v>2851.59</v>
      </c>
      <c r="I1562" s="21">
        <v>345.61</v>
      </c>
    </row>
    <row r="1563" spans="1:9" ht="15" customHeight="1" x14ac:dyDescent="0.3">
      <c r="A1563" s="21" t="s">
        <v>1912</v>
      </c>
      <c r="B1563" s="21">
        <v>2020</v>
      </c>
      <c r="C1563" s="21">
        <v>10</v>
      </c>
      <c r="D1563" s="21">
        <v>31</v>
      </c>
      <c r="E1563" s="21" t="s">
        <v>316</v>
      </c>
      <c r="F1563" s="21">
        <v>1</v>
      </c>
      <c r="G1563" s="21">
        <v>63.29</v>
      </c>
      <c r="H1563" s="21">
        <v>2187.14</v>
      </c>
      <c r="I1563" s="21">
        <v>345.57</v>
      </c>
    </row>
    <row r="1564" spans="1:9" ht="15" customHeight="1" x14ac:dyDescent="0.3">
      <c r="A1564" s="21" t="s">
        <v>149</v>
      </c>
      <c r="B1564" s="21">
        <v>2020</v>
      </c>
      <c r="C1564" s="21">
        <v>11</v>
      </c>
      <c r="D1564" s="21">
        <v>1</v>
      </c>
      <c r="E1564" s="21" t="s">
        <v>319</v>
      </c>
      <c r="F1564" s="21">
        <v>1</v>
      </c>
      <c r="G1564" s="21">
        <v>69.92</v>
      </c>
      <c r="H1564" s="21">
        <v>2422.41</v>
      </c>
      <c r="I1564" s="21">
        <v>346.45</v>
      </c>
    </row>
    <row r="1565" spans="1:9" ht="15" customHeight="1" x14ac:dyDescent="0.3">
      <c r="A1565" s="21" t="s">
        <v>1913</v>
      </c>
      <c r="B1565" s="21">
        <v>2020</v>
      </c>
      <c r="C1565" s="21">
        <v>11</v>
      </c>
      <c r="D1565" s="21">
        <v>2</v>
      </c>
      <c r="E1565" s="21" t="s">
        <v>299</v>
      </c>
      <c r="F1565" s="21">
        <v>0</v>
      </c>
      <c r="G1565" s="21">
        <v>88.39</v>
      </c>
      <c r="H1565" s="21">
        <v>3062.4</v>
      </c>
      <c r="I1565" s="21">
        <v>346.46</v>
      </c>
    </row>
    <row r="1566" spans="1:9" ht="15" customHeight="1" x14ac:dyDescent="0.3">
      <c r="A1566" s="21" t="s">
        <v>1914</v>
      </c>
      <c r="B1566" s="21">
        <v>2020</v>
      </c>
      <c r="C1566" s="21">
        <v>11</v>
      </c>
      <c r="D1566" s="21">
        <v>3</v>
      </c>
      <c r="E1566" s="21" t="s">
        <v>303</v>
      </c>
      <c r="F1566" s="21">
        <v>0</v>
      </c>
      <c r="G1566" s="21">
        <v>74.489999999999995</v>
      </c>
      <c r="H1566" s="21">
        <v>2580.8000000000002</v>
      </c>
      <c r="I1566" s="21">
        <v>346.46</v>
      </c>
    </row>
    <row r="1567" spans="1:9" ht="15" customHeight="1" x14ac:dyDescent="0.3">
      <c r="A1567" s="21" t="s">
        <v>1915</v>
      </c>
      <c r="B1567" s="21">
        <v>2020</v>
      </c>
      <c r="C1567" s="21">
        <v>11</v>
      </c>
      <c r="D1567" s="21">
        <v>4</v>
      </c>
      <c r="E1567" s="21" t="s">
        <v>307</v>
      </c>
      <c r="F1567" s="21">
        <v>0</v>
      </c>
      <c r="G1567" s="21">
        <v>75.7</v>
      </c>
      <c r="H1567" s="21">
        <v>2622.63</v>
      </c>
      <c r="I1567" s="21">
        <v>346.45</v>
      </c>
    </row>
    <row r="1568" spans="1:9" ht="15" customHeight="1" x14ac:dyDescent="0.3">
      <c r="A1568" s="21" t="s">
        <v>1916</v>
      </c>
      <c r="B1568" s="21">
        <v>2020</v>
      </c>
      <c r="C1568" s="21">
        <v>11</v>
      </c>
      <c r="D1568" s="21">
        <v>5</v>
      </c>
      <c r="E1568" s="21" t="s">
        <v>310</v>
      </c>
      <c r="F1568" s="21">
        <v>0</v>
      </c>
      <c r="G1568" s="21">
        <v>71.900000000000006</v>
      </c>
      <c r="H1568" s="21">
        <v>2491.16</v>
      </c>
      <c r="I1568" s="21">
        <v>346.48</v>
      </c>
    </row>
    <row r="1569" spans="1:9" ht="15" customHeight="1" x14ac:dyDescent="0.3">
      <c r="A1569" s="21" t="s">
        <v>1917</v>
      </c>
      <c r="B1569" s="21">
        <v>2020</v>
      </c>
      <c r="C1569" s="21">
        <v>11</v>
      </c>
      <c r="D1569" s="21">
        <v>6</v>
      </c>
      <c r="E1569" s="21" t="s">
        <v>313</v>
      </c>
      <c r="F1569" s="21">
        <v>0</v>
      </c>
      <c r="G1569" s="21">
        <v>82.87</v>
      </c>
      <c r="H1569" s="21">
        <v>2871.19</v>
      </c>
      <c r="I1569" s="21">
        <v>346.47</v>
      </c>
    </row>
    <row r="1570" spans="1:9" ht="15" customHeight="1" x14ac:dyDescent="0.3">
      <c r="A1570" s="21" t="s">
        <v>1918</v>
      </c>
      <c r="B1570" s="21">
        <v>2020</v>
      </c>
      <c r="C1570" s="21">
        <v>11</v>
      </c>
      <c r="D1570" s="21">
        <v>7</v>
      </c>
      <c r="E1570" s="21" t="s">
        <v>316</v>
      </c>
      <c r="F1570" s="21">
        <v>1</v>
      </c>
      <c r="G1570" s="21">
        <v>62.03</v>
      </c>
      <c r="H1570" s="21">
        <v>2149</v>
      </c>
      <c r="I1570" s="21">
        <v>346.45</v>
      </c>
    </row>
    <row r="1571" spans="1:9" ht="15" customHeight="1" x14ac:dyDescent="0.3">
      <c r="A1571" s="21" t="s">
        <v>1919</v>
      </c>
      <c r="B1571" s="21">
        <v>2020</v>
      </c>
      <c r="C1571" s="21">
        <v>11</v>
      </c>
      <c r="D1571" s="21">
        <v>8</v>
      </c>
      <c r="E1571" s="21" t="s">
        <v>319</v>
      </c>
      <c r="F1571" s="21">
        <v>1</v>
      </c>
      <c r="G1571" s="21">
        <v>62.58</v>
      </c>
      <c r="H1571" s="21">
        <v>2168.13</v>
      </c>
      <c r="I1571" s="21">
        <v>346.46</v>
      </c>
    </row>
    <row r="1572" spans="1:9" ht="15" customHeight="1" x14ac:dyDescent="0.3">
      <c r="A1572" s="21" t="s">
        <v>1920</v>
      </c>
      <c r="B1572" s="21">
        <v>2020</v>
      </c>
      <c r="C1572" s="21">
        <v>11</v>
      </c>
      <c r="D1572" s="21">
        <v>9</v>
      </c>
      <c r="E1572" s="21" t="s">
        <v>299</v>
      </c>
      <c r="F1572" s="21">
        <v>0</v>
      </c>
      <c r="G1572" s="21">
        <v>75.709999999999994</v>
      </c>
      <c r="H1572" s="21">
        <v>2623.08</v>
      </c>
      <c r="I1572" s="21">
        <v>346.46</v>
      </c>
    </row>
    <row r="1573" spans="1:9" ht="15" customHeight="1" x14ac:dyDescent="0.3">
      <c r="A1573" s="21" t="s">
        <v>1921</v>
      </c>
      <c r="B1573" s="21">
        <v>2020</v>
      </c>
      <c r="C1573" s="21">
        <v>11</v>
      </c>
      <c r="D1573" s="21">
        <v>10</v>
      </c>
      <c r="E1573" s="21" t="s">
        <v>303</v>
      </c>
      <c r="F1573" s="21">
        <v>0</v>
      </c>
      <c r="G1573" s="21">
        <v>68.319999999999993</v>
      </c>
      <c r="H1573" s="21">
        <v>2367.02</v>
      </c>
      <c r="I1573" s="21">
        <v>346.46</v>
      </c>
    </row>
    <row r="1574" spans="1:9" ht="15" customHeight="1" x14ac:dyDescent="0.3">
      <c r="A1574" s="21" t="s">
        <v>1922</v>
      </c>
      <c r="B1574" s="21">
        <v>2020</v>
      </c>
      <c r="C1574" s="21">
        <v>11</v>
      </c>
      <c r="D1574" s="21">
        <v>11</v>
      </c>
      <c r="E1574" s="21" t="s">
        <v>307</v>
      </c>
      <c r="F1574" s="21">
        <v>0</v>
      </c>
      <c r="G1574" s="21">
        <v>75.63</v>
      </c>
      <c r="H1574" s="21">
        <v>2620.37</v>
      </c>
      <c r="I1574" s="21">
        <v>346.47</v>
      </c>
    </row>
    <row r="1575" spans="1:9" ht="15" customHeight="1" x14ac:dyDescent="0.3">
      <c r="A1575" s="21" t="s">
        <v>1923</v>
      </c>
      <c r="B1575" s="21">
        <v>2020</v>
      </c>
      <c r="C1575" s="21">
        <v>11</v>
      </c>
      <c r="D1575" s="21">
        <v>12</v>
      </c>
      <c r="E1575" s="21" t="s">
        <v>310</v>
      </c>
      <c r="F1575" s="21">
        <v>0</v>
      </c>
      <c r="G1575" s="21">
        <v>75.31</v>
      </c>
      <c r="H1575" s="21">
        <v>2609.09</v>
      </c>
      <c r="I1575" s="21">
        <v>346.45</v>
      </c>
    </row>
    <row r="1576" spans="1:9" ht="15" customHeight="1" x14ac:dyDescent="0.3">
      <c r="A1576" s="21" t="s">
        <v>1924</v>
      </c>
      <c r="B1576" s="21">
        <v>2020</v>
      </c>
      <c r="C1576" s="21">
        <v>11</v>
      </c>
      <c r="D1576" s="21">
        <v>13</v>
      </c>
      <c r="E1576" s="21" t="s">
        <v>313</v>
      </c>
      <c r="F1576" s="21">
        <v>0</v>
      </c>
      <c r="G1576" s="21">
        <v>78.95</v>
      </c>
      <c r="H1576" s="21">
        <v>2735.34</v>
      </c>
      <c r="I1576" s="21">
        <v>346.46</v>
      </c>
    </row>
    <row r="1577" spans="1:9" ht="15" customHeight="1" x14ac:dyDescent="0.3">
      <c r="A1577" s="21" t="s">
        <v>1925</v>
      </c>
      <c r="B1577" s="21">
        <v>2020</v>
      </c>
      <c r="C1577" s="21">
        <v>11</v>
      </c>
      <c r="D1577" s="21">
        <v>14</v>
      </c>
      <c r="E1577" s="21" t="s">
        <v>316</v>
      </c>
      <c r="F1577" s="21">
        <v>1</v>
      </c>
      <c r="G1577" s="21">
        <v>62.78</v>
      </c>
      <c r="H1577" s="21">
        <v>2174.9</v>
      </c>
      <c r="I1577" s="21">
        <v>346.43</v>
      </c>
    </row>
    <row r="1578" spans="1:9" ht="15" customHeight="1" x14ac:dyDescent="0.3">
      <c r="A1578" s="21" t="s">
        <v>1926</v>
      </c>
      <c r="B1578" s="21">
        <v>2020</v>
      </c>
      <c r="C1578" s="21">
        <v>11</v>
      </c>
      <c r="D1578" s="21">
        <v>15</v>
      </c>
      <c r="E1578" s="21" t="s">
        <v>319</v>
      </c>
      <c r="F1578" s="21">
        <v>1</v>
      </c>
      <c r="G1578" s="21">
        <v>70.150000000000006</v>
      </c>
      <c r="H1578" s="21">
        <v>2430.21</v>
      </c>
      <c r="I1578" s="21">
        <v>346.43</v>
      </c>
    </row>
    <row r="1579" spans="1:9" ht="15" customHeight="1" x14ac:dyDescent="0.3">
      <c r="A1579" s="21" t="s">
        <v>1927</v>
      </c>
      <c r="B1579" s="21">
        <v>2020</v>
      </c>
      <c r="C1579" s="21">
        <v>11</v>
      </c>
      <c r="D1579" s="21">
        <v>16</v>
      </c>
      <c r="E1579" s="21" t="s">
        <v>299</v>
      </c>
      <c r="F1579" s="21">
        <v>0</v>
      </c>
      <c r="G1579" s="21">
        <v>81.3</v>
      </c>
      <c r="H1579" s="21">
        <v>2816.7</v>
      </c>
      <c r="I1579" s="21">
        <v>346.46</v>
      </c>
    </row>
    <row r="1580" spans="1:9" ht="15" customHeight="1" x14ac:dyDescent="0.3">
      <c r="A1580" s="21" t="s">
        <v>1928</v>
      </c>
      <c r="B1580" s="21">
        <v>2020</v>
      </c>
      <c r="C1580" s="21">
        <v>11</v>
      </c>
      <c r="D1580" s="21">
        <v>17</v>
      </c>
      <c r="E1580" s="21" t="s">
        <v>303</v>
      </c>
      <c r="F1580" s="21">
        <v>0</v>
      </c>
      <c r="G1580" s="21">
        <v>79.760000000000005</v>
      </c>
      <c r="H1580" s="21">
        <v>2763.37</v>
      </c>
      <c r="I1580" s="21">
        <v>346.46</v>
      </c>
    </row>
    <row r="1581" spans="1:9" ht="15" customHeight="1" x14ac:dyDescent="0.3">
      <c r="A1581" s="21" t="s">
        <v>1929</v>
      </c>
      <c r="B1581" s="21">
        <v>2020</v>
      </c>
      <c r="C1581" s="21">
        <v>11</v>
      </c>
      <c r="D1581" s="21">
        <v>18</v>
      </c>
      <c r="E1581" s="21" t="s">
        <v>307</v>
      </c>
      <c r="F1581" s="21">
        <v>0</v>
      </c>
      <c r="G1581" s="21">
        <v>82.98</v>
      </c>
      <c r="H1581" s="21">
        <v>2874.84</v>
      </c>
      <c r="I1581" s="21">
        <v>346.45</v>
      </c>
    </row>
    <row r="1582" spans="1:9" ht="15" customHeight="1" x14ac:dyDescent="0.3">
      <c r="A1582" s="21" t="s">
        <v>1930</v>
      </c>
      <c r="B1582" s="21">
        <v>2020</v>
      </c>
      <c r="C1582" s="21">
        <v>11</v>
      </c>
      <c r="D1582" s="21">
        <v>19</v>
      </c>
      <c r="E1582" s="21" t="s">
        <v>310</v>
      </c>
      <c r="F1582" s="21">
        <v>0</v>
      </c>
      <c r="G1582" s="21">
        <v>78</v>
      </c>
      <c r="H1582" s="21">
        <v>2702.27</v>
      </c>
      <c r="I1582" s="21">
        <v>346.44</v>
      </c>
    </row>
    <row r="1583" spans="1:9" ht="15" customHeight="1" x14ac:dyDescent="0.3">
      <c r="A1583" s="21" t="s">
        <v>1931</v>
      </c>
      <c r="B1583" s="21">
        <v>2020</v>
      </c>
      <c r="C1583" s="21">
        <v>11</v>
      </c>
      <c r="D1583" s="21">
        <v>20</v>
      </c>
      <c r="E1583" s="21" t="s">
        <v>313</v>
      </c>
      <c r="F1583" s="21">
        <v>0</v>
      </c>
      <c r="G1583" s="21">
        <v>88.25</v>
      </c>
      <c r="H1583" s="21">
        <v>3057.3</v>
      </c>
      <c r="I1583" s="21">
        <v>346.44</v>
      </c>
    </row>
    <row r="1584" spans="1:9" ht="15" customHeight="1" x14ac:dyDescent="0.3">
      <c r="A1584" s="21" t="s">
        <v>1932</v>
      </c>
      <c r="B1584" s="21">
        <v>2020</v>
      </c>
      <c r="C1584" s="21">
        <v>11</v>
      </c>
      <c r="D1584" s="21">
        <v>21</v>
      </c>
      <c r="E1584" s="21" t="s">
        <v>316</v>
      </c>
      <c r="F1584" s="21">
        <v>1</v>
      </c>
      <c r="G1584" s="21">
        <v>65.59</v>
      </c>
      <c r="H1584" s="21">
        <v>2272.4699999999998</v>
      </c>
      <c r="I1584" s="21">
        <v>346.47</v>
      </c>
    </row>
    <row r="1585" spans="1:9" ht="15" customHeight="1" x14ac:dyDescent="0.3">
      <c r="A1585" s="21" t="s">
        <v>1933</v>
      </c>
      <c r="B1585" s="21">
        <v>2020</v>
      </c>
      <c r="C1585" s="21">
        <v>11</v>
      </c>
      <c r="D1585" s="21">
        <v>22</v>
      </c>
      <c r="E1585" s="21" t="s">
        <v>319</v>
      </c>
      <c r="F1585" s="21">
        <v>1</v>
      </c>
      <c r="G1585" s="21">
        <v>70.02</v>
      </c>
      <c r="H1585" s="21">
        <v>2426.0300000000002</v>
      </c>
      <c r="I1585" s="21">
        <v>346.48</v>
      </c>
    </row>
    <row r="1586" spans="1:9" ht="15" customHeight="1" x14ac:dyDescent="0.3">
      <c r="A1586" s="21" t="s">
        <v>1934</v>
      </c>
      <c r="B1586" s="21">
        <v>2020</v>
      </c>
      <c r="C1586" s="21">
        <v>11</v>
      </c>
      <c r="D1586" s="21">
        <v>23</v>
      </c>
      <c r="E1586" s="21" t="s">
        <v>299</v>
      </c>
      <c r="F1586" s="21">
        <v>0</v>
      </c>
      <c r="G1586" s="21">
        <v>85.01</v>
      </c>
      <c r="H1586" s="21">
        <v>2945.33</v>
      </c>
      <c r="I1586" s="21">
        <v>346.47</v>
      </c>
    </row>
    <row r="1587" spans="1:9" ht="15" customHeight="1" x14ac:dyDescent="0.3">
      <c r="A1587" s="21" t="s">
        <v>1935</v>
      </c>
      <c r="B1587" s="21">
        <v>2020</v>
      </c>
      <c r="C1587" s="21">
        <v>11</v>
      </c>
      <c r="D1587" s="21">
        <v>24</v>
      </c>
      <c r="E1587" s="21" t="s">
        <v>303</v>
      </c>
      <c r="F1587" s="21">
        <v>0</v>
      </c>
      <c r="G1587" s="21">
        <v>77.12</v>
      </c>
      <c r="H1587" s="21">
        <v>2671.88</v>
      </c>
      <c r="I1587" s="21">
        <v>346.46</v>
      </c>
    </row>
    <row r="1588" spans="1:9" ht="15" customHeight="1" x14ac:dyDescent="0.3">
      <c r="A1588" s="21" t="s">
        <v>1936</v>
      </c>
      <c r="B1588" s="21">
        <v>2020</v>
      </c>
      <c r="C1588" s="21">
        <v>11</v>
      </c>
      <c r="D1588" s="21">
        <v>25</v>
      </c>
      <c r="E1588" s="21" t="s">
        <v>307</v>
      </c>
      <c r="F1588" s="21">
        <v>0</v>
      </c>
      <c r="G1588" s="21">
        <v>83.88</v>
      </c>
      <c r="H1588" s="21">
        <v>2906.05</v>
      </c>
      <c r="I1588" s="21">
        <v>346.45</v>
      </c>
    </row>
    <row r="1589" spans="1:9" ht="15" customHeight="1" x14ac:dyDescent="0.3">
      <c r="A1589" s="21" t="s">
        <v>1937</v>
      </c>
      <c r="B1589" s="21">
        <v>2020</v>
      </c>
      <c r="C1589" s="21">
        <v>11</v>
      </c>
      <c r="D1589" s="21">
        <v>26</v>
      </c>
      <c r="E1589" s="21" t="s">
        <v>310</v>
      </c>
      <c r="F1589" s="21">
        <v>0</v>
      </c>
      <c r="G1589" s="21">
        <v>72.06</v>
      </c>
      <c r="H1589" s="21">
        <v>2496.41</v>
      </c>
      <c r="I1589" s="21">
        <v>346.43</v>
      </c>
    </row>
    <row r="1590" spans="1:9" ht="15" customHeight="1" x14ac:dyDescent="0.3">
      <c r="A1590" s="21" t="s">
        <v>1938</v>
      </c>
      <c r="B1590" s="21">
        <v>2020</v>
      </c>
      <c r="C1590" s="21">
        <v>11</v>
      </c>
      <c r="D1590" s="21">
        <v>27</v>
      </c>
      <c r="E1590" s="21" t="s">
        <v>313</v>
      </c>
      <c r="F1590" s="21">
        <v>0</v>
      </c>
      <c r="G1590" s="21">
        <v>77.78</v>
      </c>
      <c r="H1590" s="21">
        <v>2694.83</v>
      </c>
      <c r="I1590" s="21">
        <v>346.47</v>
      </c>
    </row>
    <row r="1591" spans="1:9" ht="15" customHeight="1" x14ac:dyDescent="0.3">
      <c r="A1591" s="21" t="s">
        <v>1939</v>
      </c>
      <c r="B1591" s="21">
        <v>2020</v>
      </c>
      <c r="C1591" s="21">
        <v>11</v>
      </c>
      <c r="D1591" s="21">
        <v>28</v>
      </c>
      <c r="E1591" s="21" t="s">
        <v>316</v>
      </c>
      <c r="F1591" s="21">
        <v>1</v>
      </c>
      <c r="G1591" s="21">
        <v>63.07</v>
      </c>
      <c r="H1591" s="21">
        <v>2185.13</v>
      </c>
      <c r="I1591" s="21">
        <v>346.46</v>
      </c>
    </row>
    <row r="1592" spans="1:9" ht="15" customHeight="1" x14ac:dyDescent="0.3">
      <c r="A1592" s="21" t="s">
        <v>1940</v>
      </c>
      <c r="B1592" s="21">
        <v>2020</v>
      </c>
      <c r="C1592" s="21">
        <v>11</v>
      </c>
      <c r="D1592" s="21">
        <v>29</v>
      </c>
      <c r="E1592" s="21" t="s">
        <v>319</v>
      </c>
      <c r="F1592" s="21">
        <v>1</v>
      </c>
      <c r="G1592" s="21">
        <v>74.94</v>
      </c>
      <c r="H1592" s="21">
        <v>2596.39</v>
      </c>
      <c r="I1592" s="21">
        <v>346.46</v>
      </c>
    </row>
    <row r="1593" spans="1:9" ht="15" customHeight="1" x14ac:dyDescent="0.3">
      <c r="A1593" s="21" t="s">
        <v>1941</v>
      </c>
      <c r="B1593" s="21">
        <v>2020</v>
      </c>
      <c r="C1593" s="21">
        <v>11</v>
      </c>
      <c r="D1593" s="21">
        <v>30</v>
      </c>
      <c r="E1593" s="21" t="s">
        <v>299</v>
      </c>
      <c r="F1593" s="21">
        <v>0</v>
      </c>
      <c r="G1593" s="21">
        <v>86.39</v>
      </c>
      <c r="H1593" s="21">
        <v>2992.88</v>
      </c>
      <c r="I1593" s="21">
        <v>346.44</v>
      </c>
    </row>
    <row r="1594" spans="1:9" ht="15" customHeight="1" x14ac:dyDescent="0.3">
      <c r="A1594" s="21" t="s">
        <v>150</v>
      </c>
      <c r="B1594" s="21">
        <v>2020</v>
      </c>
      <c r="C1594" s="21">
        <v>12</v>
      </c>
      <c r="D1594" s="21">
        <v>1</v>
      </c>
      <c r="E1594" s="21" t="s">
        <v>303</v>
      </c>
      <c r="F1594" s="21">
        <v>0</v>
      </c>
      <c r="G1594" s="21">
        <v>83.01</v>
      </c>
      <c r="H1594" s="21">
        <v>2901.13</v>
      </c>
      <c r="I1594" s="21">
        <v>349.49</v>
      </c>
    </row>
    <row r="1595" spans="1:9" ht="15" customHeight="1" x14ac:dyDescent="0.3">
      <c r="A1595" s="21" t="s">
        <v>1942</v>
      </c>
      <c r="B1595" s="21">
        <v>2020</v>
      </c>
      <c r="C1595" s="21">
        <v>12</v>
      </c>
      <c r="D1595" s="21">
        <v>2</v>
      </c>
      <c r="E1595" s="21" t="s">
        <v>307</v>
      </c>
      <c r="F1595" s="21">
        <v>0</v>
      </c>
      <c r="G1595" s="21">
        <v>83.92</v>
      </c>
      <c r="H1595" s="21">
        <v>2933.03</v>
      </c>
      <c r="I1595" s="21">
        <v>349.5</v>
      </c>
    </row>
    <row r="1596" spans="1:9" ht="15" customHeight="1" x14ac:dyDescent="0.3">
      <c r="A1596" s="21" t="s">
        <v>1943</v>
      </c>
      <c r="B1596" s="21">
        <v>2020</v>
      </c>
      <c r="C1596" s="21">
        <v>12</v>
      </c>
      <c r="D1596" s="21">
        <v>3</v>
      </c>
      <c r="E1596" s="21" t="s">
        <v>310</v>
      </c>
      <c r="F1596" s="21">
        <v>0</v>
      </c>
      <c r="G1596" s="21">
        <v>73.55</v>
      </c>
      <c r="H1596" s="21">
        <v>2570.42</v>
      </c>
      <c r="I1596" s="21">
        <v>349.48</v>
      </c>
    </row>
    <row r="1597" spans="1:9" ht="15" customHeight="1" x14ac:dyDescent="0.3">
      <c r="A1597" s="21" t="s">
        <v>1944</v>
      </c>
      <c r="B1597" s="21">
        <v>2020</v>
      </c>
      <c r="C1597" s="21">
        <v>12</v>
      </c>
      <c r="D1597" s="21">
        <v>4</v>
      </c>
      <c r="E1597" s="21" t="s">
        <v>313</v>
      </c>
      <c r="F1597" s="21">
        <v>0</v>
      </c>
      <c r="G1597" s="21">
        <v>78.19</v>
      </c>
      <c r="H1597" s="21">
        <v>2732.84</v>
      </c>
      <c r="I1597" s="21">
        <v>349.51</v>
      </c>
    </row>
    <row r="1598" spans="1:9" ht="15" customHeight="1" x14ac:dyDescent="0.3">
      <c r="A1598" s="21" t="s">
        <v>1945</v>
      </c>
      <c r="B1598" s="21">
        <v>2020</v>
      </c>
      <c r="C1598" s="21">
        <v>12</v>
      </c>
      <c r="D1598" s="21">
        <v>5</v>
      </c>
      <c r="E1598" s="21" t="s">
        <v>316</v>
      </c>
      <c r="F1598" s="21">
        <v>1</v>
      </c>
      <c r="G1598" s="21">
        <v>60.45</v>
      </c>
      <c r="H1598" s="21">
        <v>2112.63</v>
      </c>
      <c r="I1598" s="21">
        <v>349.48</v>
      </c>
    </row>
    <row r="1599" spans="1:9" ht="15" customHeight="1" x14ac:dyDescent="0.3">
      <c r="A1599" s="21" t="s">
        <v>1946</v>
      </c>
      <c r="B1599" s="21">
        <v>2020</v>
      </c>
      <c r="C1599" s="21">
        <v>12</v>
      </c>
      <c r="D1599" s="21">
        <v>6</v>
      </c>
      <c r="E1599" s="21" t="s">
        <v>319</v>
      </c>
      <c r="F1599" s="21">
        <v>1</v>
      </c>
      <c r="G1599" s="21">
        <v>59.45</v>
      </c>
      <c r="H1599" s="21">
        <v>2077.84</v>
      </c>
      <c r="I1599" s="21">
        <v>349.51</v>
      </c>
    </row>
    <row r="1600" spans="1:9" ht="15" customHeight="1" x14ac:dyDescent="0.3">
      <c r="A1600" s="21" t="s">
        <v>1947</v>
      </c>
      <c r="B1600" s="21">
        <v>2020</v>
      </c>
      <c r="C1600" s="21">
        <v>12</v>
      </c>
      <c r="D1600" s="21">
        <v>7</v>
      </c>
      <c r="E1600" s="21" t="s">
        <v>299</v>
      </c>
      <c r="F1600" s="21">
        <v>0</v>
      </c>
      <c r="G1600" s="21">
        <v>75.84</v>
      </c>
      <c r="H1600" s="21">
        <v>2650.48</v>
      </c>
      <c r="I1600" s="21">
        <v>349.48</v>
      </c>
    </row>
    <row r="1601" spans="1:9" ht="15" customHeight="1" x14ac:dyDescent="0.3">
      <c r="A1601" s="21" t="s">
        <v>1948</v>
      </c>
      <c r="B1601" s="21">
        <v>2020</v>
      </c>
      <c r="C1601" s="21">
        <v>12</v>
      </c>
      <c r="D1601" s="21">
        <v>8</v>
      </c>
      <c r="E1601" s="21" t="s">
        <v>303</v>
      </c>
      <c r="F1601" s="21">
        <v>0</v>
      </c>
      <c r="G1601" s="21">
        <v>69.73</v>
      </c>
      <c r="H1601" s="21">
        <v>2437.0700000000002</v>
      </c>
      <c r="I1601" s="21">
        <v>349.5</v>
      </c>
    </row>
    <row r="1602" spans="1:9" ht="15" customHeight="1" x14ac:dyDescent="0.3">
      <c r="A1602" s="21" t="s">
        <v>1949</v>
      </c>
      <c r="B1602" s="21">
        <v>2020</v>
      </c>
      <c r="C1602" s="21">
        <v>12</v>
      </c>
      <c r="D1602" s="21">
        <v>9</v>
      </c>
      <c r="E1602" s="21" t="s">
        <v>307</v>
      </c>
      <c r="F1602" s="21">
        <v>0</v>
      </c>
      <c r="G1602" s="21">
        <v>65.73</v>
      </c>
      <c r="H1602" s="21">
        <v>2297.38</v>
      </c>
      <c r="I1602" s="21">
        <v>349.52</v>
      </c>
    </row>
    <row r="1603" spans="1:9" ht="15" customHeight="1" x14ac:dyDescent="0.3">
      <c r="A1603" s="21" t="s">
        <v>1950</v>
      </c>
      <c r="B1603" s="21">
        <v>2020</v>
      </c>
      <c r="C1603" s="21">
        <v>12</v>
      </c>
      <c r="D1603" s="21">
        <v>10</v>
      </c>
      <c r="E1603" s="21" t="s">
        <v>310</v>
      </c>
      <c r="F1603" s="21">
        <v>0</v>
      </c>
      <c r="G1603" s="21">
        <v>72.989999999999995</v>
      </c>
      <c r="H1603" s="21">
        <v>2551.04</v>
      </c>
      <c r="I1603" s="21">
        <v>349.51</v>
      </c>
    </row>
    <row r="1604" spans="1:9" ht="15" customHeight="1" x14ac:dyDescent="0.3">
      <c r="A1604" s="21" t="s">
        <v>1951</v>
      </c>
      <c r="B1604" s="21">
        <v>2020</v>
      </c>
      <c r="C1604" s="21">
        <v>12</v>
      </c>
      <c r="D1604" s="21">
        <v>11</v>
      </c>
      <c r="E1604" s="21" t="s">
        <v>313</v>
      </c>
      <c r="F1604" s="21">
        <v>0</v>
      </c>
      <c r="G1604" s="21">
        <v>79.77</v>
      </c>
      <c r="H1604" s="21">
        <v>2787.79</v>
      </c>
      <c r="I1604" s="21">
        <v>349.48</v>
      </c>
    </row>
    <row r="1605" spans="1:9" ht="15" customHeight="1" x14ac:dyDescent="0.3">
      <c r="A1605" s="21" t="s">
        <v>1952</v>
      </c>
      <c r="B1605" s="21">
        <v>2020</v>
      </c>
      <c r="C1605" s="21">
        <v>12</v>
      </c>
      <c r="D1605" s="21">
        <v>12</v>
      </c>
      <c r="E1605" s="21" t="s">
        <v>316</v>
      </c>
      <c r="F1605" s="21">
        <v>1</v>
      </c>
      <c r="G1605" s="21">
        <v>56.13</v>
      </c>
      <c r="H1605" s="21">
        <v>1961.85</v>
      </c>
      <c r="I1605" s="21">
        <v>349.52</v>
      </c>
    </row>
    <row r="1606" spans="1:9" ht="15" customHeight="1" x14ac:dyDescent="0.3">
      <c r="A1606" s="21" t="s">
        <v>1953</v>
      </c>
      <c r="B1606" s="21">
        <v>2020</v>
      </c>
      <c r="C1606" s="21">
        <v>12</v>
      </c>
      <c r="D1606" s="21">
        <v>13</v>
      </c>
      <c r="E1606" s="21" t="s">
        <v>319</v>
      </c>
      <c r="F1606" s="21">
        <v>1</v>
      </c>
      <c r="G1606" s="21">
        <v>59.06</v>
      </c>
      <c r="H1606" s="21">
        <v>2064.08</v>
      </c>
      <c r="I1606" s="21">
        <v>349.49</v>
      </c>
    </row>
    <row r="1607" spans="1:9" ht="15" customHeight="1" x14ac:dyDescent="0.3">
      <c r="A1607" s="21" t="s">
        <v>1954</v>
      </c>
      <c r="B1607" s="21">
        <v>2020</v>
      </c>
      <c r="C1607" s="21">
        <v>12</v>
      </c>
      <c r="D1607" s="21">
        <v>14</v>
      </c>
      <c r="E1607" s="21" t="s">
        <v>299</v>
      </c>
      <c r="F1607" s="21">
        <v>0</v>
      </c>
      <c r="G1607" s="21">
        <v>76.989999999999995</v>
      </c>
      <c r="H1607" s="21">
        <v>2690.74</v>
      </c>
      <c r="I1607" s="21">
        <v>349.49</v>
      </c>
    </row>
    <row r="1608" spans="1:9" ht="15" customHeight="1" x14ac:dyDescent="0.3">
      <c r="A1608" s="21" t="s">
        <v>1955</v>
      </c>
      <c r="B1608" s="21">
        <v>2020</v>
      </c>
      <c r="C1608" s="21">
        <v>12</v>
      </c>
      <c r="D1608" s="21">
        <v>15</v>
      </c>
      <c r="E1608" s="21" t="s">
        <v>303</v>
      </c>
      <c r="F1608" s="21">
        <v>0</v>
      </c>
      <c r="G1608" s="21">
        <v>76.5</v>
      </c>
      <c r="H1608" s="21">
        <v>2673.49</v>
      </c>
      <c r="I1608" s="21">
        <v>349.48</v>
      </c>
    </row>
    <row r="1609" spans="1:9" ht="15" customHeight="1" x14ac:dyDescent="0.3">
      <c r="A1609" s="21" t="s">
        <v>1956</v>
      </c>
      <c r="B1609" s="21">
        <v>2020</v>
      </c>
      <c r="C1609" s="21">
        <v>12</v>
      </c>
      <c r="D1609" s="21">
        <v>16</v>
      </c>
      <c r="E1609" s="21" t="s">
        <v>307</v>
      </c>
      <c r="F1609" s="21">
        <v>0</v>
      </c>
      <c r="G1609" s="21">
        <v>72.09</v>
      </c>
      <c r="H1609" s="21">
        <v>2519.64</v>
      </c>
      <c r="I1609" s="21">
        <v>349.51</v>
      </c>
    </row>
    <row r="1610" spans="1:9" ht="15" customHeight="1" x14ac:dyDescent="0.3">
      <c r="A1610" s="21" t="s">
        <v>1957</v>
      </c>
      <c r="B1610" s="21">
        <v>2020</v>
      </c>
      <c r="C1610" s="21">
        <v>12</v>
      </c>
      <c r="D1610" s="21">
        <v>17</v>
      </c>
      <c r="E1610" s="21" t="s">
        <v>310</v>
      </c>
      <c r="F1610" s="21">
        <v>0</v>
      </c>
      <c r="G1610" s="21">
        <v>70.47</v>
      </c>
      <c r="H1610" s="21">
        <v>2463.0700000000002</v>
      </c>
      <c r="I1610" s="21">
        <v>349.52</v>
      </c>
    </row>
    <row r="1611" spans="1:9" ht="15" customHeight="1" x14ac:dyDescent="0.3">
      <c r="A1611" s="21" t="s">
        <v>1958</v>
      </c>
      <c r="B1611" s="21">
        <v>2020</v>
      </c>
      <c r="C1611" s="21">
        <v>12</v>
      </c>
      <c r="D1611" s="21">
        <v>18</v>
      </c>
      <c r="E1611" s="21" t="s">
        <v>313</v>
      </c>
      <c r="F1611" s="21">
        <v>0</v>
      </c>
      <c r="G1611" s="21">
        <v>77.42</v>
      </c>
      <c r="H1611" s="21">
        <v>2705.69</v>
      </c>
      <c r="I1611" s="21">
        <v>349.48</v>
      </c>
    </row>
    <row r="1612" spans="1:9" ht="15" customHeight="1" x14ac:dyDescent="0.3">
      <c r="A1612" s="21" t="s">
        <v>1959</v>
      </c>
      <c r="B1612" s="21">
        <v>2020</v>
      </c>
      <c r="C1612" s="21">
        <v>12</v>
      </c>
      <c r="D1612" s="21">
        <v>19</v>
      </c>
      <c r="E1612" s="21" t="s">
        <v>316</v>
      </c>
      <c r="F1612" s="21">
        <v>1</v>
      </c>
      <c r="G1612" s="21">
        <v>64.209999999999994</v>
      </c>
      <c r="H1612" s="21">
        <v>2244.2199999999998</v>
      </c>
      <c r="I1612" s="21">
        <v>349.51</v>
      </c>
    </row>
    <row r="1613" spans="1:9" ht="15" customHeight="1" x14ac:dyDescent="0.3">
      <c r="A1613" s="21" t="s">
        <v>1960</v>
      </c>
      <c r="B1613" s="21">
        <v>2020</v>
      </c>
      <c r="C1613" s="21">
        <v>12</v>
      </c>
      <c r="D1613" s="21">
        <v>20</v>
      </c>
      <c r="E1613" s="21" t="s">
        <v>319</v>
      </c>
      <c r="F1613" s="21">
        <v>1</v>
      </c>
      <c r="G1613" s="21">
        <v>59.84</v>
      </c>
      <c r="H1613" s="21">
        <v>2091.56</v>
      </c>
      <c r="I1613" s="21">
        <v>349.53</v>
      </c>
    </row>
    <row r="1614" spans="1:9" ht="15" customHeight="1" x14ac:dyDescent="0.3">
      <c r="A1614" s="21" t="s">
        <v>1961</v>
      </c>
      <c r="B1614" s="21">
        <v>2020</v>
      </c>
      <c r="C1614" s="21">
        <v>12</v>
      </c>
      <c r="D1614" s="21">
        <v>21</v>
      </c>
      <c r="E1614" s="21" t="s">
        <v>299</v>
      </c>
      <c r="F1614" s="21">
        <v>0</v>
      </c>
      <c r="G1614" s="21">
        <v>73.92</v>
      </c>
      <c r="H1614" s="21">
        <v>2583.6</v>
      </c>
      <c r="I1614" s="21">
        <v>349.51</v>
      </c>
    </row>
    <row r="1615" spans="1:9" ht="15" customHeight="1" x14ac:dyDescent="0.3">
      <c r="A1615" s="21" t="s">
        <v>1962</v>
      </c>
      <c r="B1615" s="21">
        <v>2020</v>
      </c>
      <c r="C1615" s="21">
        <v>12</v>
      </c>
      <c r="D1615" s="21">
        <v>22</v>
      </c>
      <c r="E1615" s="21" t="s">
        <v>303</v>
      </c>
      <c r="F1615" s="21">
        <v>0</v>
      </c>
      <c r="G1615" s="21">
        <v>71</v>
      </c>
      <c r="H1615" s="21">
        <v>2481.6</v>
      </c>
      <c r="I1615" s="21">
        <v>349.52</v>
      </c>
    </row>
    <row r="1616" spans="1:9" ht="15" customHeight="1" x14ac:dyDescent="0.3">
      <c r="A1616" s="21" t="s">
        <v>1963</v>
      </c>
      <c r="B1616" s="21">
        <v>2020</v>
      </c>
      <c r="C1616" s="21">
        <v>12</v>
      </c>
      <c r="D1616" s="21">
        <v>23</v>
      </c>
      <c r="E1616" s="21" t="s">
        <v>307</v>
      </c>
      <c r="F1616" s="21">
        <v>0</v>
      </c>
      <c r="G1616" s="21">
        <v>69.989999999999995</v>
      </c>
      <c r="H1616" s="21">
        <v>2446.0500000000002</v>
      </c>
      <c r="I1616" s="21">
        <v>349.49</v>
      </c>
    </row>
    <row r="1617" spans="1:9" ht="15" customHeight="1" x14ac:dyDescent="0.3">
      <c r="A1617" s="21" t="s">
        <v>1964</v>
      </c>
      <c r="B1617" s="21">
        <v>2020</v>
      </c>
      <c r="C1617" s="21">
        <v>12</v>
      </c>
      <c r="D1617" s="21">
        <v>24</v>
      </c>
      <c r="E1617" s="21" t="s">
        <v>310</v>
      </c>
      <c r="F1617" s="21">
        <v>0</v>
      </c>
      <c r="G1617" s="21">
        <v>72.31</v>
      </c>
      <c r="H1617" s="21">
        <v>2527.33</v>
      </c>
      <c r="I1617" s="21">
        <v>349.51</v>
      </c>
    </row>
    <row r="1618" spans="1:9" ht="15" customHeight="1" x14ac:dyDescent="0.3">
      <c r="A1618" s="21" t="s">
        <v>1965</v>
      </c>
      <c r="B1618" s="21">
        <v>2020</v>
      </c>
      <c r="C1618" s="21">
        <v>12</v>
      </c>
      <c r="D1618" s="21">
        <v>25</v>
      </c>
      <c r="E1618" s="21" t="s">
        <v>313</v>
      </c>
      <c r="F1618" s="21">
        <v>0</v>
      </c>
      <c r="G1618" s="21">
        <v>81.319999999999993</v>
      </c>
      <c r="H1618" s="21">
        <v>2842.24</v>
      </c>
      <c r="I1618" s="21">
        <v>349.51</v>
      </c>
    </row>
    <row r="1619" spans="1:9" ht="15" customHeight="1" x14ac:dyDescent="0.3">
      <c r="A1619" s="21" t="s">
        <v>1966</v>
      </c>
      <c r="B1619" s="21">
        <v>2020</v>
      </c>
      <c r="C1619" s="21">
        <v>12</v>
      </c>
      <c r="D1619" s="21">
        <v>26</v>
      </c>
      <c r="E1619" s="21" t="s">
        <v>316</v>
      </c>
      <c r="F1619" s="21">
        <v>1</v>
      </c>
      <c r="G1619" s="21">
        <v>61.94</v>
      </c>
      <c r="H1619" s="21">
        <v>2164.7600000000002</v>
      </c>
      <c r="I1619" s="21">
        <v>349.49</v>
      </c>
    </row>
    <row r="1620" spans="1:9" ht="15" customHeight="1" x14ac:dyDescent="0.3">
      <c r="A1620" s="21" t="s">
        <v>1967</v>
      </c>
      <c r="B1620" s="21">
        <v>2020</v>
      </c>
      <c r="C1620" s="21">
        <v>12</v>
      </c>
      <c r="D1620" s="21">
        <v>27</v>
      </c>
      <c r="E1620" s="21" t="s">
        <v>319</v>
      </c>
      <c r="F1620" s="21">
        <v>1</v>
      </c>
      <c r="G1620" s="21">
        <v>60.7</v>
      </c>
      <c r="H1620" s="21">
        <v>2121.29</v>
      </c>
      <c r="I1620" s="21">
        <v>349.47</v>
      </c>
    </row>
    <row r="1621" spans="1:9" ht="15" customHeight="1" x14ac:dyDescent="0.3">
      <c r="A1621" s="21" t="s">
        <v>1968</v>
      </c>
      <c r="B1621" s="21">
        <v>2020</v>
      </c>
      <c r="C1621" s="21">
        <v>12</v>
      </c>
      <c r="D1621" s="21">
        <v>28</v>
      </c>
      <c r="E1621" s="21" t="s">
        <v>299</v>
      </c>
      <c r="F1621" s="21">
        <v>0</v>
      </c>
      <c r="G1621" s="21">
        <v>75.02</v>
      </c>
      <c r="H1621" s="21">
        <v>2621.92</v>
      </c>
      <c r="I1621" s="21">
        <v>349.5</v>
      </c>
    </row>
    <row r="1622" spans="1:9" ht="15" customHeight="1" x14ac:dyDescent="0.3">
      <c r="A1622" s="21" t="s">
        <v>1969</v>
      </c>
      <c r="B1622" s="21">
        <v>2020</v>
      </c>
      <c r="C1622" s="21">
        <v>12</v>
      </c>
      <c r="D1622" s="21">
        <v>29</v>
      </c>
      <c r="E1622" s="21" t="s">
        <v>303</v>
      </c>
      <c r="F1622" s="21">
        <v>0</v>
      </c>
      <c r="G1622" s="21">
        <v>68.67</v>
      </c>
      <c r="H1622" s="21">
        <v>2399.98</v>
      </c>
      <c r="I1622" s="21">
        <v>349.49</v>
      </c>
    </row>
    <row r="1623" spans="1:9" ht="15" customHeight="1" x14ac:dyDescent="0.3">
      <c r="A1623" s="21" t="s">
        <v>1970</v>
      </c>
      <c r="B1623" s="21">
        <v>2020</v>
      </c>
      <c r="C1623" s="21">
        <v>12</v>
      </c>
      <c r="D1623" s="21">
        <v>30</v>
      </c>
      <c r="E1623" s="21" t="s">
        <v>307</v>
      </c>
      <c r="F1623" s="21">
        <v>0</v>
      </c>
      <c r="G1623" s="21">
        <v>85.05</v>
      </c>
      <c r="H1623" s="21">
        <v>2972.49</v>
      </c>
      <c r="I1623" s="21">
        <v>349.5</v>
      </c>
    </row>
    <row r="1624" spans="1:9" ht="15" customHeight="1" x14ac:dyDescent="0.3">
      <c r="A1624" s="21" t="s">
        <v>1971</v>
      </c>
      <c r="B1624" s="21">
        <v>2020</v>
      </c>
      <c r="C1624" s="21">
        <v>12</v>
      </c>
      <c r="D1624" s="21">
        <v>31</v>
      </c>
      <c r="E1624" s="21" t="s">
        <v>310</v>
      </c>
      <c r="F1624" s="21">
        <v>0</v>
      </c>
      <c r="G1624" s="21">
        <v>82.66</v>
      </c>
      <c r="H1624" s="21">
        <v>2889.01</v>
      </c>
      <c r="I1624" s="21">
        <v>349.51</v>
      </c>
    </row>
    <row r="1625" spans="1:9" ht="15" customHeight="1" x14ac:dyDescent="0.3">
      <c r="A1625" s="21" t="s">
        <v>151</v>
      </c>
      <c r="B1625" s="21">
        <v>2021</v>
      </c>
      <c r="C1625" s="21">
        <v>1</v>
      </c>
      <c r="D1625" s="21">
        <v>1</v>
      </c>
      <c r="E1625" s="21" t="s">
        <v>313</v>
      </c>
      <c r="F1625" s="21">
        <v>0</v>
      </c>
      <c r="G1625" s="21">
        <v>91.79</v>
      </c>
      <c r="H1625" s="21">
        <v>3218.99</v>
      </c>
      <c r="I1625" s="21">
        <v>350.69</v>
      </c>
    </row>
    <row r="1626" spans="1:9" ht="15" customHeight="1" x14ac:dyDescent="0.3">
      <c r="A1626" s="21" t="s">
        <v>1972</v>
      </c>
      <c r="B1626" s="21">
        <v>2021</v>
      </c>
      <c r="C1626" s="21">
        <v>1</v>
      </c>
      <c r="D1626" s="21">
        <v>2</v>
      </c>
      <c r="E1626" s="21" t="s">
        <v>316</v>
      </c>
      <c r="F1626" s="21">
        <v>1</v>
      </c>
      <c r="G1626" s="21">
        <v>80.790000000000006</v>
      </c>
      <c r="H1626" s="21">
        <v>2833.18</v>
      </c>
      <c r="I1626" s="21">
        <v>350.68</v>
      </c>
    </row>
    <row r="1627" spans="1:9" ht="15" customHeight="1" x14ac:dyDescent="0.3">
      <c r="A1627" s="21" t="s">
        <v>1973</v>
      </c>
      <c r="B1627" s="21">
        <v>2021</v>
      </c>
      <c r="C1627" s="21">
        <v>1</v>
      </c>
      <c r="D1627" s="21">
        <v>3</v>
      </c>
      <c r="E1627" s="21" t="s">
        <v>319</v>
      </c>
      <c r="F1627" s="21">
        <v>1</v>
      </c>
      <c r="G1627" s="21">
        <v>63.8</v>
      </c>
      <c r="H1627" s="21">
        <v>2237.46</v>
      </c>
      <c r="I1627" s="21">
        <v>350.7</v>
      </c>
    </row>
    <row r="1628" spans="1:9" ht="15" customHeight="1" x14ac:dyDescent="0.3">
      <c r="A1628" s="21" t="s">
        <v>1974</v>
      </c>
      <c r="B1628" s="21">
        <v>2021</v>
      </c>
      <c r="C1628" s="21">
        <v>1</v>
      </c>
      <c r="D1628" s="21">
        <v>4</v>
      </c>
      <c r="E1628" s="21" t="s">
        <v>299</v>
      </c>
      <c r="F1628" s="21">
        <v>0</v>
      </c>
      <c r="G1628" s="21">
        <v>76.319999999999993</v>
      </c>
      <c r="H1628" s="21">
        <v>2676.33</v>
      </c>
      <c r="I1628" s="21">
        <v>350.67</v>
      </c>
    </row>
    <row r="1629" spans="1:9" ht="15" customHeight="1" x14ac:dyDescent="0.3">
      <c r="A1629" s="21" t="s">
        <v>1975</v>
      </c>
      <c r="B1629" s="21">
        <v>2021</v>
      </c>
      <c r="C1629" s="21">
        <v>1</v>
      </c>
      <c r="D1629" s="21">
        <v>5</v>
      </c>
      <c r="E1629" s="21" t="s">
        <v>303</v>
      </c>
      <c r="F1629" s="21">
        <v>0</v>
      </c>
      <c r="G1629" s="21">
        <v>73.33</v>
      </c>
      <c r="H1629" s="21">
        <v>2571.52</v>
      </c>
      <c r="I1629" s="21">
        <v>350.68</v>
      </c>
    </row>
    <row r="1630" spans="1:9" ht="15" customHeight="1" x14ac:dyDescent="0.3">
      <c r="A1630" s="21" t="s">
        <v>1976</v>
      </c>
      <c r="B1630" s="21">
        <v>2021</v>
      </c>
      <c r="C1630" s="21">
        <v>1</v>
      </c>
      <c r="D1630" s="21">
        <v>6</v>
      </c>
      <c r="E1630" s="21" t="s">
        <v>307</v>
      </c>
      <c r="F1630" s="21">
        <v>0</v>
      </c>
      <c r="G1630" s="21">
        <v>76.84</v>
      </c>
      <c r="H1630" s="21">
        <v>2694.58</v>
      </c>
      <c r="I1630" s="21">
        <v>350.67</v>
      </c>
    </row>
    <row r="1631" spans="1:9" ht="15" customHeight="1" x14ac:dyDescent="0.3">
      <c r="A1631" s="21" t="s">
        <v>1977</v>
      </c>
      <c r="B1631" s="21">
        <v>2021</v>
      </c>
      <c r="C1631" s="21">
        <v>1</v>
      </c>
      <c r="D1631" s="21">
        <v>7</v>
      </c>
      <c r="E1631" s="21" t="s">
        <v>310</v>
      </c>
      <c r="F1631" s="21">
        <v>0</v>
      </c>
      <c r="G1631" s="21">
        <v>74.53</v>
      </c>
      <c r="H1631" s="21">
        <v>2613.69</v>
      </c>
      <c r="I1631" s="21">
        <v>350.69</v>
      </c>
    </row>
    <row r="1632" spans="1:9" ht="15" customHeight="1" x14ac:dyDescent="0.3">
      <c r="A1632" s="21" t="s">
        <v>1978</v>
      </c>
      <c r="B1632" s="21">
        <v>2021</v>
      </c>
      <c r="C1632" s="21">
        <v>1</v>
      </c>
      <c r="D1632" s="21">
        <v>8</v>
      </c>
      <c r="E1632" s="21" t="s">
        <v>313</v>
      </c>
      <c r="F1632" s="21">
        <v>0</v>
      </c>
      <c r="G1632" s="21">
        <v>77.02</v>
      </c>
      <c r="H1632" s="21">
        <v>2700.83</v>
      </c>
      <c r="I1632" s="21">
        <v>350.67</v>
      </c>
    </row>
    <row r="1633" spans="1:9" ht="15" customHeight="1" x14ac:dyDescent="0.3">
      <c r="A1633" s="21" t="s">
        <v>1979</v>
      </c>
      <c r="B1633" s="21">
        <v>2021</v>
      </c>
      <c r="C1633" s="21">
        <v>1</v>
      </c>
      <c r="D1633" s="21">
        <v>9</v>
      </c>
      <c r="E1633" s="21" t="s">
        <v>316</v>
      </c>
      <c r="F1633" s="21">
        <v>1</v>
      </c>
      <c r="G1633" s="21">
        <v>65.19</v>
      </c>
      <c r="H1633" s="21">
        <v>2285.9499999999998</v>
      </c>
      <c r="I1633" s="21">
        <v>350.66</v>
      </c>
    </row>
    <row r="1634" spans="1:9" ht="15" customHeight="1" x14ac:dyDescent="0.3">
      <c r="A1634" s="21" t="s">
        <v>1980</v>
      </c>
      <c r="B1634" s="21">
        <v>2021</v>
      </c>
      <c r="C1634" s="21">
        <v>1</v>
      </c>
      <c r="D1634" s="21">
        <v>10</v>
      </c>
      <c r="E1634" s="21" t="s">
        <v>319</v>
      </c>
      <c r="F1634" s="21">
        <v>1</v>
      </c>
      <c r="G1634" s="21">
        <v>61.65</v>
      </c>
      <c r="H1634" s="21">
        <v>2161.9</v>
      </c>
      <c r="I1634" s="21">
        <v>350.67</v>
      </c>
    </row>
    <row r="1635" spans="1:9" ht="15" customHeight="1" x14ac:dyDescent="0.3">
      <c r="A1635" s="21" t="s">
        <v>1981</v>
      </c>
      <c r="B1635" s="21">
        <v>2021</v>
      </c>
      <c r="C1635" s="21">
        <v>1</v>
      </c>
      <c r="D1635" s="21">
        <v>11</v>
      </c>
      <c r="E1635" s="21" t="s">
        <v>299</v>
      </c>
      <c r="F1635" s="21">
        <v>0</v>
      </c>
      <c r="G1635" s="21">
        <v>82.17</v>
      </c>
      <c r="H1635" s="21">
        <v>2881.47</v>
      </c>
      <c r="I1635" s="21">
        <v>350.67</v>
      </c>
    </row>
    <row r="1636" spans="1:9" ht="15" customHeight="1" x14ac:dyDescent="0.3">
      <c r="A1636" s="21" t="s">
        <v>1982</v>
      </c>
      <c r="B1636" s="21">
        <v>2021</v>
      </c>
      <c r="C1636" s="21">
        <v>1</v>
      </c>
      <c r="D1636" s="21">
        <v>12</v>
      </c>
      <c r="E1636" s="21" t="s">
        <v>303</v>
      </c>
      <c r="F1636" s="21">
        <v>0</v>
      </c>
      <c r="G1636" s="21">
        <v>76.69</v>
      </c>
      <c r="H1636" s="21">
        <v>2689.24</v>
      </c>
      <c r="I1636" s="21">
        <v>350.66</v>
      </c>
    </row>
    <row r="1637" spans="1:9" ht="15" customHeight="1" x14ac:dyDescent="0.3">
      <c r="A1637" s="21" t="s">
        <v>1983</v>
      </c>
      <c r="B1637" s="21">
        <v>2021</v>
      </c>
      <c r="C1637" s="21">
        <v>1</v>
      </c>
      <c r="D1637" s="21">
        <v>13</v>
      </c>
      <c r="E1637" s="21" t="s">
        <v>307</v>
      </c>
      <c r="F1637" s="21">
        <v>0</v>
      </c>
      <c r="G1637" s="21">
        <v>73.28</v>
      </c>
      <c r="H1637" s="21">
        <v>2569.88</v>
      </c>
      <c r="I1637" s="21">
        <v>350.69</v>
      </c>
    </row>
    <row r="1638" spans="1:9" ht="15" customHeight="1" x14ac:dyDescent="0.3">
      <c r="A1638" s="21" t="s">
        <v>1984</v>
      </c>
      <c r="B1638" s="21">
        <v>2021</v>
      </c>
      <c r="C1638" s="21">
        <v>1</v>
      </c>
      <c r="D1638" s="21">
        <v>14</v>
      </c>
      <c r="E1638" s="21" t="s">
        <v>310</v>
      </c>
      <c r="F1638" s="21">
        <v>0</v>
      </c>
      <c r="G1638" s="21">
        <v>77.14</v>
      </c>
      <c r="H1638" s="21">
        <v>2704.94</v>
      </c>
      <c r="I1638" s="21">
        <v>350.65</v>
      </c>
    </row>
    <row r="1639" spans="1:9" ht="15" customHeight="1" x14ac:dyDescent="0.3">
      <c r="A1639" s="21" t="s">
        <v>1985</v>
      </c>
      <c r="B1639" s="21">
        <v>2021</v>
      </c>
      <c r="C1639" s="21">
        <v>1</v>
      </c>
      <c r="D1639" s="21">
        <v>15</v>
      </c>
      <c r="E1639" s="21" t="s">
        <v>313</v>
      </c>
      <c r="F1639" s="21">
        <v>0</v>
      </c>
      <c r="G1639" s="21">
        <v>80.37</v>
      </c>
      <c r="H1639" s="21">
        <v>2818.53</v>
      </c>
      <c r="I1639" s="21">
        <v>350.69</v>
      </c>
    </row>
    <row r="1640" spans="1:9" ht="15" customHeight="1" x14ac:dyDescent="0.3">
      <c r="A1640" s="21" t="s">
        <v>1986</v>
      </c>
      <c r="B1640" s="21">
        <v>2021</v>
      </c>
      <c r="C1640" s="21">
        <v>1</v>
      </c>
      <c r="D1640" s="21">
        <v>16</v>
      </c>
      <c r="E1640" s="21" t="s">
        <v>316</v>
      </c>
      <c r="F1640" s="21">
        <v>1</v>
      </c>
      <c r="G1640" s="21">
        <v>65.040000000000006</v>
      </c>
      <c r="H1640" s="21">
        <v>2280.75</v>
      </c>
      <c r="I1640" s="21">
        <v>350.67</v>
      </c>
    </row>
    <row r="1641" spans="1:9" ht="15" customHeight="1" x14ac:dyDescent="0.3">
      <c r="A1641" s="21" t="s">
        <v>1987</v>
      </c>
      <c r="B1641" s="21">
        <v>2021</v>
      </c>
      <c r="C1641" s="21">
        <v>1</v>
      </c>
      <c r="D1641" s="21">
        <v>17</v>
      </c>
      <c r="E1641" s="21" t="s">
        <v>319</v>
      </c>
      <c r="F1641" s="21">
        <v>1</v>
      </c>
      <c r="G1641" s="21">
        <v>64.22</v>
      </c>
      <c r="H1641" s="21">
        <v>2251.9899999999998</v>
      </c>
      <c r="I1641" s="21">
        <v>350.67</v>
      </c>
    </row>
    <row r="1642" spans="1:9" ht="15" customHeight="1" x14ac:dyDescent="0.3">
      <c r="A1642" s="21" t="s">
        <v>1988</v>
      </c>
      <c r="B1642" s="21">
        <v>2021</v>
      </c>
      <c r="C1642" s="21">
        <v>1</v>
      </c>
      <c r="D1642" s="21">
        <v>18</v>
      </c>
      <c r="E1642" s="21" t="s">
        <v>299</v>
      </c>
      <c r="F1642" s="21">
        <v>0</v>
      </c>
      <c r="G1642" s="21">
        <v>76.11</v>
      </c>
      <c r="H1642" s="21">
        <v>2668.94</v>
      </c>
      <c r="I1642" s="21">
        <v>350.67</v>
      </c>
    </row>
    <row r="1643" spans="1:9" ht="15" customHeight="1" x14ac:dyDescent="0.3">
      <c r="A1643" s="21" t="s">
        <v>1989</v>
      </c>
      <c r="B1643" s="21">
        <v>2021</v>
      </c>
      <c r="C1643" s="21">
        <v>1</v>
      </c>
      <c r="D1643" s="21">
        <v>19</v>
      </c>
      <c r="E1643" s="21" t="s">
        <v>303</v>
      </c>
      <c r="F1643" s="21">
        <v>0</v>
      </c>
      <c r="G1643" s="21">
        <v>72.849999999999994</v>
      </c>
      <c r="H1643" s="21">
        <v>2554.5500000000002</v>
      </c>
      <c r="I1643" s="21">
        <v>350.66</v>
      </c>
    </row>
    <row r="1644" spans="1:9" ht="15" customHeight="1" x14ac:dyDescent="0.3">
      <c r="A1644" s="21" t="s">
        <v>1990</v>
      </c>
      <c r="B1644" s="21">
        <v>2021</v>
      </c>
      <c r="C1644" s="21">
        <v>1</v>
      </c>
      <c r="D1644" s="21">
        <v>20</v>
      </c>
      <c r="E1644" s="21" t="s">
        <v>307</v>
      </c>
      <c r="F1644" s="21">
        <v>0</v>
      </c>
      <c r="G1644" s="21">
        <v>76.58</v>
      </c>
      <c r="H1644" s="21">
        <v>2685.33</v>
      </c>
      <c r="I1644" s="21">
        <v>350.66</v>
      </c>
    </row>
    <row r="1645" spans="1:9" ht="15" customHeight="1" x14ac:dyDescent="0.3">
      <c r="A1645" s="21" t="s">
        <v>1991</v>
      </c>
      <c r="B1645" s="21">
        <v>2021</v>
      </c>
      <c r="C1645" s="21">
        <v>1</v>
      </c>
      <c r="D1645" s="21">
        <v>21</v>
      </c>
      <c r="E1645" s="21" t="s">
        <v>310</v>
      </c>
      <c r="F1645" s="21">
        <v>0</v>
      </c>
      <c r="G1645" s="21">
        <v>73.53</v>
      </c>
      <c r="H1645" s="21">
        <v>2578.6799999999998</v>
      </c>
      <c r="I1645" s="21">
        <v>350.7</v>
      </c>
    </row>
    <row r="1646" spans="1:9" ht="15" customHeight="1" x14ac:dyDescent="0.3">
      <c r="A1646" s="21" t="s">
        <v>1992</v>
      </c>
      <c r="B1646" s="21">
        <v>2021</v>
      </c>
      <c r="C1646" s="21">
        <v>1</v>
      </c>
      <c r="D1646" s="21">
        <v>22</v>
      </c>
      <c r="E1646" s="21" t="s">
        <v>313</v>
      </c>
      <c r="F1646" s="21">
        <v>0</v>
      </c>
      <c r="G1646" s="21">
        <v>79.319999999999993</v>
      </c>
      <c r="H1646" s="21">
        <v>2781.68</v>
      </c>
      <c r="I1646" s="21">
        <v>350.69</v>
      </c>
    </row>
    <row r="1647" spans="1:9" ht="15" customHeight="1" x14ac:dyDescent="0.3">
      <c r="A1647" s="21" t="s">
        <v>1993</v>
      </c>
      <c r="B1647" s="21">
        <v>2021</v>
      </c>
      <c r="C1647" s="21">
        <v>1</v>
      </c>
      <c r="D1647" s="21">
        <v>23</v>
      </c>
      <c r="E1647" s="21" t="s">
        <v>316</v>
      </c>
      <c r="F1647" s="21">
        <v>1</v>
      </c>
      <c r="G1647" s="21">
        <v>61.01</v>
      </c>
      <c r="H1647" s="21">
        <v>2139.4699999999998</v>
      </c>
      <c r="I1647" s="21">
        <v>350.68</v>
      </c>
    </row>
    <row r="1648" spans="1:9" ht="15" customHeight="1" x14ac:dyDescent="0.3">
      <c r="A1648" s="21" t="s">
        <v>1994</v>
      </c>
      <c r="B1648" s="21">
        <v>2021</v>
      </c>
      <c r="C1648" s="21">
        <v>1</v>
      </c>
      <c r="D1648" s="21">
        <v>24</v>
      </c>
      <c r="E1648" s="21" t="s">
        <v>319</v>
      </c>
      <c r="F1648" s="21">
        <v>1</v>
      </c>
      <c r="G1648" s="21">
        <v>64.08</v>
      </c>
      <c r="H1648" s="21">
        <v>2247.2199999999998</v>
      </c>
      <c r="I1648" s="21">
        <v>350.69</v>
      </c>
    </row>
    <row r="1649" spans="1:9" ht="15" customHeight="1" x14ac:dyDescent="0.3">
      <c r="A1649" s="21" t="s">
        <v>1995</v>
      </c>
      <c r="B1649" s="21">
        <v>2021</v>
      </c>
      <c r="C1649" s="21">
        <v>1</v>
      </c>
      <c r="D1649" s="21">
        <v>25</v>
      </c>
      <c r="E1649" s="21" t="s">
        <v>299</v>
      </c>
      <c r="F1649" s="21">
        <v>0</v>
      </c>
      <c r="G1649" s="21">
        <v>82.59</v>
      </c>
      <c r="H1649" s="21">
        <v>2896.26</v>
      </c>
      <c r="I1649" s="21">
        <v>350.68</v>
      </c>
    </row>
    <row r="1650" spans="1:9" ht="15" customHeight="1" x14ac:dyDescent="0.3">
      <c r="A1650" s="21" t="s">
        <v>1996</v>
      </c>
      <c r="B1650" s="21">
        <v>2021</v>
      </c>
      <c r="C1650" s="21">
        <v>1</v>
      </c>
      <c r="D1650" s="21">
        <v>26</v>
      </c>
      <c r="E1650" s="21" t="s">
        <v>303</v>
      </c>
      <c r="F1650" s="21">
        <v>0</v>
      </c>
      <c r="G1650" s="21">
        <v>71.900000000000006</v>
      </c>
      <c r="H1650" s="21">
        <v>2521.42</v>
      </c>
      <c r="I1650" s="21">
        <v>350.68</v>
      </c>
    </row>
    <row r="1651" spans="1:9" ht="15" customHeight="1" x14ac:dyDescent="0.3">
      <c r="A1651" s="21" t="s">
        <v>1997</v>
      </c>
      <c r="B1651" s="21">
        <v>2021</v>
      </c>
      <c r="C1651" s="21">
        <v>1</v>
      </c>
      <c r="D1651" s="21">
        <v>27</v>
      </c>
      <c r="E1651" s="21" t="s">
        <v>307</v>
      </c>
      <c r="F1651" s="21">
        <v>0</v>
      </c>
      <c r="G1651" s="21">
        <v>74.33</v>
      </c>
      <c r="H1651" s="21">
        <v>2606.73</v>
      </c>
      <c r="I1651" s="21">
        <v>350.7</v>
      </c>
    </row>
    <row r="1652" spans="1:9" ht="15" customHeight="1" x14ac:dyDescent="0.3">
      <c r="A1652" s="21" t="s">
        <v>1998</v>
      </c>
      <c r="B1652" s="21">
        <v>2021</v>
      </c>
      <c r="C1652" s="21">
        <v>1</v>
      </c>
      <c r="D1652" s="21">
        <v>28</v>
      </c>
      <c r="E1652" s="21" t="s">
        <v>310</v>
      </c>
      <c r="F1652" s="21">
        <v>0</v>
      </c>
      <c r="G1652" s="21">
        <v>77.430000000000007</v>
      </c>
      <c r="H1652" s="21">
        <v>2715.2</v>
      </c>
      <c r="I1652" s="21">
        <v>350.67</v>
      </c>
    </row>
    <row r="1653" spans="1:9" ht="15" customHeight="1" x14ac:dyDescent="0.3">
      <c r="A1653" s="21" t="s">
        <v>1999</v>
      </c>
      <c r="B1653" s="21">
        <v>2021</v>
      </c>
      <c r="C1653" s="21">
        <v>1</v>
      </c>
      <c r="D1653" s="21">
        <v>29</v>
      </c>
      <c r="E1653" s="21" t="s">
        <v>313</v>
      </c>
      <c r="F1653" s="21">
        <v>0</v>
      </c>
      <c r="G1653" s="21">
        <v>80.05</v>
      </c>
      <c r="H1653" s="21">
        <v>2807</v>
      </c>
      <c r="I1653" s="21">
        <v>350.66</v>
      </c>
    </row>
    <row r="1654" spans="1:9" ht="15" customHeight="1" x14ac:dyDescent="0.3">
      <c r="A1654" s="21" t="s">
        <v>2000</v>
      </c>
      <c r="B1654" s="21">
        <v>2021</v>
      </c>
      <c r="C1654" s="21">
        <v>1</v>
      </c>
      <c r="D1654" s="21">
        <v>30</v>
      </c>
      <c r="E1654" s="21" t="s">
        <v>316</v>
      </c>
      <c r="F1654" s="21">
        <v>1</v>
      </c>
      <c r="G1654" s="21">
        <v>73.77</v>
      </c>
      <c r="H1654" s="21">
        <v>2586.88</v>
      </c>
      <c r="I1654" s="21">
        <v>350.67</v>
      </c>
    </row>
    <row r="1655" spans="1:9" ht="15" customHeight="1" x14ac:dyDescent="0.3">
      <c r="A1655" s="21" t="s">
        <v>2001</v>
      </c>
      <c r="B1655" s="21">
        <v>2021</v>
      </c>
      <c r="C1655" s="21">
        <v>1</v>
      </c>
      <c r="D1655" s="21">
        <v>31</v>
      </c>
      <c r="E1655" s="21" t="s">
        <v>319</v>
      </c>
      <c r="F1655" s="21">
        <v>1</v>
      </c>
      <c r="G1655" s="21">
        <v>69.89</v>
      </c>
      <c r="H1655" s="21">
        <v>2450.7600000000002</v>
      </c>
      <c r="I1655" s="21">
        <v>350.66</v>
      </c>
    </row>
    <row r="1656" spans="1:9" ht="15" customHeight="1" x14ac:dyDescent="0.3">
      <c r="A1656" s="21" t="s">
        <v>152</v>
      </c>
      <c r="B1656" s="21">
        <v>2021</v>
      </c>
      <c r="C1656" s="21">
        <v>2</v>
      </c>
      <c r="D1656" s="21">
        <v>1</v>
      </c>
      <c r="E1656" s="21" t="s">
        <v>299</v>
      </c>
      <c r="F1656" s="21">
        <v>0</v>
      </c>
      <c r="G1656" s="21">
        <v>100.07</v>
      </c>
      <c r="H1656" s="21">
        <v>3514.92</v>
      </c>
      <c r="I1656" s="21">
        <v>351.25</v>
      </c>
    </row>
    <row r="1657" spans="1:9" ht="15" customHeight="1" x14ac:dyDescent="0.3">
      <c r="A1657" s="21" t="s">
        <v>2002</v>
      </c>
      <c r="B1657" s="21">
        <v>2021</v>
      </c>
      <c r="C1657" s="21">
        <v>2</v>
      </c>
      <c r="D1657" s="21">
        <v>2</v>
      </c>
      <c r="E1657" s="21" t="s">
        <v>303</v>
      </c>
      <c r="F1657" s="21">
        <v>0</v>
      </c>
      <c r="G1657" s="21">
        <v>93.62</v>
      </c>
      <c r="H1657" s="21">
        <v>3288.5</v>
      </c>
      <c r="I1657" s="21">
        <v>351.26</v>
      </c>
    </row>
    <row r="1658" spans="1:9" ht="15" customHeight="1" x14ac:dyDescent="0.3">
      <c r="A1658" s="21" t="s">
        <v>2003</v>
      </c>
      <c r="B1658" s="21">
        <v>2021</v>
      </c>
      <c r="C1658" s="21">
        <v>2</v>
      </c>
      <c r="D1658" s="21">
        <v>3</v>
      </c>
      <c r="E1658" s="21" t="s">
        <v>307</v>
      </c>
      <c r="F1658" s="21">
        <v>0</v>
      </c>
      <c r="G1658" s="21">
        <v>84.29</v>
      </c>
      <c r="H1658" s="21">
        <v>2960.75</v>
      </c>
      <c r="I1658" s="21">
        <v>351.26</v>
      </c>
    </row>
    <row r="1659" spans="1:9" ht="15" customHeight="1" x14ac:dyDescent="0.3">
      <c r="A1659" s="21" t="s">
        <v>2004</v>
      </c>
      <c r="B1659" s="21">
        <v>2021</v>
      </c>
      <c r="C1659" s="21">
        <v>2</v>
      </c>
      <c r="D1659" s="21">
        <v>4</v>
      </c>
      <c r="E1659" s="21" t="s">
        <v>310</v>
      </c>
      <c r="F1659" s="21">
        <v>0</v>
      </c>
      <c r="G1659" s="21">
        <v>84.79</v>
      </c>
      <c r="H1659" s="21">
        <v>2978.15</v>
      </c>
      <c r="I1659" s="21">
        <v>351.24</v>
      </c>
    </row>
    <row r="1660" spans="1:9" ht="15" customHeight="1" x14ac:dyDescent="0.3">
      <c r="A1660" s="21" t="s">
        <v>2005</v>
      </c>
      <c r="B1660" s="21">
        <v>2021</v>
      </c>
      <c r="C1660" s="21">
        <v>2</v>
      </c>
      <c r="D1660" s="21">
        <v>5</v>
      </c>
      <c r="E1660" s="21" t="s">
        <v>313</v>
      </c>
      <c r="F1660" s="21">
        <v>0</v>
      </c>
      <c r="G1660" s="21">
        <v>94.78</v>
      </c>
      <c r="H1660" s="21">
        <v>3329.18</v>
      </c>
      <c r="I1660" s="21">
        <v>351.25</v>
      </c>
    </row>
    <row r="1661" spans="1:9" ht="15" customHeight="1" x14ac:dyDescent="0.3">
      <c r="A1661" s="21" t="s">
        <v>2006</v>
      </c>
      <c r="B1661" s="21">
        <v>2021</v>
      </c>
      <c r="C1661" s="21">
        <v>2</v>
      </c>
      <c r="D1661" s="21">
        <v>6</v>
      </c>
      <c r="E1661" s="21" t="s">
        <v>316</v>
      </c>
      <c r="F1661" s="21">
        <v>1</v>
      </c>
      <c r="G1661" s="21">
        <v>71.010000000000005</v>
      </c>
      <c r="H1661" s="21">
        <v>2494.36</v>
      </c>
      <c r="I1661" s="21">
        <v>351.27</v>
      </c>
    </row>
    <row r="1662" spans="1:9" ht="15" customHeight="1" x14ac:dyDescent="0.3">
      <c r="A1662" s="21" t="s">
        <v>2007</v>
      </c>
      <c r="B1662" s="21">
        <v>2021</v>
      </c>
      <c r="C1662" s="21">
        <v>2</v>
      </c>
      <c r="D1662" s="21">
        <v>7</v>
      </c>
      <c r="E1662" s="21" t="s">
        <v>319</v>
      </c>
      <c r="F1662" s="21">
        <v>1</v>
      </c>
      <c r="G1662" s="21">
        <v>70.39</v>
      </c>
      <c r="H1662" s="21">
        <v>2472.46</v>
      </c>
      <c r="I1662" s="21">
        <v>351.25</v>
      </c>
    </row>
    <row r="1663" spans="1:9" ht="15" customHeight="1" x14ac:dyDescent="0.3">
      <c r="A1663" s="21" t="s">
        <v>2008</v>
      </c>
      <c r="B1663" s="21">
        <v>2021</v>
      </c>
      <c r="C1663" s="21">
        <v>2</v>
      </c>
      <c r="D1663" s="21">
        <v>8</v>
      </c>
      <c r="E1663" s="21" t="s">
        <v>299</v>
      </c>
      <c r="F1663" s="21">
        <v>0</v>
      </c>
      <c r="G1663" s="21">
        <v>86.44</v>
      </c>
      <c r="H1663" s="21">
        <v>3036.27</v>
      </c>
      <c r="I1663" s="21">
        <v>351.26</v>
      </c>
    </row>
    <row r="1664" spans="1:9" ht="15" customHeight="1" x14ac:dyDescent="0.3">
      <c r="A1664" s="21" t="s">
        <v>2009</v>
      </c>
      <c r="B1664" s="21">
        <v>2021</v>
      </c>
      <c r="C1664" s="21">
        <v>2</v>
      </c>
      <c r="D1664" s="21">
        <v>9</v>
      </c>
      <c r="E1664" s="21" t="s">
        <v>303</v>
      </c>
      <c r="F1664" s="21">
        <v>0</v>
      </c>
      <c r="G1664" s="21">
        <v>81</v>
      </c>
      <c r="H1664" s="21">
        <v>2845.25</v>
      </c>
      <c r="I1664" s="21">
        <v>351.27</v>
      </c>
    </row>
    <row r="1665" spans="1:9" ht="15" customHeight="1" x14ac:dyDescent="0.3">
      <c r="A1665" s="21" t="s">
        <v>2010</v>
      </c>
      <c r="B1665" s="21">
        <v>2021</v>
      </c>
      <c r="C1665" s="21">
        <v>2</v>
      </c>
      <c r="D1665" s="21">
        <v>10</v>
      </c>
      <c r="E1665" s="21" t="s">
        <v>307</v>
      </c>
      <c r="F1665" s="21">
        <v>0</v>
      </c>
      <c r="G1665" s="21">
        <v>82.7</v>
      </c>
      <c r="H1665" s="21">
        <v>2904.92</v>
      </c>
      <c r="I1665" s="21">
        <v>351.26</v>
      </c>
    </row>
    <row r="1666" spans="1:9" ht="15" customHeight="1" x14ac:dyDescent="0.3">
      <c r="A1666" s="21" t="s">
        <v>2011</v>
      </c>
      <c r="B1666" s="21">
        <v>2021</v>
      </c>
      <c r="C1666" s="21">
        <v>2</v>
      </c>
      <c r="D1666" s="21">
        <v>11</v>
      </c>
      <c r="E1666" s="21" t="s">
        <v>310</v>
      </c>
      <c r="F1666" s="21">
        <v>0</v>
      </c>
      <c r="G1666" s="21">
        <v>81.150000000000006</v>
      </c>
      <c r="H1666" s="21">
        <v>2850.23</v>
      </c>
      <c r="I1666" s="21">
        <v>351.23</v>
      </c>
    </row>
    <row r="1667" spans="1:9" ht="15" customHeight="1" x14ac:dyDescent="0.3">
      <c r="A1667" s="21" t="s">
        <v>2012</v>
      </c>
      <c r="B1667" s="21">
        <v>2021</v>
      </c>
      <c r="C1667" s="21">
        <v>2</v>
      </c>
      <c r="D1667" s="21">
        <v>12</v>
      </c>
      <c r="E1667" s="21" t="s">
        <v>313</v>
      </c>
      <c r="F1667" s="21">
        <v>0</v>
      </c>
      <c r="G1667" s="21">
        <v>88.83</v>
      </c>
      <c r="H1667" s="21">
        <v>3120.3</v>
      </c>
      <c r="I1667" s="21">
        <v>351.27</v>
      </c>
    </row>
    <row r="1668" spans="1:9" ht="15" customHeight="1" x14ac:dyDescent="0.3">
      <c r="A1668" s="21" t="s">
        <v>2013</v>
      </c>
      <c r="B1668" s="21">
        <v>2021</v>
      </c>
      <c r="C1668" s="21">
        <v>2</v>
      </c>
      <c r="D1668" s="21">
        <v>13</v>
      </c>
      <c r="E1668" s="21" t="s">
        <v>316</v>
      </c>
      <c r="F1668" s="21">
        <v>1</v>
      </c>
      <c r="G1668" s="21">
        <v>72.83</v>
      </c>
      <c r="H1668" s="21">
        <v>2558.0300000000002</v>
      </c>
      <c r="I1668" s="21">
        <v>351.23</v>
      </c>
    </row>
    <row r="1669" spans="1:9" ht="15" customHeight="1" x14ac:dyDescent="0.3">
      <c r="A1669" s="21" t="s">
        <v>2014</v>
      </c>
      <c r="B1669" s="21">
        <v>2021</v>
      </c>
      <c r="C1669" s="21">
        <v>2</v>
      </c>
      <c r="D1669" s="21">
        <v>14</v>
      </c>
      <c r="E1669" s="21" t="s">
        <v>319</v>
      </c>
      <c r="F1669" s="21">
        <v>1</v>
      </c>
      <c r="G1669" s="21">
        <v>67.12</v>
      </c>
      <c r="H1669" s="21">
        <v>2357.52</v>
      </c>
      <c r="I1669" s="21">
        <v>351.24</v>
      </c>
    </row>
    <row r="1670" spans="1:9" ht="15" customHeight="1" x14ac:dyDescent="0.3">
      <c r="A1670" s="21" t="s">
        <v>2015</v>
      </c>
      <c r="B1670" s="21">
        <v>2021</v>
      </c>
      <c r="C1670" s="21">
        <v>2</v>
      </c>
      <c r="D1670" s="21">
        <v>15</v>
      </c>
      <c r="E1670" s="21" t="s">
        <v>299</v>
      </c>
      <c r="F1670" s="21">
        <v>0</v>
      </c>
      <c r="G1670" s="21">
        <v>88.76</v>
      </c>
      <c r="H1670" s="21">
        <v>3117.84</v>
      </c>
      <c r="I1670" s="21">
        <v>351.27</v>
      </c>
    </row>
    <row r="1671" spans="1:9" ht="15" customHeight="1" x14ac:dyDescent="0.3">
      <c r="A1671" s="21" t="s">
        <v>2016</v>
      </c>
      <c r="B1671" s="21">
        <v>2021</v>
      </c>
      <c r="C1671" s="21">
        <v>2</v>
      </c>
      <c r="D1671" s="21">
        <v>16</v>
      </c>
      <c r="E1671" s="21" t="s">
        <v>303</v>
      </c>
      <c r="F1671" s="21">
        <v>0</v>
      </c>
      <c r="G1671" s="21">
        <v>85.11</v>
      </c>
      <c r="H1671" s="21">
        <v>2989.34</v>
      </c>
      <c r="I1671" s="21">
        <v>351.23</v>
      </c>
    </row>
    <row r="1672" spans="1:9" ht="15" customHeight="1" x14ac:dyDescent="0.3">
      <c r="A1672" s="21" t="s">
        <v>2017</v>
      </c>
      <c r="B1672" s="21">
        <v>2021</v>
      </c>
      <c r="C1672" s="21">
        <v>2</v>
      </c>
      <c r="D1672" s="21">
        <v>17</v>
      </c>
      <c r="E1672" s="21" t="s">
        <v>307</v>
      </c>
      <c r="F1672" s="21">
        <v>0</v>
      </c>
      <c r="G1672" s="21">
        <v>81.58</v>
      </c>
      <c r="H1672" s="21">
        <v>2865.53</v>
      </c>
      <c r="I1672" s="21">
        <v>351.25</v>
      </c>
    </row>
    <row r="1673" spans="1:9" ht="15" customHeight="1" x14ac:dyDescent="0.3">
      <c r="A1673" s="21" t="s">
        <v>2018</v>
      </c>
      <c r="B1673" s="21">
        <v>2021</v>
      </c>
      <c r="C1673" s="21">
        <v>2</v>
      </c>
      <c r="D1673" s="21">
        <v>18</v>
      </c>
      <c r="E1673" s="21" t="s">
        <v>310</v>
      </c>
      <c r="F1673" s="21">
        <v>0</v>
      </c>
      <c r="G1673" s="21">
        <v>76.66</v>
      </c>
      <c r="H1673" s="21">
        <v>2692.66</v>
      </c>
      <c r="I1673" s="21">
        <v>351.25</v>
      </c>
    </row>
    <row r="1674" spans="1:9" ht="15" customHeight="1" x14ac:dyDescent="0.3">
      <c r="A1674" s="21" t="s">
        <v>2019</v>
      </c>
      <c r="B1674" s="21">
        <v>2021</v>
      </c>
      <c r="C1674" s="21">
        <v>2</v>
      </c>
      <c r="D1674" s="21">
        <v>19</v>
      </c>
      <c r="E1674" s="21" t="s">
        <v>313</v>
      </c>
      <c r="F1674" s="21">
        <v>0</v>
      </c>
      <c r="G1674" s="21">
        <v>86.93</v>
      </c>
      <c r="H1674" s="21">
        <v>3053.33</v>
      </c>
      <c r="I1674" s="21">
        <v>351.24</v>
      </c>
    </row>
    <row r="1675" spans="1:9" ht="15" customHeight="1" x14ac:dyDescent="0.3">
      <c r="A1675" s="21" t="s">
        <v>2020</v>
      </c>
      <c r="B1675" s="21">
        <v>2021</v>
      </c>
      <c r="C1675" s="21">
        <v>2</v>
      </c>
      <c r="D1675" s="21">
        <v>20</v>
      </c>
      <c r="E1675" s="21" t="s">
        <v>316</v>
      </c>
      <c r="F1675" s="21">
        <v>1</v>
      </c>
      <c r="G1675" s="21">
        <v>72.78</v>
      </c>
      <c r="H1675" s="21">
        <v>2556.25</v>
      </c>
      <c r="I1675" s="21">
        <v>351.23</v>
      </c>
    </row>
    <row r="1676" spans="1:9" ht="15" customHeight="1" x14ac:dyDescent="0.3">
      <c r="A1676" s="21" t="s">
        <v>2021</v>
      </c>
      <c r="B1676" s="21">
        <v>2021</v>
      </c>
      <c r="C1676" s="21">
        <v>2</v>
      </c>
      <c r="D1676" s="21">
        <v>21</v>
      </c>
      <c r="E1676" s="21" t="s">
        <v>319</v>
      </c>
      <c r="F1676" s="21">
        <v>1</v>
      </c>
      <c r="G1676" s="21">
        <v>69.53</v>
      </c>
      <c r="H1676" s="21">
        <v>2442.38</v>
      </c>
      <c r="I1676" s="21">
        <v>351.27</v>
      </c>
    </row>
    <row r="1677" spans="1:9" ht="15" customHeight="1" x14ac:dyDescent="0.3">
      <c r="A1677" s="21" t="s">
        <v>2022</v>
      </c>
      <c r="B1677" s="21">
        <v>2021</v>
      </c>
      <c r="C1677" s="21">
        <v>2</v>
      </c>
      <c r="D1677" s="21">
        <v>22</v>
      </c>
      <c r="E1677" s="21" t="s">
        <v>299</v>
      </c>
      <c r="F1677" s="21">
        <v>0</v>
      </c>
      <c r="G1677" s="21">
        <v>83.51</v>
      </c>
      <c r="H1677" s="21">
        <v>2933.29</v>
      </c>
      <c r="I1677" s="21">
        <v>351.25</v>
      </c>
    </row>
    <row r="1678" spans="1:9" ht="15" customHeight="1" x14ac:dyDescent="0.3">
      <c r="A1678" s="21" t="s">
        <v>2023</v>
      </c>
      <c r="B1678" s="21">
        <v>2021</v>
      </c>
      <c r="C1678" s="21">
        <v>2</v>
      </c>
      <c r="D1678" s="21">
        <v>23</v>
      </c>
      <c r="E1678" s="21" t="s">
        <v>303</v>
      </c>
      <c r="F1678" s="21">
        <v>0</v>
      </c>
      <c r="G1678" s="21">
        <v>80.63</v>
      </c>
      <c r="H1678" s="21">
        <v>2832.17</v>
      </c>
      <c r="I1678" s="21">
        <v>351.26</v>
      </c>
    </row>
    <row r="1679" spans="1:9" ht="15" customHeight="1" x14ac:dyDescent="0.3">
      <c r="A1679" s="21" t="s">
        <v>2024</v>
      </c>
      <c r="B1679" s="21">
        <v>2021</v>
      </c>
      <c r="C1679" s="21">
        <v>2</v>
      </c>
      <c r="D1679" s="21">
        <v>24</v>
      </c>
      <c r="E1679" s="21" t="s">
        <v>307</v>
      </c>
      <c r="F1679" s="21">
        <v>0</v>
      </c>
      <c r="G1679" s="21">
        <v>83.94</v>
      </c>
      <c r="H1679" s="21">
        <v>2948.24</v>
      </c>
      <c r="I1679" s="21">
        <v>351.23</v>
      </c>
    </row>
    <row r="1680" spans="1:9" ht="15" customHeight="1" x14ac:dyDescent="0.3">
      <c r="A1680" s="21" t="s">
        <v>2025</v>
      </c>
      <c r="B1680" s="21">
        <v>2021</v>
      </c>
      <c r="C1680" s="21">
        <v>2</v>
      </c>
      <c r="D1680" s="21">
        <v>25</v>
      </c>
      <c r="E1680" s="21" t="s">
        <v>310</v>
      </c>
      <c r="F1680" s="21">
        <v>0</v>
      </c>
      <c r="G1680" s="21">
        <v>83.21</v>
      </c>
      <c r="H1680" s="21">
        <v>2922.88</v>
      </c>
      <c r="I1680" s="21">
        <v>351.27</v>
      </c>
    </row>
    <row r="1681" spans="1:9" ht="15" customHeight="1" x14ac:dyDescent="0.3">
      <c r="A1681" s="21" t="s">
        <v>2026</v>
      </c>
      <c r="B1681" s="21">
        <v>2021</v>
      </c>
      <c r="C1681" s="21">
        <v>2</v>
      </c>
      <c r="D1681" s="21">
        <v>26</v>
      </c>
      <c r="E1681" s="21" t="s">
        <v>313</v>
      </c>
      <c r="F1681" s="21">
        <v>0</v>
      </c>
      <c r="G1681" s="21">
        <v>87.83</v>
      </c>
      <c r="H1681" s="21">
        <v>3085.16</v>
      </c>
      <c r="I1681" s="21">
        <v>351.26</v>
      </c>
    </row>
    <row r="1682" spans="1:9" ht="15" customHeight="1" x14ac:dyDescent="0.3">
      <c r="A1682" s="21" t="s">
        <v>2027</v>
      </c>
      <c r="B1682" s="21">
        <v>2021</v>
      </c>
      <c r="C1682" s="21">
        <v>2</v>
      </c>
      <c r="D1682" s="21">
        <v>27</v>
      </c>
      <c r="E1682" s="21" t="s">
        <v>316</v>
      </c>
      <c r="F1682" s="21">
        <v>1</v>
      </c>
      <c r="G1682" s="21">
        <v>78.989999999999995</v>
      </c>
      <c r="H1682" s="21">
        <v>2774.62</v>
      </c>
      <c r="I1682" s="21">
        <v>351.26</v>
      </c>
    </row>
    <row r="1683" spans="1:9" ht="15" customHeight="1" x14ac:dyDescent="0.3">
      <c r="A1683" s="21" t="s">
        <v>2028</v>
      </c>
      <c r="B1683" s="21">
        <v>2021</v>
      </c>
      <c r="C1683" s="21">
        <v>2</v>
      </c>
      <c r="D1683" s="21">
        <v>28</v>
      </c>
      <c r="E1683" s="21" t="s">
        <v>319</v>
      </c>
      <c r="F1683" s="21">
        <v>1</v>
      </c>
      <c r="G1683" s="21">
        <v>78.92</v>
      </c>
      <c r="H1683" s="21">
        <v>2772.14</v>
      </c>
      <c r="I1683" s="21">
        <v>351.26</v>
      </c>
    </row>
    <row r="1684" spans="1:9" ht="15" customHeight="1" x14ac:dyDescent="0.3">
      <c r="A1684" s="21" t="s">
        <v>153</v>
      </c>
      <c r="B1684" s="21">
        <v>2021</v>
      </c>
      <c r="C1684" s="21">
        <v>3</v>
      </c>
      <c r="D1684" s="21">
        <v>1</v>
      </c>
      <c r="E1684" s="21" t="s">
        <v>299</v>
      </c>
      <c r="F1684" s="21">
        <v>0</v>
      </c>
      <c r="G1684" s="21">
        <v>103.6</v>
      </c>
      <c r="H1684" s="21">
        <v>3573.68</v>
      </c>
      <c r="I1684" s="21">
        <v>344.95</v>
      </c>
    </row>
    <row r="1685" spans="1:9" ht="15" customHeight="1" x14ac:dyDescent="0.3">
      <c r="A1685" s="21" t="s">
        <v>2029</v>
      </c>
      <c r="B1685" s="21">
        <v>2021</v>
      </c>
      <c r="C1685" s="21">
        <v>3</v>
      </c>
      <c r="D1685" s="21">
        <v>2</v>
      </c>
      <c r="E1685" s="21" t="s">
        <v>303</v>
      </c>
      <c r="F1685" s="21">
        <v>0</v>
      </c>
      <c r="G1685" s="21">
        <v>106.25</v>
      </c>
      <c r="H1685" s="21">
        <v>3665.03</v>
      </c>
      <c r="I1685" s="21">
        <v>344.94</v>
      </c>
    </row>
    <row r="1686" spans="1:9" ht="15" customHeight="1" x14ac:dyDescent="0.3">
      <c r="A1686" s="21" t="s">
        <v>2030</v>
      </c>
      <c r="B1686" s="21">
        <v>2021</v>
      </c>
      <c r="C1686" s="21">
        <v>3</v>
      </c>
      <c r="D1686" s="21">
        <v>3</v>
      </c>
      <c r="E1686" s="21" t="s">
        <v>307</v>
      </c>
      <c r="F1686" s="21">
        <v>0</v>
      </c>
      <c r="G1686" s="21">
        <v>87.27</v>
      </c>
      <c r="H1686" s="21">
        <v>3010.28</v>
      </c>
      <c r="I1686" s="21">
        <v>344.94</v>
      </c>
    </row>
    <row r="1687" spans="1:9" ht="15" customHeight="1" x14ac:dyDescent="0.3">
      <c r="A1687" s="21" t="s">
        <v>2031</v>
      </c>
      <c r="B1687" s="21">
        <v>2021</v>
      </c>
      <c r="C1687" s="21">
        <v>3</v>
      </c>
      <c r="D1687" s="21">
        <v>4</v>
      </c>
      <c r="E1687" s="21" t="s">
        <v>310</v>
      </c>
      <c r="F1687" s="21">
        <v>0</v>
      </c>
      <c r="G1687" s="21">
        <v>91.34</v>
      </c>
      <c r="H1687" s="21">
        <v>3150.67</v>
      </c>
      <c r="I1687" s="21">
        <v>344.94</v>
      </c>
    </row>
    <row r="1688" spans="1:9" ht="15" customHeight="1" x14ac:dyDescent="0.3">
      <c r="A1688" s="21" t="s">
        <v>2032</v>
      </c>
      <c r="B1688" s="21">
        <v>2021</v>
      </c>
      <c r="C1688" s="21">
        <v>3</v>
      </c>
      <c r="D1688" s="21">
        <v>5</v>
      </c>
      <c r="E1688" s="21" t="s">
        <v>313</v>
      </c>
      <c r="F1688" s="21">
        <v>0</v>
      </c>
      <c r="G1688" s="21">
        <v>99.19</v>
      </c>
      <c r="H1688" s="21">
        <v>3421.58</v>
      </c>
      <c r="I1688" s="21">
        <v>344.95</v>
      </c>
    </row>
    <row r="1689" spans="1:9" ht="15" customHeight="1" x14ac:dyDescent="0.3">
      <c r="A1689" s="21" t="s">
        <v>2033</v>
      </c>
      <c r="B1689" s="21">
        <v>2021</v>
      </c>
      <c r="C1689" s="21">
        <v>3</v>
      </c>
      <c r="D1689" s="21">
        <v>6</v>
      </c>
      <c r="E1689" s="21" t="s">
        <v>316</v>
      </c>
      <c r="F1689" s="21">
        <v>1</v>
      </c>
      <c r="G1689" s="21">
        <v>77.540000000000006</v>
      </c>
      <c r="H1689" s="21">
        <v>2674.76</v>
      </c>
      <c r="I1689" s="21">
        <v>344.95</v>
      </c>
    </row>
    <row r="1690" spans="1:9" ht="15" customHeight="1" x14ac:dyDescent="0.3">
      <c r="A1690" s="21" t="s">
        <v>2034</v>
      </c>
      <c r="B1690" s="21">
        <v>2021</v>
      </c>
      <c r="C1690" s="21">
        <v>3</v>
      </c>
      <c r="D1690" s="21">
        <v>7</v>
      </c>
      <c r="E1690" s="21" t="s">
        <v>319</v>
      </c>
      <c r="F1690" s="21">
        <v>1</v>
      </c>
      <c r="G1690" s="21">
        <v>73.760000000000005</v>
      </c>
      <c r="H1690" s="21">
        <v>2544.37</v>
      </c>
      <c r="I1690" s="21">
        <v>344.95</v>
      </c>
    </row>
    <row r="1691" spans="1:9" ht="15" customHeight="1" x14ac:dyDescent="0.3">
      <c r="A1691" s="21" t="s">
        <v>2035</v>
      </c>
      <c r="B1691" s="21">
        <v>2021</v>
      </c>
      <c r="C1691" s="21">
        <v>3</v>
      </c>
      <c r="D1691" s="21">
        <v>8</v>
      </c>
      <c r="E1691" s="21" t="s">
        <v>299</v>
      </c>
      <c r="F1691" s="21">
        <v>0</v>
      </c>
      <c r="G1691" s="21">
        <v>93.6</v>
      </c>
      <c r="H1691" s="21">
        <v>3228.48</v>
      </c>
      <c r="I1691" s="21">
        <v>344.92</v>
      </c>
    </row>
    <row r="1692" spans="1:9" ht="15" customHeight="1" x14ac:dyDescent="0.3">
      <c r="A1692" s="21" t="s">
        <v>2036</v>
      </c>
      <c r="B1692" s="21">
        <v>2021</v>
      </c>
      <c r="C1692" s="21">
        <v>3</v>
      </c>
      <c r="D1692" s="21">
        <v>9</v>
      </c>
      <c r="E1692" s="21" t="s">
        <v>303</v>
      </c>
      <c r="F1692" s="21">
        <v>0</v>
      </c>
      <c r="G1692" s="21">
        <v>88.06</v>
      </c>
      <c r="H1692" s="21">
        <v>3037.47</v>
      </c>
      <c r="I1692" s="21">
        <v>344.93</v>
      </c>
    </row>
    <row r="1693" spans="1:9" ht="15" customHeight="1" x14ac:dyDescent="0.3">
      <c r="A1693" s="21" t="s">
        <v>2037</v>
      </c>
      <c r="B1693" s="21">
        <v>2021</v>
      </c>
      <c r="C1693" s="21">
        <v>3</v>
      </c>
      <c r="D1693" s="21">
        <v>10</v>
      </c>
      <c r="E1693" s="21" t="s">
        <v>307</v>
      </c>
      <c r="F1693" s="21">
        <v>0</v>
      </c>
      <c r="G1693" s="21">
        <v>85.73</v>
      </c>
      <c r="H1693" s="21">
        <v>2957.27</v>
      </c>
      <c r="I1693" s="21">
        <v>344.95</v>
      </c>
    </row>
    <row r="1694" spans="1:9" ht="15" customHeight="1" x14ac:dyDescent="0.3">
      <c r="A1694" s="21" t="s">
        <v>2038</v>
      </c>
      <c r="B1694" s="21">
        <v>2021</v>
      </c>
      <c r="C1694" s="21">
        <v>3</v>
      </c>
      <c r="D1694" s="21">
        <v>11</v>
      </c>
      <c r="E1694" s="21" t="s">
        <v>310</v>
      </c>
      <c r="F1694" s="21">
        <v>0</v>
      </c>
      <c r="G1694" s="21">
        <v>88.98</v>
      </c>
      <c r="H1694" s="21">
        <v>3069.26</v>
      </c>
      <c r="I1694" s="21">
        <v>344.94</v>
      </c>
    </row>
    <row r="1695" spans="1:9" ht="15" customHeight="1" x14ac:dyDescent="0.3">
      <c r="A1695" s="21" t="s">
        <v>2039</v>
      </c>
      <c r="B1695" s="21">
        <v>2021</v>
      </c>
      <c r="C1695" s="21">
        <v>3</v>
      </c>
      <c r="D1695" s="21">
        <v>12</v>
      </c>
      <c r="E1695" s="21" t="s">
        <v>313</v>
      </c>
      <c r="F1695" s="21">
        <v>0</v>
      </c>
      <c r="G1695" s="21">
        <v>92.06</v>
      </c>
      <c r="H1695" s="21">
        <v>3175.33</v>
      </c>
      <c r="I1695" s="21">
        <v>344.92</v>
      </c>
    </row>
    <row r="1696" spans="1:9" ht="15" customHeight="1" x14ac:dyDescent="0.3">
      <c r="A1696" s="21" t="s">
        <v>2040</v>
      </c>
      <c r="B1696" s="21">
        <v>2021</v>
      </c>
      <c r="C1696" s="21">
        <v>3</v>
      </c>
      <c r="D1696" s="21">
        <v>13</v>
      </c>
      <c r="E1696" s="21" t="s">
        <v>316</v>
      </c>
      <c r="F1696" s="21">
        <v>1</v>
      </c>
      <c r="G1696" s="21">
        <v>78.040000000000006</v>
      </c>
      <c r="H1696" s="21">
        <v>2692.03</v>
      </c>
      <c r="I1696" s="21">
        <v>344.96</v>
      </c>
    </row>
    <row r="1697" spans="1:9" ht="15" customHeight="1" x14ac:dyDescent="0.3">
      <c r="A1697" s="21" t="s">
        <v>2041</v>
      </c>
      <c r="B1697" s="21">
        <v>2021</v>
      </c>
      <c r="C1697" s="21">
        <v>3</v>
      </c>
      <c r="D1697" s="21">
        <v>14</v>
      </c>
      <c r="E1697" s="21" t="s">
        <v>319</v>
      </c>
      <c r="F1697" s="21">
        <v>1</v>
      </c>
      <c r="G1697" s="21">
        <v>73.680000000000007</v>
      </c>
      <c r="H1697" s="21">
        <v>2541.36</v>
      </c>
      <c r="I1697" s="21">
        <v>344.92</v>
      </c>
    </row>
    <row r="1698" spans="1:9" ht="15" customHeight="1" x14ac:dyDescent="0.3">
      <c r="A1698" s="21" t="s">
        <v>2042</v>
      </c>
      <c r="B1698" s="21">
        <v>2021</v>
      </c>
      <c r="C1698" s="21">
        <v>3</v>
      </c>
      <c r="D1698" s="21">
        <v>15</v>
      </c>
      <c r="E1698" s="21" t="s">
        <v>299</v>
      </c>
      <c r="F1698" s="21">
        <v>0</v>
      </c>
      <c r="G1698" s="21">
        <v>93.06</v>
      </c>
      <c r="H1698" s="21">
        <v>3210.01</v>
      </c>
      <c r="I1698" s="21">
        <v>344.94</v>
      </c>
    </row>
    <row r="1699" spans="1:9" ht="15" customHeight="1" x14ac:dyDescent="0.3">
      <c r="A1699" s="21" t="s">
        <v>2043</v>
      </c>
      <c r="B1699" s="21">
        <v>2021</v>
      </c>
      <c r="C1699" s="21">
        <v>3</v>
      </c>
      <c r="D1699" s="21">
        <v>16</v>
      </c>
      <c r="E1699" s="21" t="s">
        <v>303</v>
      </c>
      <c r="F1699" s="21">
        <v>0</v>
      </c>
      <c r="G1699" s="21">
        <v>88.87</v>
      </c>
      <c r="H1699" s="21">
        <v>3065.51</v>
      </c>
      <c r="I1699" s="21">
        <v>344.94</v>
      </c>
    </row>
    <row r="1700" spans="1:9" ht="15" customHeight="1" x14ac:dyDescent="0.3">
      <c r="A1700" s="21" t="s">
        <v>2044</v>
      </c>
      <c r="B1700" s="21">
        <v>2021</v>
      </c>
      <c r="C1700" s="21">
        <v>3</v>
      </c>
      <c r="D1700" s="21">
        <v>17</v>
      </c>
      <c r="E1700" s="21" t="s">
        <v>307</v>
      </c>
      <c r="F1700" s="21">
        <v>0</v>
      </c>
      <c r="G1700" s="21">
        <v>87.44</v>
      </c>
      <c r="H1700" s="21">
        <v>3016.07</v>
      </c>
      <c r="I1700" s="21">
        <v>344.93</v>
      </c>
    </row>
    <row r="1701" spans="1:9" ht="15" customHeight="1" x14ac:dyDescent="0.3">
      <c r="A1701" s="21" t="s">
        <v>2045</v>
      </c>
      <c r="B1701" s="21">
        <v>2021</v>
      </c>
      <c r="C1701" s="21">
        <v>3</v>
      </c>
      <c r="D1701" s="21">
        <v>18</v>
      </c>
      <c r="E1701" s="21" t="s">
        <v>310</v>
      </c>
      <c r="F1701" s="21">
        <v>0</v>
      </c>
      <c r="G1701" s="21">
        <v>89.67</v>
      </c>
      <c r="H1701" s="21">
        <v>3093.18</v>
      </c>
      <c r="I1701" s="21">
        <v>344.95</v>
      </c>
    </row>
    <row r="1702" spans="1:9" ht="15" customHeight="1" x14ac:dyDescent="0.3">
      <c r="A1702" s="21" t="s">
        <v>2046</v>
      </c>
      <c r="B1702" s="21">
        <v>2021</v>
      </c>
      <c r="C1702" s="21">
        <v>3</v>
      </c>
      <c r="D1702" s="21">
        <v>19</v>
      </c>
      <c r="E1702" s="21" t="s">
        <v>313</v>
      </c>
      <c r="F1702" s="21">
        <v>0</v>
      </c>
      <c r="G1702" s="21">
        <v>93.92</v>
      </c>
      <c r="H1702" s="21">
        <v>3239.54</v>
      </c>
      <c r="I1702" s="21">
        <v>344.93</v>
      </c>
    </row>
    <row r="1703" spans="1:9" ht="15" customHeight="1" x14ac:dyDescent="0.3">
      <c r="A1703" s="21" t="s">
        <v>2047</v>
      </c>
      <c r="B1703" s="21">
        <v>2021</v>
      </c>
      <c r="C1703" s="21">
        <v>3</v>
      </c>
      <c r="D1703" s="21">
        <v>20</v>
      </c>
      <c r="E1703" s="21" t="s">
        <v>316</v>
      </c>
      <c r="F1703" s="21">
        <v>1</v>
      </c>
      <c r="G1703" s="21">
        <v>77.209999999999994</v>
      </c>
      <c r="H1703" s="21">
        <v>2663.18</v>
      </c>
      <c r="I1703" s="21">
        <v>344.93</v>
      </c>
    </row>
    <row r="1704" spans="1:9" ht="15" customHeight="1" x14ac:dyDescent="0.3">
      <c r="A1704" s="21" t="s">
        <v>2048</v>
      </c>
      <c r="B1704" s="21">
        <v>2021</v>
      </c>
      <c r="C1704" s="21">
        <v>3</v>
      </c>
      <c r="D1704" s="21">
        <v>21</v>
      </c>
      <c r="E1704" s="21" t="s">
        <v>319</v>
      </c>
      <c r="F1704" s="21">
        <v>1</v>
      </c>
      <c r="G1704" s="21">
        <v>71.349999999999994</v>
      </c>
      <c r="H1704" s="21">
        <v>2460.9899999999998</v>
      </c>
      <c r="I1704" s="21">
        <v>344.92</v>
      </c>
    </row>
    <row r="1705" spans="1:9" ht="15" customHeight="1" x14ac:dyDescent="0.3">
      <c r="A1705" s="21" t="s">
        <v>2049</v>
      </c>
      <c r="B1705" s="21">
        <v>2021</v>
      </c>
      <c r="C1705" s="21">
        <v>3</v>
      </c>
      <c r="D1705" s="21">
        <v>22</v>
      </c>
      <c r="E1705" s="21" t="s">
        <v>299</v>
      </c>
      <c r="F1705" s="21">
        <v>0</v>
      </c>
      <c r="G1705" s="21">
        <v>92.86</v>
      </c>
      <c r="H1705" s="21">
        <v>3203.19</v>
      </c>
      <c r="I1705" s="21">
        <v>344.95</v>
      </c>
    </row>
    <row r="1706" spans="1:9" ht="15" customHeight="1" x14ac:dyDescent="0.3">
      <c r="A1706" s="21" t="s">
        <v>2050</v>
      </c>
      <c r="B1706" s="21">
        <v>2021</v>
      </c>
      <c r="C1706" s="21">
        <v>3</v>
      </c>
      <c r="D1706" s="21">
        <v>23</v>
      </c>
      <c r="E1706" s="21" t="s">
        <v>303</v>
      </c>
      <c r="F1706" s="21">
        <v>0</v>
      </c>
      <c r="G1706" s="21">
        <v>93.25</v>
      </c>
      <c r="H1706" s="21">
        <v>3216.49</v>
      </c>
      <c r="I1706" s="21">
        <v>344.93</v>
      </c>
    </row>
    <row r="1707" spans="1:9" ht="15" customHeight="1" x14ac:dyDescent="0.3">
      <c r="A1707" s="21" t="s">
        <v>2051</v>
      </c>
      <c r="B1707" s="21">
        <v>2021</v>
      </c>
      <c r="C1707" s="21">
        <v>3</v>
      </c>
      <c r="D1707" s="21">
        <v>24</v>
      </c>
      <c r="E1707" s="21" t="s">
        <v>307</v>
      </c>
      <c r="F1707" s="21">
        <v>0</v>
      </c>
      <c r="G1707" s="21">
        <v>85.48</v>
      </c>
      <c r="H1707" s="21">
        <v>2948.46</v>
      </c>
      <c r="I1707" s="21">
        <v>344.93</v>
      </c>
    </row>
    <row r="1708" spans="1:9" ht="15" customHeight="1" x14ac:dyDescent="0.3">
      <c r="A1708" s="21" t="s">
        <v>2052</v>
      </c>
      <c r="B1708" s="21">
        <v>2021</v>
      </c>
      <c r="C1708" s="21">
        <v>3</v>
      </c>
      <c r="D1708" s="21">
        <v>25</v>
      </c>
      <c r="E1708" s="21" t="s">
        <v>310</v>
      </c>
      <c r="F1708" s="21">
        <v>0</v>
      </c>
      <c r="G1708" s="21">
        <v>86.33</v>
      </c>
      <c r="H1708" s="21">
        <v>2977.87</v>
      </c>
      <c r="I1708" s="21">
        <v>344.94</v>
      </c>
    </row>
    <row r="1709" spans="1:9" ht="15" customHeight="1" x14ac:dyDescent="0.3">
      <c r="A1709" s="21" t="s">
        <v>2053</v>
      </c>
      <c r="B1709" s="21">
        <v>2021</v>
      </c>
      <c r="C1709" s="21">
        <v>3</v>
      </c>
      <c r="D1709" s="21">
        <v>26</v>
      </c>
      <c r="E1709" s="21" t="s">
        <v>313</v>
      </c>
      <c r="F1709" s="21">
        <v>0</v>
      </c>
      <c r="G1709" s="21">
        <v>96.53</v>
      </c>
      <c r="H1709" s="21">
        <v>3329.72</v>
      </c>
      <c r="I1709" s="21">
        <v>344.94</v>
      </c>
    </row>
    <row r="1710" spans="1:9" ht="15" customHeight="1" x14ac:dyDescent="0.3">
      <c r="A1710" s="21" t="s">
        <v>2054</v>
      </c>
      <c r="B1710" s="21">
        <v>2021</v>
      </c>
      <c r="C1710" s="21">
        <v>3</v>
      </c>
      <c r="D1710" s="21">
        <v>27</v>
      </c>
      <c r="E1710" s="21" t="s">
        <v>316</v>
      </c>
      <c r="F1710" s="21">
        <v>1</v>
      </c>
      <c r="G1710" s="21">
        <v>75.38</v>
      </c>
      <c r="H1710" s="21">
        <v>2600.1</v>
      </c>
      <c r="I1710" s="21">
        <v>344.93</v>
      </c>
    </row>
    <row r="1711" spans="1:9" ht="15" customHeight="1" x14ac:dyDescent="0.3">
      <c r="A1711" s="21" t="s">
        <v>2055</v>
      </c>
      <c r="B1711" s="21">
        <v>2021</v>
      </c>
      <c r="C1711" s="21">
        <v>3</v>
      </c>
      <c r="D1711" s="21">
        <v>28</v>
      </c>
      <c r="E1711" s="21" t="s">
        <v>319</v>
      </c>
      <c r="F1711" s="21">
        <v>1</v>
      </c>
      <c r="G1711" s="21">
        <v>75.83</v>
      </c>
      <c r="H1711" s="21">
        <v>2615.6999999999998</v>
      </c>
      <c r="I1711" s="21">
        <v>344.94</v>
      </c>
    </row>
    <row r="1712" spans="1:9" ht="15" customHeight="1" x14ac:dyDescent="0.3">
      <c r="A1712" s="21" t="s">
        <v>2056</v>
      </c>
      <c r="B1712" s="21">
        <v>2021</v>
      </c>
      <c r="C1712" s="21">
        <v>3</v>
      </c>
      <c r="D1712" s="21">
        <v>29</v>
      </c>
      <c r="E1712" s="21" t="s">
        <v>299</v>
      </c>
      <c r="F1712" s="21">
        <v>0</v>
      </c>
      <c r="G1712" s="21">
        <v>93.82</v>
      </c>
      <c r="H1712" s="21">
        <v>3236.27</v>
      </c>
      <c r="I1712" s="21">
        <v>344.94</v>
      </c>
    </row>
    <row r="1713" spans="1:9" ht="15" customHeight="1" x14ac:dyDescent="0.3">
      <c r="A1713" s="21" t="s">
        <v>2057</v>
      </c>
      <c r="B1713" s="21">
        <v>2021</v>
      </c>
      <c r="C1713" s="21">
        <v>3</v>
      </c>
      <c r="D1713" s="21">
        <v>30</v>
      </c>
      <c r="E1713" s="21" t="s">
        <v>303</v>
      </c>
      <c r="F1713" s="21">
        <v>0</v>
      </c>
      <c r="G1713" s="21">
        <v>103.27</v>
      </c>
      <c r="H1713" s="21">
        <v>3562.19</v>
      </c>
      <c r="I1713" s="21">
        <v>344.94</v>
      </c>
    </row>
    <row r="1714" spans="1:9" ht="15" customHeight="1" x14ac:dyDescent="0.3">
      <c r="A1714" s="21" t="s">
        <v>2058</v>
      </c>
      <c r="B1714" s="21">
        <v>2021</v>
      </c>
      <c r="C1714" s="21">
        <v>3</v>
      </c>
      <c r="D1714" s="21">
        <v>31</v>
      </c>
      <c r="E1714" s="21" t="s">
        <v>307</v>
      </c>
      <c r="F1714" s="21">
        <v>0</v>
      </c>
      <c r="G1714" s="21">
        <v>104.71</v>
      </c>
      <c r="H1714" s="21">
        <v>3612</v>
      </c>
      <c r="I1714" s="21">
        <v>344.95</v>
      </c>
    </row>
    <row r="1715" spans="1:9" ht="15" customHeight="1" x14ac:dyDescent="0.3">
      <c r="A1715" s="21" t="s">
        <v>154</v>
      </c>
      <c r="B1715" s="21">
        <v>2021</v>
      </c>
      <c r="C1715" s="21">
        <v>4</v>
      </c>
      <c r="D1715" s="21">
        <v>1</v>
      </c>
      <c r="E1715" s="21" t="s">
        <v>310</v>
      </c>
      <c r="F1715" s="21">
        <v>0</v>
      </c>
      <c r="G1715" s="21">
        <v>102.49</v>
      </c>
      <c r="H1715" s="21">
        <v>3525.4</v>
      </c>
      <c r="I1715" s="21">
        <v>343.98</v>
      </c>
    </row>
    <row r="1716" spans="1:9" ht="15" customHeight="1" x14ac:dyDescent="0.3">
      <c r="A1716" s="21" t="s">
        <v>2059</v>
      </c>
      <c r="B1716" s="21">
        <v>2021</v>
      </c>
      <c r="C1716" s="21">
        <v>4</v>
      </c>
      <c r="D1716" s="21">
        <v>2</v>
      </c>
      <c r="E1716" s="21" t="s">
        <v>313</v>
      </c>
      <c r="F1716" s="21">
        <v>0</v>
      </c>
      <c r="G1716" s="21">
        <v>108.61</v>
      </c>
      <c r="H1716" s="21">
        <v>3735.98</v>
      </c>
      <c r="I1716" s="21">
        <v>343.98</v>
      </c>
    </row>
    <row r="1717" spans="1:9" ht="15" customHeight="1" x14ac:dyDescent="0.3">
      <c r="A1717" s="21" t="s">
        <v>2060</v>
      </c>
      <c r="B1717" s="21">
        <v>2021</v>
      </c>
      <c r="C1717" s="21">
        <v>4</v>
      </c>
      <c r="D1717" s="21">
        <v>3</v>
      </c>
      <c r="E1717" s="21" t="s">
        <v>316</v>
      </c>
      <c r="F1717" s="21">
        <v>1</v>
      </c>
      <c r="G1717" s="21">
        <v>76.61</v>
      </c>
      <c r="H1717" s="21">
        <v>2635.19</v>
      </c>
      <c r="I1717" s="21">
        <v>343.97</v>
      </c>
    </row>
    <row r="1718" spans="1:9" ht="15" customHeight="1" x14ac:dyDescent="0.3">
      <c r="A1718" s="21" t="s">
        <v>2061</v>
      </c>
      <c r="B1718" s="21">
        <v>2021</v>
      </c>
      <c r="C1718" s="21">
        <v>4</v>
      </c>
      <c r="D1718" s="21">
        <v>4</v>
      </c>
      <c r="E1718" s="21" t="s">
        <v>319</v>
      </c>
      <c r="F1718" s="21">
        <v>1</v>
      </c>
      <c r="G1718" s="21">
        <v>79.849999999999994</v>
      </c>
      <c r="H1718" s="21">
        <v>2746.69</v>
      </c>
      <c r="I1718" s="21">
        <v>343.98</v>
      </c>
    </row>
    <row r="1719" spans="1:9" ht="15" customHeight="1" x14ac:dyDescent="0.3">
      <c r="A1719" s="21" t="s">
        <v>2062</v>
      </c>
      <c r="B1719" s="21">
        <v>2021</v>
      </c>
      <c r="C1719" s="21">
        <v>4</v>
      </c>
      <c r="D1719" s="21">
        <v>5</v>
      </c>
      <c r="E1719" s="21" t="s">
        <v>299</v>
      </c>
      <c r="F1719" s="21">
        <v>0</v>
      </c>
      <c r="G1719" s="21">
        <v>92.09</v>
      </c>
      <c r="H1719" s="21">
        <v>3167.7</v>
      </c>
      <c r="I1719" s="21">
        <v>343.98</v>
      </c>
    </row>
    <row r="1720" spans="1:9" ht="15" customHeight="1" x14ac:dyDescent="0.3">
      <c r="A1720" s="21" t="s">
        <v>2063</v>
      </c>
      <c r="B1720" s="21">
        <v>2021</v>
      </c>
      <c r="C1720" s="21">
        <v>4</v>
      </c>
      <c r="D1720" s="21">
        <v>6</v>
      </c>
      <c r="E1720" s="21" t="s">
        <v>303</v>
      </c>
      <c r="F1720" s="21">
        <v>0</v>
      </c>
      <c r="G1720" s="21">
        <v>85.47</v>
      </c>
      <c r="H1720" s="21">
        <v>2939.8</v>
      </c>
      <c r="I1720" s="21">
        <v>343.96</v>
      </c>
    </row>
    <row r="1721" spans="1:9" ht="15" customHeight="1" x14ac:dyDescent="0.3">
      <c r="A1721" s="21" t="s">
        <v>2064</v>
      </c>
      <c r="B1721" s="21">
        <v>2021</v>
      </c>
      <c r="C1721" s="21">
        <v>4</v>
      </c>
      <c r="D1721" s="21">
        <v>7</v>
      </c>
      <c r="E1721" s="21" t="s">
        <v>307</v>
      </c>
      <c r="F1721" s="21">
        <v>0</v>
      </c>
      <c r="G1721" s="21">
        <v>90.96</v>
      </c>
      <c r="H1721" s="21">
        <v>3128.91</v>
      </c>
      <c r="I1721" s="21">
        <v>343.99</v>
      </c>
    </row>
    <row r="1722" spans="1:9" ht="15" customHeight="1" x14ac:dyDescent="0.3">
      <c r="A1722" s="21" t="s">
        <v>2065</v>
      </c>
      <c r="B1722" s="21">
        <v>2021</v>
      </c>
      <c r="C1722" s="21">
        <v>4</v>
      </c>
      <c r="D1722" s="21">
        <v>8</v>
      </c>
      <c r="E1722" s="21" t="s">
        <v>310</v>
      </c>
      <c r="F1722" s="21">
        <v>0</v>
      </c>
      <c r="G1722" s="21">
        <v>87.72</v>
      </c>
      <c r="H1722" s="21">
        <v>3017.4</v>
      </c>
      <c r="I1722" s="21">
        <v>343.98</v>
      </c>
    </row>
    <row r="1723" spans="1:9" ht="15" customHeight="1" x14ac:dyDescent="0.3">
      <c r="A1723" s="21" t="s">
        <v>2066</v>
      </c>
      <c r="B1723" s="21">
        <v>2021</v>
      </c>
      <c r="C1723" s="21">
        <v>4</v>
      </c>
      <c r="D1723" s="21">
        <v>9</v>
      </c>
      <c r="E1723" s="21" t="s">
        <v>313</v>
      </c>
      <c r="F1723" s="21">
        <v>0</v>
      </c>
      <c r="G1723" s="21">
        <v>89.34</v>
      </c>
      <c r="H1723" s="21">
        <v>3073.21</v>
      </c>
      <c r="I1723" s="21">
        <v>343.99</v>
      </c>
    </row>
    <row r="1724" spans="1:9" ht="15" customHeight="1" x14ac:dyDescent="0.3">
      <c r="A1724" s="21" t="s">
        <v>2067</v>
      </c>
      <c r="B1724" s="21">
        <v>2021</v>
      </c>
      <c r="C1724" s="21">
        <v>4</v>
      </c>
      <c r="D1724" s="21">
        <v>10</v>
      </c>
      <c r="E1724" s="21" t="s">
        <v>316</v>
      </c>
      <c r="F1724" s="21">
        <v>1</v>
      </c>
      <c r="G1724" s="21">
        <v>77.069999999999993</v>
      </c>
      <c r="H1724" s="21">
        <v>2651.07</v>
      </c>
      <c r="I1724" s="21">
        <v>343.98</v>
      </c>
    </row>
    <row r="1725" spans="1:9" ht="15" customHeight="1" x14ac:dyDescent="0.3">
      <c r="A1725" s="21" t="s">
        <v>2068</v>
      </c>
      <c r="B1725" s="21">
        <v>2021</v>
      </c>
      <c r="C1725" s="21">
        <v>4</v>
      </c>
      <c r="D1725" s="21">
        <v>11</v>
      </c>
      <c r="E1725" s="21" t="s">
        <v>319</v>
      </c>
      <c r="F1725" s="21">
        <v>1</v>
      </c>
      <c r="G1725" s="21">
        <v>73.42</v>
      </c>
      <c r="H1725" s="21">
        <v>2525.4499999999998</v>
      </c>
      <c r="I1725" s="21">
        <v>343.97</v>
      </c>
    </row>
    <row r="1726" spans="1:9" ht="15" customHeight="1" x14ac:dyDescent="0.3">
      <c r="A1726" s="21" t="s">
        <v>2069</v>
      </c>
      <c r="B1726" s="21">
        <v>2021</v>
      </c>
      <c r="C1726" s="21">
        <v>4</v>
      </c>
      <c r="D1726" s="21">
        <v>12</v>
      </c>
      <c r="E1726" s="21" t="s">
        <v>299</v>
      </c>
      <c r="F1726" s="21">
        <v>0</v>
      </c>
      <c r="G1726" s="21">
        <v>92.2</v>
      </c>
      <c r="H1726" s="21">
        <v>3171.53</v>
      </c>
      <c r="I1726" s="21">
        <v>343.98</v>
      </c>
    </row>
    <row r="1727" spans="1:9" ht="15" customHeight="1" x14ac:dyDescent="0.3">
      <c r="A1727" s="21" t="s">
        <v>2070</v>
      </c>
      <c r="B1727" s="21">
        <v>2021</v>
      </c>
      <c r="C1727" s="21">
        <v>4</v>
      </c>
      <c r="D1727" s="21">
        <v>13</v>
      </c>
      <c r="E1727" s="21" t="s">
        <v>303</v>
      </c>
      <c r="F1727" s="21">
        <v>0</v>
      </c>
      <c r="G1727" s="21">
        <v>88.92</v>
      </c>
      <c r="H1727" s="21">
        <v>3058.49</v>
      </c>
      <c r="I1727" s="21">
        <v>343.96</v>
      </c>
    </row>
    <row r="1728" spans="1:9" ht="15" customHeight="1" x14ac:dyDescent="0.3">
      <c r="A1728" s="21" t="s">
        <v>2071</v>
      </c>
      <c r="B1728" s="21">
        <v>2021</v>
      </c>
      <c r="C1728" s="21">
        <v>4</v>
      </c>
      <c r="D1728" s="21">
        <v>14</v>
      </c>
      <c r="E1728" s="21" t="s">
        <v>307</v>
      </c>
      <c r="F1728" s="21">
        <v>0</v>
      </c>
      <c r="G1728" s="21">
        <v>88.54</v>
      </c>
      <c r="H1728" s="21">
        <v>3045.64</v>
      </c>
      <c r="I1728" s="21">
        <v>343.98</v>
      </c>
    </row>
    <row r="1729" spans="1:9" ht="15" customHeight="1" x14ac:dyDescent="0.3">
      <c r="A1729" s="21" t="s">
        <v>2072</v>
      </c>
      <c r="B1729" s="21">
        <v>2021</v>
      </c>
      <c r="C1729" s="21">
        <v>4</v>
      </c>
      <c r="D1729" s="21">
        <v>15</v>
      </c>
      <c r="E1729" s="21" t="s">
        <v>310</v>
      </c>
      <c r="F1729" s="21">
        <v>0</v>
      </c>
      <c r="G1729" s="21">
        <v>89.91</v>
      </c>
      <c r="H1729" s="21">
        <v>3092.79</v>
      </c>
      <c r="I1729" s="21">
        <v>343.99</v>
      </c>
    </row>
    <row r="1730" spans="1:9" ht="15" customHeight="1" x14ac:dyDescent="0.3">
      <c r="A1730" s="21" t="s">
        <v>2073</v>
      </c>
      <c r="B1730" s="21">
        <v>2021</v>
      </c>
      <c r="C1730" s="21">
        <v>4</v>
      </c>
      <c r="D1730" s="21">
        <v>16</v>
      </c>
      <c r="E1730" s="21" t="s">
        <v>313</v>
      </c>
      <c r="F1730" s="21">
        <v>0</v>
      </c>
      <c r="G1730" s="21">
        <v>93.93</v>
      </c>
      <c r="H1730" s="21">
        <v>3231.04</v>
      </c>
      <c r="I1730" s="21">
        <v>343.98</v>
      </c>
    </row>
    <row r="1731" spans="1:9" ht="15" customHeight="1" x14ac:dyDescent="0.3">
      <c r="A1731" s="21" t="s">
        <v>2074</v>
      </c>
      <c r="B1731" s="21">
        <v>2021</v>
      </c>
      <c r="C1731" s="21">
        <v>4</v>
      </c>
      <c r="D1731" s="21">
        <v>17</v>
      </c>
      <c r="E1731" s="21" t="s">
        <v>316</v>
      </c>
      <c r="F1731" s="21">
        <v>1</v>
      </c>
      <c r="G1731" s="21">
        <v>76.19</v>
      </c>
      <c r="H1731" s="21">
        <v>2620.6999999999998</v>
      </c>
      <c r="I1731" s="21">
        <v>343.97</v>
      </c>
    </row>
    <row r="1732" spans="1:9" ht="15" customHeight="1" x14ac:dyDescent="0.3">
      <c r="A1732" s="21" t="s">
        <v>2075</v>
      </c>
      <c r="B1732" s="21">
        <v>2021</v>
      </c>
      <c r="C1732" s="21">
        <v>4</v>
      </c>
      <c r="D1732" s="21">
        <v>18</v>
      </c>
      <c r="E1732" s="21" t="s">
        <v>319</v>
      </c>
      <c r="F1732" s="21">
        <v>1</v>
      </c>
      <c r="G1732" s="21">
        <v>74.150000000000006</v>
      </c>
      <c r="H1732" s="21">
        <v>2550.5</v>
      </c>
      <c r="I1732" s="21">
        <v>343.96</v>
      </c>
    </row>
    <row r="1733" spans="1:9" ht="15" customHeight="1" x14ac:dyDescent="0.3">
      <c r="A1733" s="21" t="s">
        <v>2076</v>
      </c>
      <c r="B1733" s="21">
        <v>2021</v>
      </c>
      <c r="C1733" s="21">
        <v>4</v>
      </c>
      <c r="D1733" s="21">
        <v>19</v>
      </c>
      <c r="E1733" s="21" t="s">
        <v>299</v>
      </c>
      <c r="F1733" s="21">
        <v>0</v>
      </c>
      <c r="G1733" s="21">
        <v>94.39</v>
      </c>
      <c r="H1733" s="21">
        <v>3246.87</v>
      </c>
      <c r="I1733" s="21">
        <v>343.98</v>
      </c>
    </row>
    <row r="1734" spans="1:9" ht="15" customHeight="1" x14ac:dyDescent="0.3">
      <c r="A1734" s="21" t="s">
        <v>2077</v>
      </c>
      <c r="B1734" s="21">
        <v>2021</v>
      </c>
      <c r="C1734" s="21">
        <v>4</v>
      </c>
      <c r="D1734" s="21">
        <v>20</v>
      </c>
      <c r="E1734" s="21" t="s">
        <v>303</v>
      </c>
      <c r="F1734" s="21">
        <v>0</v>
      </c>
      <c r="G1734" s="21">
        <v>89.67</v>
      </c>
      <c r="H1734" s="21">
        <v>3084.24</v>
      </c>
      <c r="I1734" s="21">
        <v>343.95</v>
      </c>
    </row>
    <row r="1735" spans="1:9" ht="15" customHeight="1" x14ac:dyDescent="0.3">
      <c r="A1735" s="21" t="s">
        <v>2078</v>
      </c>
      <c r="B1735" s="21">
        <v>2021</v>
      </c>
      <c r="C1735" s="21">
        <v>4</v>
      </c>
      <c r="D1735" s="21">
        <v>21</v>
      </c>
      <c r="E1735" s="21" t="s">
        <v>307</v>
      </c>
      <c r="F1735" s="21">
        <v>0</v>
      </c>
      <c r="G1735" s="21">
        <v>85.57</v>
      </c>
      <c r="H1735" s="21">
        <v>2943.35</v>
      </c>
      <c r="I1735" s="21">
        <v>343.97</v>
      </c>
    </row>
    <row r="1736" spans="1:9" ht="15" customHeight="1" x14ac:dyDescent="0.3">
      <c r="A1736" s="21" t="s">
        <v>2079</v>
      </c>
      <c r="B1736" s="21">
        <v>2021</v>
      </c>
      <c r="C1736" s="21">
        <v>4</v>
      </c>
      <c r="D1736" s="21">
        <v>22</v>
      </c>
      <c r="E1736" s="21" t="s">
        <v>310</v>
      </c>
      <c r="F1736" s="21">
        <v>0</v>
      </c>
      <c r="G1736" s="21">
        <v>90.91</v>
      </c>
      <c r="H1736" s="21">
        <v>3126.99</v>
      </c>
      <c r="I1736" s="21">
        <v>343.97</v>
      </c>
    </row>
    <row r="1737" spans="1:9" ht="15" customHeight="1" x14ac:dyDescent="0.3">
      <c r="A1737" s="21" t="s">
        <v>2080</v>
      </c>
      <c r="B1737" s="21">
        <v>2021</v>
      </c>
      <c r="C1737" s="21">
        <v>4</v>
      </c>
      <c r="D1737" s="21">
        <v>23</v>
      </c>
      <c r="E1737" s="21" t="s">
        <v>313</v>
      </c>
      <c r="F1737" s="21">
        <v>0</v>
      </c>
      <c r="G1737" s="21">
        <v>93.67</v>
      </c>
      <c r="H1737" s="21">
        <v>3221.91</v>
      </c>
      <c r="I1737" s="21">
        <v>343.96</v>
      </c>
    </row>
    <row r="1738" spans="1:9" ht="15" customHeight="1" x14ac:dyDescent="0.3">
      <c r="A1738" s="21" t="s">
        <v>2081</v>
      </c>
      <c r="B1738" s="21">
        <v>2021</v>
      </c>
      <c r="C1738" s="21">
        <v>4</v>
      </c>
      <c r="D1738" s="21">
        <v>24</v>
      </c>
      <c r="E1738" s="21" t="s">
        <v>316</v>
      </c>
      <c r="F1738" s="21">
        <v>1</v>
      </c>
      <c r="G1738" s="21">
        <v>76.97</v>
      </c>
      <c r="H1738" s="21">
        <v>2647.5</v>
      </c>
      <c r="I1738" s="21">
        <v>343.97</v>
      </c>
    </row>
    <row r="1739" spans="1:9" ht="15" customHeight="1" x14ac:dyDescent="0.3">
      <c r="A1739" s="21" t="s">
        <v>2082</v>
      </c>
      <c r="B1739" s="21">
        <v>2021</v>
      </c>
      <c r="C1739" s="21">
        <v>4</v>
      </c>
      <c r="D1739" s="21">
        <v>25</v>
      </c>
      <c r="E1739" s="21" t="s">
        <v>319</v>
      </c>
      <c r="F1739" s="21">
        <v>1</v>
      </c>
      <c r="G1739" s="21">
        <v>75.8</v>
      </c>
      <c r="H1739" s="21">
        <v>2607.4499999999998</v>
      </c>
      <c r="I1739" s="21">
        <v>343.99</v>
      </c>
    </row>
    <row r="1740" spans="1:9" ht="15" customHeight="1" x14ac:dyDescent="0.3">
      <c r="A1740" s="21" t="s">
        <v>2083</v>
      </c>
      <c r="B1740" s="21">
        <v>2021</v>
      </c>
      <c r="C1740" s="21">
        <v>4</v>
      </c>
      <c r="D1740" s="21">
        <v>26</v>
      </c>
      <c r="E1740" s="21" t="s">
        <v>299</v>
      </c>
      <c r="F1740" s="21">
        <v>0</v>
      </c>
      <c r="G1740" s="21">
        <v>97.3</v>
      </c>
      <c r="H1740" s="21">
        <v>3346.75</v>
      </c>
      <c r="I1740" s="21">
        <v>343.96</v>
      </c>
    </row>
    <row r="1741" spans="1:9" ht="15" customHeight="1" x14ac:dyDescent="0.3">
      <c r="A1741" s="21" t="s">
        <v>2084</v>
      </c>
      <c r="B1741" s="21">
        <v>2021</v>
      </c>
      <c r="C1741" s="21">
        <v>4</v>
      </c>
      <c r="D1741" s="21">
        <v>27</v>
      </c>
      <c r="E1741" s="21" t="s">
        <v>303</v>
      </c>
      <c r="F1741" s="21">
        <v>0</v>
      </c>
      <c r="G1741" s="21">
        <v>87.45</v>
      </c>
      <c r="H1741" s="21">
        <v>3008.03</v>
      </c>
      <c r="I1741" s="21">
        <v>343.97</v>
      </c>
    </row>
    <row r="1742" spans="1:9" ht="15" customHeight="1" x14ac:dyDescent="0.3">
      <c r="A1742" s="21" t="s">
        <v>2085</v>
      </c>
      <c r="B1742" s="21">
        <v>2021</v>
      </c>
      <c r="C1742" s="21">
        <v>4</v>
      </c>
      <c r="D1742" s="21">
        <v>28</v>
      </c>
      <c r="E1742" s="21" t="s">
        <v>307</v>
      </c>
      <c r="F1742" s="21">
        <v>0</v>
      </c>
      <c r="G1742" s="21">
        <v>87.12</v>
      </c>
      <c r="H1742" s="21">
        <v>2996.6</v>
      </c>
      <c r="I1742" s="21">
        <v>343.96</v>
      </c>
    </row>
    <row r="1743" spans="1:9" ht="15" customHeight="1" x14ac:dyDescent="0.3">
      <c r="A1743" s="21" t="s">
        <v>2086</v>
      </c>
      <c r="B1743" s="21">
        <v>2021</v>
      </c>
      <c r="C1743" s="21">
        <v>4</v>
      </c>
      <c r="D1743" s="21">
        <v>29</v>
      </c>
      <c r="E1743" s="21" t="s">
        <v>310</v>
      </c>
      <c r="F1743" s="21">
        <v>0</v>
      </c>
      <c r="G1743" s="21">
        <v>101.19</v>
      </c>
      <c r="H1743" s="21">
        <v>3480.55</v>
      </c>
      <c r="I1743" s="21">
        <v>343.96</v>
      </c>
    </row>
    <row r="1744" spans="1:9" ht="15" customHeight="1" x14ac:dyDescent="0.3">
      <c r="A1744" s="21" t="s">
        <v>2087</v>
      </c>
      <c r="B1744" s="21">
        <v>2021</v>
      </c>
      <c r="C1744" s="21">
        <v>4</v>
      </c>
      <c r="D1744" s="21">
        <v>30</v>
      </c>
      <c r="E1744" s="21" t="s">
        <v>313</v>
      </c>
      <c r="F1744" s="21">
        <v>0</v>
      </c>
      <c r="G1744" s="21">
        <v>108.42</v>
      </c>
      <c r="H1744" s="21">
        <v>3729.51</v>
      </c>
      <c r="I1744" s="21">
        <v>343.99</v>
      </c>
    </row>
    <row r="1745" spans="1:9" ht="15" customHeight="1" x14ac:dyDescent="0.3">
      <c r="A1745" s="21" t="s">
        <v>155</v>
      </c>
      <c r="B1745" s="21">
        <v>2021</v>
      </c>
      <c r="C1745" s="21">
        <v>5</v>
      </c>
      <c r="D1745" s="21">
        <v>1</v>
      </c>
      <c r="E1745" s="21" t="s">
        <v>316</v>
      </c>
      <c r="F1745" s="21">
        <v>1</v>
      </c>
      <c r="G1745" s="21">
        <v>82.24</v>
      </c>
      <c r="H1745" s="21">
        <v>2825.95</v>
      </c>
      <c r="I1745" s="21">
        <v>343.62</v>
      </c>
    </row>
    <row r="1746" spans="1:9" ht="15" customHeight="1" x14ac:dyDescent="0.3">
      <c r="A1746" s="21" t="s">
        <v>2088</v>
      </c>
      <c r="B1746" s="21">
        <v>2021</v>
      </c>
      <c r="C1746" s="21">
        <v>5</v>
      </c>
      <c r="D1746" s="21">
        <v>2</v>
      </c>
      <c r="E1746" s="21" t="s">
        <v>319</v>
      </c>
      <c r="F1746" s="21">
        <v>1</v>
      </c>
      <c r="G1746" s="21">
        <v>75.42</v>
      </c>
      <c r="H1746" s="21">
        <v>2591.5700000000002</v>
      </c>
      <c r="I1746" s="21">
        <v>343.62</v>
      </c>
    </row>
    <row r="1747" spans="1:9" ht="15" customHeight="1" x14ac:dyDescent="0.3">
      <c r="A1747" s="21" t="s">
        <v>2089</v>
      </c>
      <c r="B1747" s="21">
        <v>2021</v>
      </c>
      <c r="C1747" s="21">
        <v>5</v>
      </c>
      <c r="D1747" s="21">
        <v>3</v>
      </c>
      <c r="E1747" s="21" t="s">
        <v>299</v>
      </c>
      <c r="F1747" s="21">
        <v>0</v>
      </c>
      <c r="G1747" s="21">
        <v>83.33</v>
      </c>
      <c r="H1747" s="21">
        <v>2863.32</v>
      </c>
      <c r="I1747" s="21">
        <v>343.61</v>
      </c>
    </row>
    <row r="1748" spans="1:9" ht="15" customHeight="1" x14ac:dyDescent="0.3">
      <c r="A1748" s="21" t="s">
        <v>2090</v>
      </c>
      <c r="B1748" s="21">
        <v>2021</v>
      </c>
      <c r="C1748" s="21">
        <v>5</v>
      </c>
      <c r="D1748" s="21">
        <v>4</v>
      </c>
      <c r="E1748" s="21" t="s">
        <v>303</v>
      </c>
      <c r="F1748" s="21">
        <v>0</v>
      </c>
      <c r="G1748" s="21">
        <v>79.2</v>
      </c>
      <c r="H1748" s="21">
        <v>2721.55</v>
      </c>
      <c r="I1748" s="21">
        <v>343.63</v>
      </c>
    </row>
    <row r="1749" spans="1:9" ht="15" customHeight="1" x14ac:dyDescent="0.3">
      <c r="A1749" s="21" t="s">
        <v>2091</v>
      </c>
      <c r="B1749" s="21">
        <v>2021</v>
      </c>
      <c r="C1749" s="21">
        <v>5</v>
      </c>
      <c r="D1749" s="21">
        <v>5</v>
      </c>
      <c r="E1749" s="21" t="s">
        <v>307</v>
      </c>
      <c r="F1749" s="21">
        <v>0</v>
      </c>
      <c r="G1749" s="21">
        <v>84.16</v>
      </c>
      <c r="H1749" s="21">
        <v>2891.77</v>
      </c>
      <c r="I1749" s="21">
        <v>343.6</v>
      </c>
    </row>
    <row r="1750" spans="1:9" ht="15" customHeight="1" x14ac:dyDescent="0.3">
      <c r="A1750" s="21" t="s">
        <v>2092</v>
      </c>
      <c r="B1750" s="21">
        <v>2021</v>
      </c>
      <c r="C1750" s="21">
        <v>5</v>
      </c>
      <c r="D1750" s="21">
        <v>6</v>
      </c>
      <c r="E1750" s="21" t="s">
        <v>310</v>
      </c>
      <c r="F1750" s="21">
        <v>0</v>
      </c>
      <c r="G1750" s="21">
        <v>86.02</v>
      </c>
      <c r="H1750" s="21">
        <v>2955.9</v>
      </c>
      <c r="I1750" s="21">
        <v>343.63</v>
      </c>
    </row>
    <row r="1751" spans="1:9" ht="15" customHeight="1" x14ac:dyDescent="0.3">
      <c r="A1751" s="21" t="s">
        <v>2093</v>
      </c>
      <c r="B1751" s="21">
        <v>2021</v>
      </c>
      <c r="C1751" s="21">
        <v>5</v>
      </c>
      <c r="D1751" s="21">
        <v>7</v>
      </c>
      <c r="E1751" s="21" t="s">
        <v>313</v>
      </c>
      <c r="F1751" s="21">
        <v>0</v>
      </c>
      <c r="G1751" s="21">
        <v>88.11</v>
      </c>
      <c r="H1751" s="21">
        <v>3027.73</v>
      </c>
      <c r="I1751" s="21">
        <v>343.63</v>
      </c>
    </row>
    <row r="1752" spans="1:9" ht="15" customHeight="1" x14ac:dyDescent="0.3">
      <c r="A1752" s="21" t="s">
        <v>2094</v>
      </c>
      <c r="B1752" s="21">
        <v>2021</v>
      </c>
      <c r="C1752" s="21">
        <v>5</v>
      </c>
      <c r="D1752" s="21">
        <v>8</v>
      </c>
      <c r="E1752" s="21" t="s">
        <v>316</v>
      </c>
      <c r="F1752" s="21">
        <v>1</v>
      </c>
      <c r="G1752" s="21">
        <v>69.13</v>
      </c>
      <c r="H1752" s="21">
        <v>2375.63</v>
      </c>
      <c r="I1752" s="21">
        <v>343.65</v>
      </c>
    </row>
    <row r="1753" spans="1:9" ht="15" customHeight="1" x14ac:dyDescent="0.3">
      <c r="A1753" s="21" t="s">
        <v>2095</v>
      </c>
      <c r="B1753" s="21">
        <v>2021</v>
      </c>
      <c r="C1753" s="21">
        <v>5</v>
      </c>
      <c r="D1753" s="21">
        <v>9</v>
      </c>
      <c r="E1753" s="21" t="s">
        <v>319</v>
      </c>
      <c r="F1753" s="21">
        <v>1</v>
      </c>
      <c r="G1753" s="21">
        <v>69.72</v>
      </c>
      <c r="H1753" s="21">
        <v>2395.7800000000002</v>
      </c>
      <c r="I1753" s="21">
        <v>343.63</v>
      </c>
    </row>
    <row r="1754" spans="1:9" ht="15" customHeight="1" x14ac:dyDescent="0.3">
      <c r="A1754" s="21" t="s">
        <v>2096</v>
      </c>
      <c r="B1754" s="21">
        <v>2021</v>
      </c>
      <c r="C1754" s="21">
        <v>5</v>
      </c>
      <c r="D1754" s="21">
        <v>10</v>
      </c>
      <c r="E1754" s="21" t="s">
        <v>299</v>
      </c>
      <c r="F1754" s="21">
        <v>0</v>
      </c>
      <c r="G1754" s="21">
        <v>88.77</v>
      </c>
      <c r="H1754" s="21">
        <v>3050.2</v>
      </c>
      <c r="I1754" s="21">
        <v>343.61</v>
      </c>
    </row>
    <row r="1755" spans="1:9" ht="15" customHeight="1" x14ac:dyDescent="0.3">
      <c r="A1755" s="21" t="s">
        <v>2097</v>
      </c>
      <c r="B1755" s="21">
        <v>2021</v>
      </c>
      <c r="C1755" s="21">
        <v>5</v>
      </c>
      <c r="D1755" s="21">
        <v>11</v>
      </c>
      <c r="E1755" s="21" t="s">
        <v>303</v>
      </c>
      <c r="F1755" s="21">
        <v>0</v>
      </c>
      <c r="G1755" s="21">
        <v>79.55</v>
      </c>
      <c r="H1755" s="21">
        <v>2733.39</v>
      </c>
      <c r="I1755" s="21">
        <v>343.61</v>
      </c>
    </row>
    <row r="1756" spans="1:9" ht="15" customHeight="1" x14ac:dyDescent="0.3">
      <c r="A1756" s="21" t="s">
        <v>2098</v>
      </c>
      <c r="B1756" s="21">
        <v>2021</v>
      </c>
      <c r="C1756" s="21">
        <v>5</v>
      </c>
      <c r="D1756" s="21">
        <v>12</v>
      </c>
      <c r="E1756" s="21" t="s">
        <v>307</v>
      </c>
      <c r="F1756" s="21">
        <v>0</v>
      </c>
      <c r="G1756" s="21">
        <v>82.41</v>
      </c>
      <c r="H1756" s="21">
        <v>2831.72</v>
      </c>
      <c r="I1756" s="21">
        <v>343.61</v>
      </c>
    </row>
    <row r="1757" spans="1:9" ht="15" customHeight="1" x14ac:dyDescent="0.3">
      <c r="A1757" s="21" t="s">
        <v>2099</v>
      </c>
      <c r="B1757" s="21">
        <v>2021</v>
      </c>
      <c r="C1757" s="21">
        <v>5</v>
      </c>
      <c r="D1757" s="21">
        <v>13</v>
      </c>
      <c r="E1757" s="21" t="s">
        <v>310</v>
      </c>
      <c r="F1757" s="21">
        <v>0</v>
      </c>
      <c r="G1757" s="21">
        <v>84.22</v>
      </c>
      <c r="H1757" s="21">
        <v>2893.87</v>
      </c>
      <c r="I1757" s="21">
        <v>343.61</v>
      </c>
    </row>
    <row r="1758" spans="1:9" ht="15" customHeight="1" x14ac:dyDescent="0.3">
      <c r="A1758" s="21" t="s">
        <v>2100</v>
      </c>
      <c r="B1758" s="21">
        <v>2021</v>
      </c>
      <c r="C1758" s="21">
        <v>5</v>
      </c>
      <c r="D1758" s="21">
        <v>14</v>
      </c>
      <c r="E1758" s="21" t="s">
        <v>313</v>
      </c>
      <c r="F1758" s="21">
        <v>0</v>
      </c>
      <c r="G1758" s="21">
        <v>89.6</v>
      </c>
      <c r="H1758" s="21">
        <v>3078.81</v>
      </c>
      <c r="I1758" s="21">
        <v>343.62</v>
      </c>
    </row>
    <row r="1759" spans="1:9" ht="15" customHeight="1" x14ac:dyDescent="0.3">
      <c r="A1759" s="21" t="s">
        <v>2101</v>
      </c>
      <c r="B1759" s="21">
        <v>2021</v>
      </c>
      <c r="C1759" s="21">
        <v>5</v>
      </c>
      <c r="D1759" s="21">
        <v>15</v>
      </c>
      <c r="E1759" s="21" t="s">
        <v>316</v>
      </c>
      <c r="F1759" s="21">
        <v>1</v>
      </c>
      <c r="G1759" s="21">
        <v>70.010000000000005</v>
      </c>
      <c r="H1759" s="21">
        <v>2405.86</v>
      </c>
      <c r="I1759" s="21">
        <v>343.65</v>
      </c>
    </row>
    <row r="1760" spans="1:9" ht="15" customHeight="1" x14ac:dyDescent="0.3">
      <c r="A1760" s="21" t="s">
        <v>2102</v>
      </c>
      <c r="B1760" s="21">
        <v>2021</v>
      </c>
      <c r="C1760" s="21">
        <v>5</v>
      </c>
      <c r="D1760" s="21">
        <v>16</v>
      </c>
      <c r="E1760" s="21" t="s">
        <v>319</v>
      </c>
      <c r="F1760" s="21">
        <v>1</v>
      </c>
      <c r="G1760" s="21">
        <v>72.010000000000005</v>
      </c>
      <c r="H1760" s="21">
        <v>2474.31</v>
      </c>
      <c r="I1760" s="21">
        <v>343.61</v>
      </c>
    </row>
    <row r="1761" spans="1:9" ht="15" customHeight="1" x14ac:dyDescent="0.3">
      <c r="A1761" s="21" t="s">
        <v>2103</v>
      </c>
      <c r="B1761" s="21">
        <v>2021</v>
      </c>
      <c r="C1761" s="21">
        <v>5</v>
      </c>
      <c r="D1761" s="21">
        <v>17</v>
      </c>
      <c r="E1761" s="21" t="s">
        <v>299</v>
      </c>
      <c r="F1761" s="21">
        <v>0</v>
      </c>
      <c r="G1761" s="21">
        <v>79.28</v>
      </c>
      <c r="H1761" s="21">
        <v>2724.18</v>
      </c>
      <c r="I1761" s="21">
        <v>343.62</v>
      </c>
    </row>
    <row r="1762" spans="1:9" ht="15" customHeight="1" x14ac:dyDescent="0.3">
      <c r="A1762" s="21" t="s">
        <v>2104</v>
      </c>
      <c r="B1762" s="21">
        <v>2021</v>
      </c>
      <c r="C1762" s="21">
        <v>5</v>
      </c>
      <c r="D1762" s="21">
        <v>18</v>
      </c>
      <c r="E1762" s="21" t="s">
        <v>303</v>
      </c>
      <c r="F1762" s="21">
        <v>0</v>
      </c>
      <c r="G1762" s="21">
        <v>83.49</v>
      </c>
      <c r="H1762" s="21">
        <v>2868.79</v>
      </c>
      <c r="I1762" s="21">
        <v>343.61</v>
      </c>
    </row>
    <row r="1763" spans="1:9" ht="15" customHeight="1" x14ac:dyDescent="0.3">
      <c r="A1763" s="21" t="s">
        <v>2105</v>
      </c>
      <c r="B1763" s="21">
        <v>2021</v>
      </c>
      <c r="C1763" s="21">
        <v>5</v>
      </c>
      <c r="D1763" s="21">
        <v>19</v>
      </c>
      <c r="E1763" s="21" t="s">
        <v>307</v>
      </c>
      <c r="F1763" s="21">
        <v>0</v>
      </c>
      <c r="G1763" s="21">
        <v>80.22</v>
      </c>
      <c r="H1763" s="21">
        <v>2756.44</v>
      </c>
      <c r="I1763" s="21">
        <v>343.61</v>
      </c>
    </row>
    <row r="1764" spans="1:9" ht="15" customHeight="1" x14ac:dyDescent="0.3">
      <c r="A1764" s="21" t="s">
        <v>2106</v>
      </c>
      <c r="B1764" s="21">
        <v>2021</v>
      </c>
      <c r="C1764" s="21">
        <v>5</v>
      </c>
      <c r="D1764" s="21">
        <v>20</v>
      </c>
      <c r="E1764" s="21" t="s">
        <v>310</v>
      </c>
      <c r="F1764" s="21">
        <v>0</v>
      </c>
      <c r="G1764" s="21">
        <v>77.33</v>
      </c>
      <c r="H1764" s="21">
        <v>2657.2</v>
      </c>
      <c r="I1764" s="21">
        <v>343.62</v>
      </c>
    </row>
    <row r="1765" spans="1:9" ht="15" customHeight="1" x14ac:dyDescent="0.3">
      <c r="A1765" s="21" t="s">
        <v>2107</v>
      </c>
      <c r="B1765" s="21">
        <v>2021</v>
      </c>
      <c r="C1765" s="21">
        <v>5</v>
      </c>
      <c r="D1765" s="21">
        <v>21</v>
      </c>
      <c r="E1765" s="21" t="s">
        <v>313</v>
      </c>
      <c r="F1765" s="21">
        <v>0</v>
      </c>
      <c r="G1765" s="21">
        <v>89.62</v>
      </c>
      <c r="H1765" s="21">
        <v>3079.66</v>
      </c>
      <c r="I1765" s="21">
        <v>343.64</v>
      </c>
    </row>
    <row r="1766" spans="1:9" ht="15" customHeight="1" x14ac:dyDescent="0.3">
      <c r="A1766" s="21" t="s">
        <v>2108</v>
      </c>
      <c r="B1766" s="21">
        <v>2021</v>
      </c>
      <c r="C1766" s="21">
        <v>5</v>
      </c>
      <c r="D1766" s="21">
        <v>22</v>
      </c>
      <c r="E1766" s="21" t="s">
        <v>316</v>
      </c>
      <c r="F1766" s="21">
        <v>1</v>
      </c>
      <c r="G1766" s="21">
        <v>72.92</v>
      </c>
      <c r="H1766" s="21">
        <v>2505.7399999999998</v>
      </c>
      <c r="I1766" s="21">
        <v>343.63</v>
      </c>
    </row>
    <row r="1767" spans="1:9" ht="15" customHeight="1" x14ac:dyDescent="0.3">
      <c r="A1767" s="21" t="s">
        <v>2109</v>
      </c>
      <c r="B1767" s="21">
        <v>2021</v>
      </c>
      <c r="C1767" s="21">
        <v>5</v>
      </c>
      <c r="D1767" s="21">
        <v>23</v>
      </c>
      <c r="E1767" s="21" t="s">
        <v>319</v>
      </c>
      <c r="F1767" s="21">
        <v>1</v>
      </c>
      <c r="G1767" s="21">
        <v>69.209999999999994</v>
      </c>
      <c r="H1767" s="21">
        <v>2378.2800000000002</v>
      </c>
      <c r="I1767" s="21">
        <v>343.63</v>
      </c>
    </row>
    <row r="1768" spans="1:9" ht="15" customHeight="1" x14ac:dyDescent="0.3">
      <c r="A1768" s="21" t="s">
        <v>2110</v>
      </c>
      <c r="B1768" s="21">
        <v>2021</v>
      </c>
      <c r="C1768" s="21">
        <v>5</v>
      </c>
      <c r="D1768" s="21">
        <v>24</v>
      </c>
      <c r="E1768" s="21" t="s">
        <v>299</v>
      </c>
      <c r="F1768" s="21">
        <v>0</v>
      </c>
      <c r="G1768" s="21">
        <v>88.25</v>
      </c>
      <c r="H1768" s="21">
        <v>3032.57</v>
      </c>
      <c r="I1768" s="21">
        <v>343.63</v>
      </c>
    </row>
    <row r="1769" spans="1:9" ht="15" customHeight="1" x14ac:dyDescent="0.3">
      <c r="A1769" s="21" t="s">
        <v>2111</v>
      </c>
      <c r="B1769" s="21">
        <v>2021</v>
      </c>
      <c r="C1769" s="21">
        <v>5</v>
      </c>
      <c r="D1769" s="21">
        <v>25</v>
      </c>
      <c r="E1769" s="21" t="s">
        <v>303</v>
      </c>
      <c r="F1769" s="21">
        <v>0</v>
      </c>
      <c r="G1769" s="21">
        <v>85.78</v>
      </c>
      <c r="H1769" s="21">
        <v>2947.61</v>
      </c>
      <c r="I1769" s="21">
        <v>343.62</v>
      </c>
    </row>
    <row r="1770" spans="1:9" ht="15" customHeight="1" x14ac:dyDescent="0.3">
      <c r="A1770" s="21" t="s">
        <v>2112</v>
      </c>
      <c r="B1770" s="21">
        <v>2021</v>
      </c>
      <c r="C1770" s="21">
        <v>5</v>
      </c>
      <c r="D1770" s="21">
        <v>26</v>
      </c>
      <c r="E1770" s="21" t="s">
        <v>307</v>
      </c>
      <c r="F1770" s="21">
        <v>0</v>
      </c>
      <c r="G1770" s="21">
        <v>85.05</v>
      </c>
      <c r="H1770" s="21">
        <v>2922.52</v>
      </c>
      <c r="I1770" s="21">
        <v>343.62</v>
      </c>
    </row>
    <row r="1771" spans="1:9" ht="15" customHeight="1" x14ac:dyDescent="0.3">
      <c r="A1771" s="21" t="s">
        <v>2113</v>
      </c>
      <c r="B1771" s="21">
        <v>2021</v>
      </c>
      <c r="C1771" s="21">
        <v>5</v>
      </c>
      <c r="D1771" s="21">
        <v>27</v>
      </c>
      <c r="E1771" s="21" t="s">
        <v>310</v>
      </c>
      <c r="F1771" s="21">
        <v>0</v>
      </c>
      <c r="G1771" s="21">
        <v>85.85</v>
      </c>
      <c r="H1771" s="21">
        <v>2949.94</v>
      </c>
      <c r="I1771" s="21">
        <v>343.62</v>
      </c>
    </row>
    <row r="1772" spans="1:9" ht="15" customHeight="1" x14ac:dyDescent="0.3">
      <c r="A1772" s="21" t="s">
        <v>2114</v>
      </c>
      <c r="B1772" s="21">
        <v>2021</v>
      </c>
      <c r="C1772" s="21">
        <v>5</v>
      </c>
      <c r="D1772" s="21">
        <v>28</v>
      </c>
      <c r="E1772" s="21" t="s">
        <v>313</v>
      </c>
      <c r="F1772" s="21">
        <v>0</v>
      </c>
      <c r="G1772" s="21">
        <v>90.19</v>
      </c>
      <c r="H1772" s="21">
        <v>3099.14</v>
      </c>
      <c r="I1772" s="21">
        <v>343.62</v>
      </c>
    </row>
    <row r="1773" spans="1:9" ht="15" customHeight="1" x14ac:dyDescent="0.3">
      <c r="A1773" s="21" t="s">
        <v>2115</v>
      </c>
      <c r="B1773" s="21">
        <v>2021</v>
      </c>
      <c r="C1773" s="21">
        <v>5</v>
      </c>
      <c r="D1773" s="21">
        <v>29</v>
      </c>
      <c r="E1773" s="21" t="s">
        <v>316</v>
      </c>
      <c r="F1773" s="21">
        <v>1</v>
      </c>
      <c r="G1773" s="21">
        <v>69.73</v>
      </c>
      <c r="H1773" s="21">
        <v>2396.23</v>
      </c>
      <c r="I1773" s="21">
        <v>343.64</v>
      </c>
    </row>
    <row r="1774" spans="1:9" ht="15" customHeight="1" x14ac:dyDescent="0.3">
      <c r="A1774" s="21" t="s">
        <v>2116</v>
      </c>
      <c r="B1774" s="21">
        <v>2021</v>
      </c>
      <c r="C1774" s="21">
        <v>5</v>
      </c>
      <c r="D1774" s="21">
        <v>30</v>
      </c>
      <c r="E1774" s="21" t="s">
        <v>319</v>
      </c>
      <c r="F1774" s="21">
        <v>1</v>
      </c>
      <c r="G1774" s="21">
        <v>75.459999999999994</v>
      </c>
      <c r="H1774" s="21">
        <v>2592.96</v>
      </c>
      <c r="I1774" s="21">
        <v>343.62</v>
      </c>
    </row>
    <row r="1775" spans="1:9" ht="15" customHeight="1" x14ac:dyDescent="0.3">
      <c r="A1775" s="21" t="s">
        <v>2117</v>
      </c>
      <c r="B1775" s="21">
        <v>2021</v>
      </c>
      <c r="C1775" s="21">
        <v>5</v>
      </c>
      <c r="D1775" s="21">
        <v>31</v>
      </c>
      <c r="E1775" s="21" t="s">
        <v>299</v>
      </c>
      <c r="F1775" s="21">
        <v>0</v>
      </c>
      <c r="G1775" s="21">
        <v>98.11</v>
      </c>
      <c r="H1775" s="21">
        <v>3371.15</v>
      </c>
      <c r="I1775" s="21">
        <v>343.61</v>
      </c>
    </row>
    <row r="1776" spans="1:9" ht="15" customHeight="1" x14ac:dyDescent="0.3">
      <c r="A1776" s="21" t="s">
        <v>156</v>
      </c>
      <c r="B1776" s="21">
        <v>2021</v>
      </c>
      <c r="C1776" s="21">
        <v>6</v>
      </c>
      <c r="D1776" s="21">
        <v>1</v>
      </c>
      <c r="E1776" s="21" t="s">
        <v>303</v>
      </c>
      <c r="F1776" s="21">
        <v>0</v>
      </c>
      <c r="G1776" s="21">
        <v>104.7</v>
      </c>
      <c r="H1776" s="21">
        <v>3594</v>
      </c>
      <c r="I1776" s="21">
        <v>343.27</v>
      </c>
    </row>
    <row r="1777" spans="1:9" ht="15" customHeight="1" x14ac:dyDescent="0.3">
      <c r="A1777" s="21" t="s">
        <v>2118</v>
      </c>
      <c r="B1777" s="21">
        <v>2021</v>
      </c>
      <c r="C1777" s="21">
        <v>6</v>
      </c>
      <c r="D1777" s="21">
        <v>2</v>
      </c>
      <c r="E1777" s="21" t="s">
        <v>307</v>
      </c>
      <c r="F1777" s="21">
        <v>0</v>
      </c>
      <c r="G1777" s="21">
        <v>114.42</v>
      </c>
      <c r="H1777" s="21">
        <v>3927.43</v>
      </c>
      <c r="I1777" s="21">
        <v>343.25</v>
      </c>
    </row>
    <row r="1778" spans="1:9" ht="15" customHeight="1" x14ac:dyDescent="0.3">
      <c r="A1778" s="21" t="s">
        <v>2119</v>
      </c>
      <c r="B1778" s="21">
        <v>2021</v>
      </c>
      <c r="C1778" s="21">
        <v>6</v>
      </c>
      <c r="D1778" s="21">
        <v>3</v>
      </c>
      <c r="E1778" s="21" t="s">
        <v>310</v>
      </c>
      <c r="F1778" s="21">
        <v>0</v>
      </c>
      <c r="G1778" s="21">
        <v>92.92</v>
      </c>
      <c r="H1778" s="21">
        <v>3189.41</v>
      </c>
      <c r="I1778" s="21">
        <v>343.24</v>
      </c>
    </row>
    <row r="1779" spans="1:9" ht="15" customHeight="1" x14ac:dyDescent="0.3">
      <c r="A1779" s="21" t="s">
        <v>2120</v>
      </c>
      <c r="B1779" s="21">
        <v>2021</v>
      </c>
      <c r="C1779" s="21">
        <v>6</v>
      </c>
      <c r="D1779" s="21">
        <v>4</v>
      </c>
      <c r="E1779" s="21" t="s">
        <v>313</v>
      </c>
      <c r="F1779" s="21">
        <v>0</v>
      </c>
      <c r="G1779" s="21">
        <v>101.23</v>
      </c>
      <c r="H1779" s="21">
        <v>3474.69</v>
      </c>
      <c r="I1779" s="21">
        <v>343.25</v>
      </c>
    </row>
    <row r="1780" spans="1:9" ht="15" customHeight="1" x14ac:dyDescent="0.3">
      <c r="A1780" s="21" t="s">
        <v>2121</v>
      </c>
      <c r="B1780" s="21">
        <v>2021</v>
      </c>
      <c r="C1780" s="21">
        <v>6</v>
      </c>
      <c r="D1780" s="21">
        <v>5</v>
      </c>
      <c r="E1780" s="21" t="s">
        <v>316</v>
      </c>
      <c r="F1780" s="21">
        <v>1</v>
      </c>
      <c r="G1780" s="21">
        <v>80.94</v>
      </c>
      <c r="H1780" s="21">
        <v>2778.43</v>
      </c>
      <c r="I1780" s="21">
        <v>343.27</v>
      </c>
    </row>
    <row r="1781" spans="1:9" ht="15" customHeight="1" x14ac:dyDescent="0.3">
      <c r="A1781" s="21" t="s">
        <v>2122</v>
      </c>
      <c r="B1781" s="21">
        <v>2021</v>
      </c>
      <c r="C1781" s="21">
        <v>6</v>
      </c>
      <c r="D1781" s="21">
        <v>6</v>
      </c>
      <c r="E1781" s="21" t="s">
        <v>319</v>
      </c>
      <c r="F1781" s="21">
        <v>1</v>
      </c>
      <c r="G1781" s="21">
        <v>79.52</v>
      </c>
      <c r="H1781" s="21">
        <v>2729.58</v>
      </c>
      <c r="I1781" s="21">
        <v>343.26</v>
      </c>
    </row>
    <row r="1782" spans="1:9" ht="15" customHeight="1" x14ac:dyDescent="0.3">
      <c r="A1782" s="21" t="s">
        <v>2123</v>
      </c>
      <c r="B1782" s="21">
        <v>2021</v>
      </c>
      <c r="C1782" s="21">
        <v>6</v>
      </c>
      <c r="D1782" s="21">
        <v>7</v>
      </c>
      <c r="E1782" s="21" t="s">
        <v>299</v>
      </c>
      <c r="F1782" s="21">
        <v>0</v>
      </c>
      <c r="G1782" s="21">
        <v>102.83</v>
      </c>
      <c r="H1782" s="21">
        <v>3529.7</v>
      </c>
      <c r="I1782" s="21">
        <v>343.26</v>
      </c>
    </row>
    <row r="1783" spans="1:9" ht="15" customHeight="1" x14ac:dyDescent="0.3">
      <c r="A1783" s="21" t="s">
        <v>2124</v>
      </c>
      <c r="B1783" s="21">
        <v>2021</v>
      </c>
      <c r="C1783" s="21">
        <v>6</v>
      </c>
      <c r="D1783" s="21">
        <v>8</v>
      </c>
      <c r="E1783" s="21" t="s">
        <v>303</v>
      </c>
      <c r="F1783" s="21">
        <v>0</v>
      </c>
      <c r="G1783" s="21">
        <v>91.67</v>
      </c>
      <c r="H1783" s="21">
        <v>3146.44</v>
      </c>
      <c r="I1783" s="21">
        <v>343.24</v>
      </c>
    </row>
    <row r="1784" spans="1:9" ht="15" customHeight="1" x14ac:dyDescent="0.3">
      <c r="A1784" s="21" t="s">
        <v>2125</v>
      </c>
      <c r="B1784" s="21">
        <v>2021</v>
      </c>
      <c r="C1784" s="21">
        <v>6</v>
      </c>
      <c r="D1784" s="21">
        <v>9</v>
      </c>
      <c r="E1784" s="21" t="s">
        <v>307</v>
      </c>
      <c r="F1784" s="21">
        <v>0</v>
      </c>
      <c r="G1784" s="21">
        <v>93.96</v>
      </c>
      <c r="H1784" s="21">
        <v>3225.05</v>
      </c>
      <c r="I1784" s="21">
        <v>343.24</v>
      </c>
    </row>
    <row r="1785" spans="1:9" ht="15" customHeight="1" x14ac:dyDescent="0.3">
      <c r="A1785" s="21" t="s">
        <v>2126</v>
      </c>
      <c r="B1785" s="21">
        <v>2021</v>
      </c>
      <c r="C1785" s="21">
        <v>6</v>
      </c>
      <c r="D1785" s="21">
        <v>10</v>
      </c>
      <c r="E1785" s="21" t="s">
        <v>310</v>
      </c>
      <c r="F1785" s="21">
        <v>0</v>
      </c>
      <c r="G1785" s="21">
        <v>91.33</v>
      </c>
      <c r="H1785" s="21">
        <v>3134.92</v>
      </c>
      <c r="I1785" s="21">
        <v>343.25</v>
      </c>
    </row>
    <row r="1786" spans="1:9" ht="15" customHeight="1" x14ac:dyDescent="0.3">
      <c r="A1786" s="21" t="s">
        <v>2127</v>
      </c>
      <c r="B1786" s="21">
        <v>2021</v>
      </c>
      <c r="C1786" s="21">
        <v>6</v>
      </c>
      <c r="D1786" s="21">
        <v>11</v>
      </c>
      <c r="E1786" s="21" t="s">
        <v>313</v>
      </c>
      <c r="F1786" s="21">
        <v>0</v>
      </c>
      <c r="G1786" s="21">
        <v>97.18</v>
      </c>
      <c r="H1786" s="21">
        <v>3335.87</v>
      </c>
      <c r="I1786" s="21">
        <v>343.27</v>
      </c>
    </row>
    <row r="1787" spans="1:9" ht="15" customHeight="1" x14ac:dyDescent="0.3">
      <c r="A1787" s="21" t="s">
        <v>2128</v>
      </c>
      <c r="B1787" s="21">
        <v>2021</v>
      </c>
      <c r="C1787" s="21">
        <v>6</v>
      </c>
      <c r="D1787" s="21">
        <v>12</v>
      </c>
      <c r="E1787" s="21" t="s">
        <v>316</v>
      </c>
      <c r="F1787" s="21">
        <v>1</v>
      </c>
      <c r="G1787" s="21">
        <v>77.680000000000007</v>
      </c>
      <c r="H1787" s="21">
        <v>2666.54</v>
      </c>
      <c r="I1787" s="21">
        <v>343.27</v>
      </c>
    </row>
    <row r="1788" spans="1:9" ht="15" customHeight="1" x14ac:dyDescent="0.3">
      <c r="A1788" s="21" t="s">
        <v>2129</v>
      </c>
      <c r="B1788" s="21">
        <v>2021</v>
      </c>
      <c r="C1788" s="21">
        <v>6</v>
      </c>
      <c r="D1788" s="21">
        <v>13</v>
      </c>
      <c r="E1788" s="21" t="s">
        <v>319</v>
      </c>
      <c r="F1788" s="21">
        <v>1</v>
      </c>
      <c r="G1788" s="21">
        <v>79.290000000000006</v>
      </c>
      <c r="H1788" s="21">
        <v>2721.82</v>
      </c>
      <c r="I1788" s="21">
        <v>343.27</v>
      </c>
    </row>
    <row r="1789" spans="1:9" ht="15" customHeight="1" x14ac:dyDescent="0.3">
      <c r="A1789" s="21" t="s">
        <v>2130</v>
      </c>
      <c r="B1789" s="21">
        <v>2021</v>
      </c>
      <c r="C1789" s="21">
        <v>6</v>
      </c>
      <c r="D1789" s="21">
        <v>14</v>
      </c>
      <c r="E1789" s="21" t="s">
        <v>299</v>
      </c>
      <c r="F1789" s="21">
        <v>0</v>
      </c>
      <c r="G1789" s="21">
        <v>96.88</v>
      </c>
      <c r="H1789" s="21">
        <v>3325.36</v>
      </c>
      <c r="I1789" s="21">
        <v>343.25</v>
      </c>
    </row>
    <row r="1790" spans="1:9" ht="15" customHeight="1" x14ac:dyDescent="0.3">
      <c r="A1790" s="21" t="s">
        <v>2131</v>
      </c>
      <c r="B1790" s="21">
        <v>2021</v>
      </c>
      <c r="C1790" s="21">
        <v>6</v>
      </c>
      <c r="D1790" s="21">
        <v>15</v>
      </c>
      <c r="E1790" s="21" t="s">
        <v>303</v>
      </c>
      <c r="F1790" s="21">
        <v>0</v>
      </c>
      <c r="G1790" s="21">
        <v>91.47</v>
      </c>
      <c r="H1790" s="21">
        <v>3139.73</v>
      </c>
      <c r="I1790" s="21">
        <v>343.25</v>
      </c>
    </row>
    <row r="1791" spans="1:9" ht="15" customHeight="1" x14ac:dyDescent="0.3">
      <c r="A1791" s="21" t="s">
        <v>2132</v>
      </c>
      <c r="B1791" s="21">
        <v>2021</v>
      </c>
      <c r="C1791" s="21">
        <v>6</v>
      </c>
      <c r="D1791" s="21">
        <v>16</v>
      </c>
      <c r="E1791" s="21" t="s">
        <v>307</v>
      </c>
      <c r="F1791" s="21">
        <v>0</v>
      </c>
      <c r="G1791" s="21">
        <v>89.47</v>
      </c>
      <c r="H1791" s="21">
        <v>3071.06</v>
      </c>
      <c r="I1791" s="21">
        <v>343.25</v>
      </c>
    </row>
    <row r="1792" spans="1:9" ht="15" customHeight="1" x14ac:dyDescent="0.3">
      <c r="A1792" s="21" t="s">
        <v>2133</v>
      </c>
      <c r="B1792" s="21">
        <v>2021</v>
      </c>
      <c r="C1792" s="21">
        <v>6</v>
      </c>
      <c r="D1792" s="21">
        <v>17</v>
      </c>
      <c r="E1792" s="21" t="s">
        <v>310</v>
      </c>
      <c r="F1792" s="21">
        <v>0</v>
      </c>
      <c r="G1792" s="21">
        <v>93.18</v>
      </c>
      <c r="H1792" s="21">
        <v>3198.34</v>
      </c>
      <c r="I1792" s="21">
        <v>343.24</v>
      </c>
    </row>
    <row r="1793" spans="1:9" ht="15" customHeight="1" x14ac:dyDescent="0.3">
      <c r="A1793" s="21" t="s">
        <v>2134</v>
      </c>
      <c r="B1793" s="21">
        <v>2021</v>
      </c>
      <c r="C1793" s="21">
        <v>6</v>
      </c>
      <c r="D1793" s="21">
        <v>18</v>
      </c>
      <c r="E1793" s="21" t="s">
        <v>313</v>
      </c>
      <c r="F1793" s="21">
        <v>0</v>
      </c>
      <c r="G1793" s="21">
        <v>96.67</v>
      </c>
      <c r="H1793" s="21">
        <v>3318.1</v>
      </c>
      <c r="I1793" s="21">
        <v>343.24</v>
      </c>
    </row>
    <row r="1794" spans="1:9" ht="15" customHeight="1" x14ac:dyDescent="0.3">
      <c r="A1794" s="21" t="s">
        <v>2135</v>
      </c>
      <c r="B1794" s="21">
        <v>2021</v>
      </c>
      <c r="C1794" s="21">
        <v>6</v>
      </c>
      <c r="D1794" s="21">
        <v>19</v>
      </c>
      <c r="E1794" s="21" t="s">
        <v>316</v>
      </c>
      <c r="F1794" s="21">
        <v>1</v>
      </c>
      <c r="G1794" s="21">
        <v>81.53</v>
      </c>
      <c r="H1794" s="21">
        <v>2798.49</v>
      </c>
      <c r="I1794" s="21">
        <v>343.25</v>
      </c>
    </row>
    <row r="1795" spans="1:9" ht="15" customHeight="1" x14ac:dyDescent="0.3">
      <c r="A1795" s="21" t="s">
        <v>2136</v>
      </c>
      <c r="B1795" s="21">
        <v>2021</v>
      </c>
      <c r="C1795" s="21">
        <v>6</v>
      </c>
      <c r="D1795" s="21">
        <v>20</v>
      </c>
      <c r="E1795" s="21" t="s">
        <v>319</v>
      </c>
      <c r="F1795" s="21">
        <v>1</v>
      </c>
      <c r="G1795" s="21">
        <v>79.63</v>
      </c>
      <c r="H1795" s="21">
        <v>2733.31</v>
      </c>
      <c r="I1795" s="21">
        <v>343.25</v>
      </c>
    </row>
    <row r="1796" spans="1:9" ht="15" customHeight="1" x14ac:dyDescent="0.3">
      <c r="A1796" s="21" t="s">
        <v>2137</v>
      </c>
      <c r="B1796" s="21">
        <v>2021</v>
      </c>
      <c r="C1796" s="21">
        <v>6</v>
      </c>
      <c r="D1796" s="21">
        <v>21</v>
      </c>
      <c r="E1796" s="21" t="s">
        <v>299</v>
      </c>
      <c r="F1796" s="21">
        <v>0</v>
      </c>
      <c r="G1796" s="21">
        <v>94</v>
      </c>
      <c r="H1796" s="21">
        <v>3226.45</v>
      </c>
      <c r="I1796" s="21">
        <v>343.24</v>
      </c>
    </row>
    <row r="1797" spans="1:9" ht="15" customHeight="1" x14ac:dyDescent="0.3">
      <c r="A1797" s="21" t="s">
        <v>2138</v>
      </c>
      <c r="B1797" s="21">
        <v>2021</v>
      </c>
      <c r="C1797" s="21">
        <v>6</v>
      </c>
      <c r="D1797" s="21">
        <v>22</v>
      </c>
      <c r="E1797" s="21" t="s">
        <v>303</v>
      </c>
      <c r="F1797" s="21">
        <v>0</v>
      </c>
      <c r="G1797" s="21">
        <v>92.54</v>
      </c>
      <c r="H1797" s="21">
        <v>3176.59</v>
      </c>
      <c r="I1797" s="21">
        <v>343.27</v>
      </c>
    </row>
    <row r="1798" spans="1:9" ht="15" customHeight="1" x14ac:dyDescent="0.3">
      <c r="A1798" s="21" t="s">
        <v>2139</v>
      </c>
      <c r="B1798" s="21">
        <v>2021</v>
      </c>
      <c r="C1798" s="21">
        <v>6</v>
      </c>
      <c r="D1798" s="21">
        <v>23</v>
      </c>
      <c r="E1798" s="21" t="s">
        <v>307</v>
      </c>
      <c r="F1798" s="21">
        <v>0</v>
      </c>
      <c r="G1798" s="21">
        <v>91.3</v>
      </c>
      <c r="H1798" s="21">
        <v>3133.98</v>
      </c>
      <c r="I1798" s="21">
        <v>343.26</v>
      </c>
    </row>
    <row r="1799" spans="1:9" ht="15" customHeight="1" x14ac:dyDescent="0.3">
      <c r="A1799" s="21" t="s">
        <v>2140</v>
      </c>
      <c r="B1799" s="21">
        <v>2021</v>
      </c>
      <c r="C1799" s="21">
        <v>6</v>
      </c>
      <c r="D1799" s="21">
        <v>24</v>
      </c>
      <c r="E1799" s="21" t="s">
        <v>310</v>
      </c>
      <c r="F1799" s="21">
        <v>0</v>
      </c>
      <c r="G1799" s="21">
        <v>94.3</v>
      </c>
      <c r="H1799" s="21">
        <v>3237.03</v>
      </c>
      <c r="I1799" s="21">
        <v>343.27</v>
      </c>
    </row>
    <row r="1800" spans="1:9" ht="15" customHeight="1" x14ac:dyDescent="0.3">
      <c r="A1800" s="21" t="s">
        <v>2141</v>
      </c>
      <c r="B1800" s="21">
        <v>2021</v>
      </c>
      <c r="C1800" s="21">
        <v>6</v>
      </c>
      <c r="D1800" s="21">
        <v>25</v>
      </c>
      <c r="E1800" s="21" t="s">
        <v>313</v>
      </c>
      <c r="F1800" s="21">
        <v>0</v>
      </c>
      <c r="G1800" s="21">
        <v>104.64</v>
      </c>
      <c r="H1800" s="21">
        <v>3591.78</v>
      </c>
      <c r="I1800" s="21">
        <v>343.25</v>
      </c>
    </row>
    <row r="1801" spans="1:9" ht="15" customHeight="1" x14ac:dyDescent="0.3">
      <c r="A1801" s="21" t="s">
        <v>2142</v>
      </c>
      <c r="B1801" s="21">
        <v>2021</v>
      </c>
      <c r="C1801" s="21">
        <v>6</v>
      </c>
      <c r="D1801" s="21">
        <v>26</v>
      </c>
      <c r="E1801" s="21" t="s">
        <v>316</v>
      </c>
      <c r="F1801" s="21">
        <v>1</v>
      </c>
      <c r="G1801" s="21">
        <v>74.14</v>
      </c>
      <c r="H1801" s="21">
        <v>2545.0100000000002</v>
      </c>
      <c r="I1801" s="21">
        <v>343.27</v>
      </c>
    </row>
    <row r="1802" spans="1:9" ht="15" customHeight="1" x14ac:dyDescent="0.3">
      <c r="A1802" s="21" t="s">
        <v>2143</v>
      </c>
      <c r="B1802" s="21">
        <v>2021</v>
      </c>
      <c r="C1802" s="21">
        <v>6</v>
      </c>
      <c r="D1802" s="21">
        <v>27</v>
      </c>
      <c r="E1802" s="21" t="s">
        <v>319</v>
      </c>
      <c r="F1802" s="21">
        <v>1</v>
      </c>
      <c r="G1802" s="21">
        <v>79.72</v>
      </c>
      <c r="H1802" s="21">
        <v>2736.45</v>
      </c>
      <c r="I1802" s="21">
        <v>343.26</v>
      </c>
    </row>
    <row r="1803" spans="1:9" ht="15" customHeight="1" x14ac:dyDescent="0.3">
      <c r="A1803" s="21" t="s">
        <v>2144</v>
      </c>
      <c r="B1803" s="21">
        <v>2021</v>
      </c>
      <c r="C1803" s="21">
        <v>6</v>
      </c>
      <c r="D1803" s="21">
        <v>28</v>
      </c>
      <c r="E1803" s="21" t="s">
        <v>299</v>
      </c>
      <c r="F1803" s="21">
        <v>0</v>
      </c>
      <c r="G1803" s="21">
        <v>97.63</v>
      </c>
      <c r="H1803" s="21">
        <v>3351.25</v>
      </c>
      <c r="I1803" s="21">
        <v>343.26</v>
      </c>
    </row>
    <row r="1804" spans="1:9" ht="15" customHeight="1" x14ac:dyDescent="0.3">
      <c r="A1804" s="21" t="s">
        <v>2145</v>
      </c>
      <c r="B1804" s="21">
        <v>2021</v>
      </c>
      <c r="C1804" s="21">
        <v>6</v>
      </c>
      <c r="D1804" s="21">
        <v>29</v>
      </c>
      <c r="E1804" s="21" t="s">
        <v>303</v>
      </c>
      <c r="F1804" s="21">
        <v>0</v>
      </c>
      <c r="G1804" s="21">
        <v>109.58</v>
      </c>
      <c r="H1804" s="21">
        <v>3761.55</v>
      </c>
      <c r="I1804" s="21">
        <v>343.27</v>
      </c>
    </row>
    <row r="1805" spans="1:9" ht="15" customHeight="1" x14ac:dyDescent="0.3">
      <c r="A1805" s="21" t="s">
        <v>2146</v>
      </c>
      <c r="B1805" s="21">
        <v>2021</v>
      </c>
      <c r="C1805" s="21">
        <v>6</v>
      </c>
      <c r="D1805" s="21">
        <v>30</v>
      </c>
      <c r="E1805" s="21" t="s">
        <v>307</v>
      </c>
      <c r="F1805" s="21">
        <v>0</v>
      </c>
      <c r="G1805" s="21">
        <v>108.11</v>
      </c>
      <c r="H1805" s="21">
        <v>3710.87</v>
      </c>
      <c r="I1805" s="21">
        <v>343.25</v>
      </c>
    </row>
    <row r="1806" spans="1:9" ht="15" customHeight="1" x14ac:dyDescent="0.3">
      <c r="A1806" s="21" t="s">
        <v>157</v>
      </c>
      <c r="B1806" s="21">
        <v>2021</v>
      </c>
      <c r="C1806" s="21">
        <v>7</v>
      </c>
      <c r="D1806" s="21">
        <v>1</v>
      </c>
      <c r="E1806" s="21" t="s">
        <v>310</v>
      </c>
      <c r="F1806" s="21">
        <v>0</v>
      </c>
      <c r="G1806" s="21">
        <v>117.59</v>
      </c>
      <c r="H1806" s="21">
        <v>3982.43</v>
      </c>
      <c r="I1806" s="21">
        <v>338.67</v>
      </c>
    </row>
    <row r="1807" spans="1:9" ht="15" customHeight="1" x14ac:dyDescent="0.3">
      <c r="A1807" s="21" t="s">
        <v>2147</v>
      </c>
      <c r="B1807" s="21">
        <v>2021</v>
      </c>
      <c r="C1807" s="21">
        <v>7</v>
      </c>
      <c r="D1807" s="21">
        <v>2</v>
      </c>
      <c r="E1807" s="21" t="s">
        <v>313</v>
      </c>
      <c r="F1807" s="21">
        <v>0</v>
      </c>
      <c r="G1807" s="21">
        <v>128.78</v>
      </c>
      <c r="H1807" s="21">
        <v>4361.29</v>
      </c>
      <c r="I1807" s="21">
        <v>338.66</v>
      </c>
    </row>
    <row r="1808" spans="1:9" ht="15" customHeight="1" x14ac:dyDescent="0.3">
      <c r="A1808" s="21" t="s">
        <v>2148</v>
      </c>
      <c r="B1808" s="21">
        <v>2021</v>
      </c>
      <c r="C1808" s="21">
        <v>7</v>
      </c>
      <c r="D1808" s="21">
        <v>3</v>
      </c>
      <c r="E1808" s="21" t="s">
        <v>316</v>
      </c>
      <c r="F1808" s="21">
        <v>1</v>
      </c>
      <c r="G1808" s="21">
        <v>86.42</v>
      </c>
      <c r="H1808" s="21">
        <v>2926.86</v>
      </c>
      <c r="I1808" s="21">
        <v>338.68</v>
      </c>
    </row>
    <row r="1809" spans="1:9" ht="15" customHeight="1" x14ac:dyDescent="0.3">
      <c r="A1809" s="21" t="s">
        <v>2149</v>
      </c>
      <c r="B1809" s="21">
        <v>2021</v>
      </c>
      <c r="C1809" s="21">
        <v>7</v>
      </c>
      <c r="D1809" s="21">
        <v>4</v>
      </c>
      <c r="E1809" s="21" t="s">
        <v>319</v>
      </c>
      <c r="F1809" s="21">
        <v>1</v>
      </c>
      <c r="G1809" s="21">
        <v>92.3</v>
      </c>
      <c r="H1809" s="21">
        <v>3125.83</v>
      </c>
      <c r="I1809" s="21">
        <v>338.66</v>
      </c>
    </row>
    <row r="1810" spans="1:9" ht="15" customHeight="1" x14ac:dyDescent="0.3">
      <c r="A1810" s="21" t="s">
        <v>2150</v>
      </c>
      <c r="B1810" s="21">
        <v>2021</v>
      </c>
      <c r="C1810" s="21">
        <v>7</v>
      </c>
      <c r="D1810" s="21">
        <v>5</v>
      </c>
      <c r="E1810" s="21" t="s">
        <v>299</v>
      </c>
      <c r="F1810" s="21">
        <v>0</v>
      </c>
      <c r="G1810" s="21">
        <v>109.91</v>
      </c>
      <c r="H1810" s="21">
        <v>3722.31</v>
      </c>
      <c r="I1810" s="21">
        <v>338.67</v>
      </c>
    </row>
    <row r="1811" spans="1:9" ht="15" customHeight="1" x14ac:dyDescent="0.3">
      <c r="A1811" s="21" t="s">
        <v>2151</v>
      </c>
      <c r="B1811" s="21">
        <v>2021</v>
      </c>
      <c r="C1811" s="21">
        <v>7</v>
      </c>
      <c r="D1811" s="21">
        <v>6</v>
      </c>
      <c r="E1811" s="21" t="s">
        <v>303</v>
      </c>
      <c r="F1811" s="21">
        <v>0</v>
      </c>
      <c r="G1811" s="21">
        <v>110.58</v>
      </c>
      <c r="H1811" s="21">
        <v>3744.98</v>
      </c>
      <c r="I1811" s="21">
        <v>338.67</v>
      </c>
    </row>
    <row r="1812" spans="1:9" ht="15" customHeight="1" x14ac:dyDescent="0.3">
      <c r="A1812" s="21" t="s">
        <v>2152</v>
      </c>
      <c r="B1812" s="21">
        <v>2021</v>
      </c>
      <c r="C1812" s="21">
        <v>7</v>
      </c>
      <c r="D1812" s="21">
        <v>7</v>
      </c>
      <c r="E1812" s="21" t="s">
        <v>307</v>
      </c>
      <c r="F1812" s="21">
        <v>0</v>
      </c>
      <c r="G1812" s="21">
        <v>104.42</v>
      </c>
      <c r="H1812" s="21">
        <v>3536.46</v>
      </c>
      <c r="I1812" s="21">
        <v>338.68</v>
      </c>
    </row>
    <row r="1813" spans="1:9" ht="15" customHeight="1" x14ac:dyDescent="0.3">
      <c r="A1813" s="21" t="s">
        <v>2153</v>
      </c>
      <c r="B1813" s="21">
        <v>2021</v>
      </c>
      <c r="C1813" s="21">
        <v>7</v>
      </c>
      <c r="D1813" s="21">
        <v>8</v>
      </c>
      <c r="E1813" s="21" t="s">
        <v>310</v>
      </c>
      <c r="F1813" s="21">
        <v>0</v>
      </c>
      <c r="G1813" s="21">
        <v>102.39</v>
      </c>
      <c r="H1813" s="21">
        <v>3467.61</v>
      </c>
      <c r="I1813" s="21">
        <v>338.67</v>
      </c>
    </row>
    <row r="1814" spans="1:9" ht="15" customHeight="1" x14ac:dyDescent="0.3">
      <c r="A1814" s="21" t="s">
        <v>2154</v>
      </c>
      <c r="B1814" s="21">
        <v>2021</v>
      </c>
      <c r="C1814" s="21">
        <v>7</v>
      </c>
      <c r="D1814" s="21">
        <v>9</v>
      </c>
      <c r="E1814" s="21" t="s">
        <v>313</v>
      </c>
      <c r="F1814" s="21">
        <v>0</v>
      </c>
      <c r="G1814" s="21">
        <v>108.23</v>
      </c>
      <c r="H1814" s="21">
        <v>3665.45</v>
      </c>
      <c r="I1814" s="21">
        <v>338.67</v>
      </c>
    </row>
    <row r="1815" spans="1:9" ht="15" customHeight="1" x14ac:dyDescent="0.3">
      <c r="A1815" s="21" t="s">
        <v>2155</v>
      </c>
      <c r="B1815" s="21">
        <v>2021</v>
      </c>
      <c r="C1815" s="21">
        <v>7</v>
      </c>
      <c r="D1815" s="21">
        <v>10</v>
      </c>
      <c r="E1815" s="21" t="s">
        <v>316</v>
      </c>
      <c r="F1815" s="21">
        <v>1</v>
      </c>
      <c r="G1815" s="21">
        <v>83.26</v>
      </c>
      <c r="H1815" s="21">
        <v>2819.82</v>
      </c>
      <c r="I1815" s="21">
        <v>338.68</v>
      </c>
    </row>
    <row r="1816" spans="1:9" ht="15" customHeight="1" x14ac:dyDescent="0.3">
      <c r="A1816" s="21" t="s">
        <v>2156</v>
      </c>
      <c r="B1816" s="21">
        <v>2021</v>
      </c>
      <c r="C1816" s="21">
        <v>7</v>
      </c>
      <c r="D1816" s="21">
        <v>11</v>
      </c>
      <c r="E1816" s="21" t="s">
        <v>319</v>
      </c>
      <c r="F1816" s="21">
        <v>1</v>
      </c>
      <c r="G1816" s="21">
        <v>83.95</v>
      </c>
      <c r="H1816" s="21">
        <v>2843.09</v>
      </c>
      <c r="I1816" s="21">
        <v>338.66</v>
      </c>
    </row>
    <row r="1817" spans="1:9" ht="15" customHeight="1" x14ac:dyDescent="0.3">
      <c r="A1817" s="21" t="s">
        <v>2157</v>
      </c>
      <c r="B1817" s="21">
        <v>2021</v>
      </c>
      <c r="C1817" s="21">
        <v>7</v>
      </c>
      <c r="D1817" s="21">
        <v>12</v>
      </c>
      <c r="E1817" s="21" t="s">
        <v>299</v>
      </c>
      <c r="F1817" s="21">
        <v>0</v>
      </c>
      <c r="G1817" s="21">
        <v>110.68</v>
      </c>
      <c r="H1817" s="21">
        <v>3748.44</v>
      </c>
      <c r="I1817" s="21">
        <v>338.67</v>
      </c>
    </row>
    <row r="1818" spans="1:9" ht="15" customHeight="1" x14ac:dyDescent="0.3">
      <c r="A1818" s="21" t="s">
        <v>2158</v>
      </c>
      <c r="B1818" s="21">
        <v>2021</v>
      </c>
      <c r="C1818" s="21">
        <v>7</v>
      </c>
      <c r="D1818" s="21">
        <v>13</v>
      </c>
      <c r="E1818" s="21" t="s">
        <v>303</v>
      </c>
      <c r="F1818" s="21">
        <v>0</v>
      </c>
      <c r="G1818" s="21">
        <v>106.21</v>
      </c>
      <c r="H1818" s="21">
        <v>3596.97</v>
      </c>
      <c r="I1818" s="21">
        <v>338.67</v>
      </c>
    </row>
    <row r="1819" spans="1:9" ht="15" customHeight="1" x14ac:dyDescent="0.3">
      <c r="A1819" s="21" t="s">
        <v>2159</v>
      </c>
      <c r="B1819" s="21">
        <v>2021</v>
      </c>
      <c r="C1819" s="21">
        <v>7</v>
      </c>
      <c r="D1819" s="21">
        <v>14</v>
      </c>
      <c r="E1819" s="21" t="s">
        <v>307</v>
      </c>
      <c r="F1819" s="21">
        <v>0</v>
      </c>
      <c r="G1819" s="21">
        <v>99.65</v>
      </c>
      <c r="H1819" s="21">
        <v>3374.84</v>
      </c>
      <c r="I1819" s="21">
        <v>338.67</v>
      </c>
    </row>
    <row r="1820" spans="1:9" ht="15" customHeight="1" x14ac:dyDescent="0.3">
      <c r="A1820" s="21" t="s">
        <v>2160</v>
      </c>
      <c r="B1820" s="21">
        <v>2021</v>
      </c>
      <c r="C1820" s="21">
        <v>7</v>
      </c>
      <c r="D1820" s="21">
        <v>15</v>
      </c>
      <c r="E1820" s="21" t="s">
        <v>310</v>
      </c>
      <c r="F1820" s="21">
        <v>0</v>
      </c>
      <c r="G1820" s="21">
        <v>107.42</v>
      </c>
      <c r="H1820" s="21">
        <v>3638.03</v>
      </c>
      <c r="I1820" s="21">
        <v>338.67</v>
      </c>
    </row>
    <row r="1821" spans="1:9" ht="15" customHeight="1" x14ac:dyDescent="0.3">
      <c r="A1821" s="21" t="s">
        <v>2161</v>
      </c>
      <c r="B1821" s="21">
        <v>2021</v>
      </c>
      <c r="C1821" s="21">
        <v>7</v>
      </c>
      <c r="D1821" s="21">
        <v>16</v>
      </c>
      <c r="E1821" s="21" t="s">
        <v>313</v>
      </c>
      <c r="F1821" s="21">
        <v>0</v>
      </c>
      <c r="G1821" s="21">
        <v>111.47</v>
      </c>
      <c r="H1821" s="21">
        <v>3774.99</v>
      </c>
      <c r="I1821" s="21">
        <v>338.66</v>
      </c>
    </row>
    <row r="1822" spans="1:9" ht="15" customHeight="1" x14ac:dyDescent="0.3">
      <c r="A1822" s="21" t="s">
        <v>2162</v>
      </c>
      <c r="B1822" s="21">
        <v>2021</v>
      </c>
      <c r="C1822" s="21">
        <v>7</v>
      </c>
      <c r="D1822" s="21">
        <v>17</v>
      </c>
      <c r="E1822" s="21" t="s">
        <v>316</v>
      </c>
      <c r="F1822" s="21">
        <v>1</v>
      </c>
      <c r="G1822" s="21">
        <v>89.38</v>
      </c>
      <c r="H1822" s="21">
        <v>3027.07</v>
      </c>
      <c r="I1822" s="21">
        <v>338.67</v>
      </c>
    </row>
    <row r="1823" spans="1:9" ht="15" customHeight="1" x14ac:dyDescent="0.3">
      <c r="A1823" s="21" t="s">
        <v>2163</v>
      </c>
      <c r="B1823" s="21">
        <v>2021</v>
      </c>
      <c r="C1823" s="21">
        <v>7</v>
      </c>
      <c r="D1823" s="21">
        <v>18</v>
      </c>
      <c r="E1823" s="21" t="s">
        <v>319</v>
      </c>
      <c r="F1823" s="21">
        <v>1</v>
      </c>
      <c r="G1823" s="21">
        <v>93.98</v>
      </c>
      <c r="H1823" s="21">
        <v>3182.83</v>
      </c>
      <c r="I1823" s="21">
        <v>338.67</v>
      </c>
    </row>
    <row r="1824" spans="1:9" ht="15" customHeight="1" x14ac:dyDescent="0.3">
      <c r="A1824" s="21" t="s">
        <v>2164</v>
      </c>
      <c r="B1824" s="21">
        <v>2021</v>
      </c>
      <c r="C1824" s="21">
        <v>7</v>
      </c>
      <c r="D1824" s="21">
        <v>19</v>
      </c>
      <c r="E1824" s="21" t="s">
        <v>299</v>
      </c>
      <c r="F1824" s="21">
        <v>0</v>
      </c>
      <c r="G1824" s="21">
        <v>112.66</v>
      </c>
      <c r="H1824" s="21">
        <v>3815.37</v>
      </c>
      <c r="I1824" s="21">
        <v>338.66</v>
      </c>
    </row>
    <row r="1825" spans="1:9" ht="15" customHeight="1" x14ac:dyDescent="0.3">
      <c r="A1825" s="21" t="s">
        <v>2165</v>
      </c>
      <c r="B1825" s="21">
        <v>2021</v>
      </c>
      <c r="C1825" s="21">
        <v>7</v>
      </c>
      <c r="D1825" s="21">
        <v>20</v>
      </c>
      <c r="E1825" s="21" t="s">
        <v>303</v>
      </c>
      <c r="F1825" s="21">
        <v>0</v>
      </c>
      <c r="G1825" s="21">
        <v>103.77</v>
      </c>
      <c r="H1825" s="21">
        <v>3514.36</v>
      </c>
      <c r="I1825" s="21">
        <v>338.67</v>
      </c>
    </row>
    <row r="1826" spans="1:9" ht="15" customHeight="1" x14ac:dyDescent="0.3">
      <c r="A1826" s="21" t="s">
        <v>2166</v>
      </c>
      <c r="B1826" s="21">
        <v>2021</v>
      </c>
      <c r="C1826" s="21">
        <v>7</v>
      </c>
      <c r="D1826" s="21">
        <v>21</v>
      </c>
      <c r="E1826" s="21" t="s">
        <v>307</v>
      </c>
      <c r="F1826" s="21">
        <v>0</v>
      </c>
      <c r="G1826" s="21">
        <v>101.82</v>
      </c>
      <c r="H1826" s="21">
        <v>3448.18</v>
      </c>
      <c r="I1826" s="21">
        <v>338.65</v>
      </c>
    </row>
    <row r="1827" spans="1:9" ht="15" customHeight="1" x14ac:dyDescent="0.3">
      <c r="A1827" s="21" t="s">
        <v>2167</v>
      </c>
      <c r="B1827" s="21">
        <v>2021</v>
      </c>
      <c r="C1827" s="21">
        <v>7</v>
      </c>
      <c r="D1827" s="21">
        <v>22</v>
      </c>
      <c r="E1827" s="21" t="s">
        <v>310</v>
      </c>
      <c r="F1827" s="21">
        <v>0</v>
      </c>
      <c r="G1827" s="21">
        <v>97.86</v>
      </c>
      <c r="H1827" s="21">
        <v>3314.19</v>
      </c>
      <c r="I1827" s="21">
        <v>338.67</v>
      </c>
    </row>
    <row r="1828" spans="1:9" ht="15" customHeight="1" x14ac:dyDescent="0.3">
      <c r="A1828" s="21" t="s">
        <v>2168</v>
      </c>
      <c r="B1828" s="21">
        <v>2021</v>
      </c>
      <c r="C1828" s="21">
        <v>7</v>
      </c>
      <c r="D1828" s="21">
        <v>23</v>
      </c>
      <c r="E1828" s="21" t="s">
        <v>313</v>
      </c>
      <c r="F1828" s="21">
        <v>0</v>
      </c>
      <c r="G1828" s="21">
        <v>110.72</v>
      </c>
      <c r="H1828" s="21">
        <v>3749.9</v>
      </c>
      <c r="I1828" s="21">
        <v>338.68</v>
      </c>
    </row>
    <row r="1829" spans="1:9" ht="15" customHeight="1" x14ac:dyDescent="0.3">
      <c r="A1829" s="21" t="s">
        <v>2169</v>
      </c>
      <c r="B1829" s="21">
        <v>2021</v>
      </c>
      <c r="C1829" s="21">
        <v>7</v>
      </c>
      <c r="D1829" s="21">
        <v>24</v>
      </c>
      <c r="E1829" s="21" t="s">
        <v>316</v>
      </c>
      <c r="F1829" s="21">
        <v>1</v>
      </c>
      <c r="G1829" s="21">
        <v>88.26</v>
      </c>
      <c r="H1829" s="21">
        <v>2989.03</v>
      </c>
      <c r="I1829" s="21">
        <v>338.66</v>
      </c>
    </row>
    <row r="1830" spans="1:9" ht="15" customHeight="1" x14ac:dyDescent="0.3">
      <c r="A1830" s="21" t="s">
        <v>2170</v>
      </c>
      <c r="B1830" s="21">
        <v>2021</v>
      </c>
      <c r="C1830" s="21">
        <v>7</v>
      </c>
      <c r="D1830" s="21">
        <v>25</v>
      </c>
      <c r="E1830" s="21" t="s">
        <v>319</v>
      </c>
      <c r="F1830" s="21">
        <v>1</v>
      </c>
      <c r="G1830" s="21">
        <v>85.82</v>
      </c>
      <c r="H1830" s="21">
        <v>2906.54</v>
      </c>
      <c r="I1830" s="21">
        <v>338.68</v>
      </c>
    </row>
    <row r="1831" spans="1:9" ht="15" customHeight="1" x14ac:dyDescent="0.3">
      <c r="A1831" s="21" t="s">
        <v>2171</v>
      </c>
      <c r="B1831" s="21">
        <v>2021</v>
      </c>
      <c r="C1831" s="21">
        <v>7</v>
      </c>
      <c r="D1831" s="21">
        <v>26</v>
      </c>
      <c r="E1831" s="21" t="s">
        <v>299</v>
      </c>
      <c r="F1831" s="21">
        <v>0</v>
      </c>
      <c r="G1831" s="21">
        <v>109.43</v>
      </c>
      <c r="H1831" s="21">
        <v>3706.1</v>
      </c>
      <c r="I1831" s="21">
        <v>338.67</v>
      </c>
    </row>
    <row r="1832" spans="1:9" ht="15" customHeight="1" x14ac:dyDescent="0.3">
      <c r="A1832" s="21" t="s">
        <v>2172</v>
      </c>
      <c r="B1832" s="21">
        <v>2021</v>
      </c>
      <c r="C1832" s="21">
        <v>7</v>
      </c>
      <c r="D1832" s="21">
        <v>27</v>
      </c>
      <c r="E1832" s="21" t="s">
        <v>303</v>
      </c>
      <c r="F1832" s="21">
        <v>0</v>
      </c>
      <c r="G1832" s="21">
        <v>104.85</v>
      </c>
      <c r="H1832" s="21">
        <v>3551.07</v>
      </c>
      <c r="I1832" s="21">
        <v>338.68</v>
      </c>
    </row>
    <row r="1833" spans="1:9" ht="15" customHeight="1" x14ac:dyDescent="0.3">
      <c r="A1833" s="21" t="s">
        <v>2173</v>
      </c>
      <c r="B1833" s="21">
        <v>2021</v>
      </c>
      <c r="C1833" s="21">
        <v>7</v>
      </c>
      <c r="D1833" s="21">
        <v>28</v>
      </c>
      <c r="E1833" s="21" t="s">
        <v>307</v>
      </c>
      <c r="F1833" s="21">
        <v>0</v>
      </c>
      <c r="G1833" s="21">
        <v>103.91</v>
      </c>
      <c r="H1833" s="21">
        <v>3519</v>
      </c>
      <c r="I1833" s="21">
        <v>338.66</v>
      </c>
    </row>
    <row r="1834" spans="1:9" ht="15" customHeight="1" x14ac:dyDescent="0.3">
      <c r="A1834" s="21" t="s">
        <v>2174</v>
      </c>
      <c r="B1834" s="21">
        <v>2021</v>
      </c>
      <c r="C1834" s="21">
        <v>7</v>
      </c>
      <c r="D1834" s="21">
        <v>29</v>
      </c>
      <c r="E1834" s="21" t="s">
        <v>310</v>
      </c>
      <c r="F1834" s="21">
        <v>0</v>
      </c>
      <c r="G1834" s="21">
        <v>102.57</v>
      </c>
      <c r="H1834" s="21">
        <v>3473.82</v>
      </c>
      <c r="I1834" s="21">
        <v>338.68</v>
      </c>
    </row>
    <row r="1835" spans="1:9" ht="15" customHeight="1" x14ac:dyDescent="0.3">
      <c r="A1835" s="21" t="s">
        <v>2175</v>
      </c>
      <c r="B1835" s="21">
        <v>2021</v>
      </c>
      <c r="C1835" s="21">
        <v>7</v>
      </c>
      <c r="D1835" s="21">
        <v>30</v>
      </c>
      <c r="E1835" s="21" t="s">
        <v>313</v>
      </c>
      <c r="F1835" s="21">
        <v>0</v>
      </c>
      <c r="G1835" s="21">
        <v>130.54</v>
      </c>
      <c r="H1835" s="21">
        <v>4420.8999999999996</v>
      </c>
      <c r="I1835" s="21">
        <v>338.66</v>
      </c>
    </row>
    <row r="1836" spans="1:9" ht="15" customHeight="1" x14ac:dyDescent="0.3">
      <c r="A1836" s="21" t="s">
        <v>2176</v>
      </c>
      <c r="B1836" s="21">
        <v>2021</v>
      </c>
      <c r="C1836" s="21">
        <v>7</v>
      </c>
      <c r="D1836" s="21">
        <v>31</v>
      </c>
      <c r="E1836" s="21" t="s">
        <v>316</v>
      </c>
      <c r="F1836" s="21">
        <v>1</v>
      </c>
      <c r="G1836" s="21">
        <v>103.85</v>
      </c>
      <c r="H1836" s="21">
        <v>3517.21</v>
      </c>
      <c r="I1836" s="21">
        <v>338.68</v>
      </c>
    </row>
    <row r="1837" spans="1:9" ht="15" customHeight="1" x14ac:dyDescent="0.3">
      <c r="A1837" s="21" t="s">
        <v>158</v>
      </c>
      <c r="B1837" s="21">
        <v>2021</v>
      </c>
      <c r="C1837" s="21">
        <v>8</v>
      </c>
      <c r="D1837" s="21">
        <v>1</v>
      </c>
      <c r="E1837" s="21" t="s">
        <v>319</v>
      </c>
      <c r="F1837" s="21">
        <v>1</v>
      </c>
      <c r="G1837" s="21">
        <v>107.78</v>
      </c>
      <c r="H1837" s="21">
        <v>3646.74</v>
      </c>
      <c r="I1837" s="21">
        <v>338.35</v>
      </c>
    </row>
    <row r="1838" spans="1:9" ht="15" customHeight="1" x14ac:dyDescent="0.3">
      <c r="A1838" s="21" t="s">
        <v>2177</v>
      </c>
      <c r="B1838" s="21">
        <v>2021</v>
      </c>
      <c r="C1838" s="21">
        <v>8</v>
      </c>
      <c r="D1838" s="21">
        <v>2</v>
      </c>
      <c r="E1838" s="21" t="s">
        <v>299</v>
      </c>
      <c r="F1838" s="21">
        <v>0</v>
      </c>
      <c r="G1838" s="21">
        <v>144.05000000000001</v>
      </c>
      <c r="H1838" s="21">
        <v>4873.97</v>
      </c>
      <c r="I1838" s="21">
        <v>338.35</v>
      </c>
    </row>
    <row r="1839" spans="1:9" ht="15" customHeight="1" x14ac:dyDescent="0.3">
      <c r="A1839" s="21" t="s">
        <v>2178</v>
      </c>
      <c r="B1839" s="21">
        <v>2021</v>
      </c>
      <c r="C1839" s="21">
        <v>8</v>
      </c>
      <c r="D1839" s="21">
        <v>3</v>
      </c>
      <c r="E1839" s="21" t="s">
        <v>303</v>
      </c>
      <c r="F1839" s="21">
        <v>0</v>
      </c>
      <c r="G1839" s="21">
        <v>114.33</v>
      </c>
      <c r="H1839" s="21">
        <v>3868.52</v>
      </c>
      <c r="I1839" s="21">
        <v>338.36</v>
      </c>
    </row>
    <row r="1840" spans="1:9" ht="15" customHeight="1" x14ac:dyDescent="0.3">
      <c r="A1840" s="21" t="s">
        <v>2179</v>
      </c>
      <c r="B1840" s="21">
        <v>2021</v>
      </c>
      <c r="C1840" s="21">
        <v>8</v>
      </c>
      <c r="D1840" s="21">
        <v>4</v>
      </c>
      <c r="E1840" s="21" t="s">
        <v>307</v>
      </c>
      <c r="F1840" s="21">
        <v>0</v>
      </c>
      <c r="G1840" s="21">
        <v>114.74</v>
      </c>
      <c r="H1840" s="21">
        <v>3882.19</v>
      </c>
      <c r="I1840" s="21">
        <v>338.35</v>
      </c>
    </row>
    <row r="1841" spans="1:9" ht="15" customHeight="1" x14ac:dyDescent="0.3">
      <c r="A1841" s="21" t="s">
        <v>2180</v>
      </c>
      <c r="B1841" s="21">
        <v>2021</v>
      </c>
      <c r="C1841" s="21">
        <v>8</v>
      </c>
      <c r="D1841" s="21">
        <v>5</v>
      </c>
      <c r="E1841" s="21" t="s">
        <v>310</v>
      </c>
      <c r="F1841" s="21">
        <v>0</v>
      </c>
      <c r="G1841" s="21">
        <v>117.11</v>
      </c>
      <c r="H1841" s="21">
        <v>3962.44</v>
      </c>
      <c r="I1841" s="21">
        <v>338.35</v>
      </c>
    </row>
    <row r="1842" spans="1:9" ht="15" customHeight="1" x14ac:dyDescent="0.3">
      <c r="A1842" s="21" t="s">
        <v>2181</v>
      </c>
      <c r="B1842" s="21">
        <v>2021</v>
      </c>
      <c r="C1842" s="21">
        <v>8</v>
      </c>
      <c r="D1842" s="21">
        <v>6</v>
      </c>
      <c r="E1842" s="21" t="s">
        <v>313</v>
      </c>
      <c r="F1842" s="21">
        <v>0</v>
      </c>
      <c r="G1842" s="21">
        <v>124.65</v>
      </c>
      <c r="H1842" s="21">
        <v>4217.55</v>
      </c>
      <c r="I1842" s="21">
        <v>338.35</v>
      </c>
    </row>
    <row r="1843" spans="1:9" ht="15" customHeight="1" x14ac:dyDescent="0.3">
      <c r="A1843" s="21" t="s">
        <v>2182</v>
      </c>
      <c r="B1843" s="21">
        <v>2021</v>
      </c>
      <c r="C1843" s="21">
        <v>8</v>
      </c>
      <c r="D1843" s="21">
        <v>7</v>
      </c>
      <c r="E1843" s="21" t="s">
        <v>316</v>
      </c>
      <c r="F1843" s="21">
        <v>1</v>
      </c>
      <c r="G1843" s="21">
        <v>100.75</v>
      </c>
      <c r="H1843" s="21">
        <v>3408.95</v>
      </c>
      <c r="I1843" s="21">
        <v>338.36</v>
      </c>
    </row>
    <row r="1844" spans="1:9" ht="15" customHeight="1" x14ac:dyDescent="0.3">
      <c r="A1844" s="21" t="s">
        <v>2183</v>
      </c>
      <c r="B1844" s="21">
        <v>2021</v>
      </c>
      <c r="C1844" s="21">
        <v>8</v>
      </c>
      <c r="D1844" s="21">
        <v>8</v>
      </c>
      <c r="E1844" s="21" t="s">
        <v>319</v>
      </c>
      <c r="F1844" s="21">
        <v>1</v>
      </c>
      <c r="G1844" s="21">
        <v>98.46</v>
      </c>
      <c r="H1844" s="21">
        <v>3331.42</v>
      </c>
      <c r="I1844" s="21">
        <v>338.35</v>
      </c>
    </row>
    <row r="1845" spans="1:9" ht="15" customHeight="1" x14ac:dyDescent="0.3">
      <c r="A1845" s="21" t="s">
        <v>2184</v>
      </c>
      <c r="B1845" s="21">
        <v>2021</v>
      </c>
      <c r="C1845" s="21">
        <v>8</v>
      </c>
      <c r="D1845" s="21">
        <v>9</v>
      </c>
      <c r="E1845" s="21" t="s">
        <v>299</v>
      </c>
      <c r="F1845" s="21">
        <v>0</v>
      </c>
      <c r="G1845" s="21">
        <v>118.3</v>
      </c>
      <c r="H1845" s="21">
        <v>4002.71</v>
      </c>
      <c r="I1845" s="21">
        <v>338.35</v>
      </c>
    </row>
    <row r="1846" spans="1:9" ht="15" customHeight="1" x14ac:dyDescent="0.3">
      <c r="A1846" s="21" t="s">
        <v>2185</v>
      </c>
      <c r="B1846" s="21">
        <v>2021</v>
      </c>
      <c r="C1846" s="21">
        <v>8</v>
      </c>
      <c r="D1846" s="21">
        <v>10</v>
      </c>
      <c r="E1846" s="21" t="s">
        <v>303</v>
      </c>
      <c r="F1846" s="21">
        <v>0</v>
      </c>
      <c r="G1846" s="21">
        <v>115.91</v>
      </c>
      <c r="H1846" s="21">
        <v>3922.08</v>
      </c>
      <c r="I1846" s="21">
        <v>338.37</v>
      </c>
    </row>
    <row r="1847" spans="1:9" ht="15" customHeight="1" x14ac:dyDescent="0.3">
      <c r="A1847" s="21" t="s">
        <v>2186</v>
      </c>
      <c r="B1847" s="21">
        <v>2021</v>
      </c>
      <c r="C1847" s="21">
        <v>8</v>
      </c>
      <c r="D1847" s="21">
        <v>11</v>
      </c>
      <c r="E1847" s="21" t="s">
        <v>307</v>
      </c>
      <c r="F1847" s="21">
        <v>0</v>
      </c>
      <c r="G1847" s="21">
        <v>110.74</v>
      </c>
      <c r="H1847" s="21">
        <v>3746.87</v>
      </c>
      <c r="I1847" s="21">
        <v>338.35</v>
      </c>
    </row>
    <row r="1848" spans="1:9" ht="15" customHeight="1" x14ac:dyDescent="0.3">
      <c r="A1848" s="21" t="s">
        <v>2187</v>
      </c>
      <c r="B1848" s="21">
        <v>2021</v>
      </c>
      <c r="C1848" s="21">
        <v>8</v>
      </c>
      <c r="D1848" s="21">
        <v>12</v>
      </c>
      <c r="E1848" s="21" t="s">
        <v>310</v>
      </c>
      <c r="F1848" s="21">
        <v>0</v>
      </c>
      <c r="G1848" s="21">
        <v>115.04</v>
      </c>
      <c r="H1848" s="21">
        <v>3892.64</v>
      </c>
      <c r="I1848" s="21">
        <v>338.37</v>
      </c>
    </row>
    <row r="1849" spans="1:9" ht="15" customHeight="1" x14ac:dyDescent="0.3">
      <c r="A1849" s="21" t="s">
        <v>2188</v>
      </c>
      <c r="B1849" s="21">
        <v>2021</v>
      </c>
      <c r="C1849" s="21">
        <v>8</v>
      </c>
      <c r="D1849" s="21">
        <v>13</v>
      </c>
      <c r="E1849" s="21" t="s">
        <v>313</v>
      </c>
      <c r="F1849" s="21">
        <v>0</v>
      </c>
      <c r="G1849" s="21">
        <v>123.73</v>
      </c>
      <c r="H1849" s="21">
        <v>4186.53</v>
      </c>
      <c r="I1849" s="21">
        <v>338.36</v>
      </c>
    </row>
    <row r="1850" spans="1:9" ht="15" customHeight="1" x14ac:dyDescent="0.3">
      <c r="A1850" s="21" t="s">
        <v>2189</v>
      </c>
      <c r="B1850" s="21">
        <v>2021</v>
      </c>
      <c r="C1850" s="21">
        <v>8</v>
      </c>
      <c r="D1850" s="21">
        <v>14</v>
      </c>
      <c r="E1850" s="21" t="s">
        <v>316</v>
      </c>
      <c r="F1850" s="21">
        <v>1</v>
      </c>
      <c r="G1850" s="21">
        <v>96.75</v>
      </c>
      <c r="H1850" s="21">
        <v>3273.78</v>
      </c>
      <c r="I1850" s="21">
        <v>338.38</v>
      </c>
    </row>
    <row r="1851" spans="1:9" ht="15" customHeight="1" x14ac:dyDescent="0.3">
      <c r="A1851" s="21" t="s">
        <v>2190</v>
      </c>
      <c r="B1851" s="21">
        <v>2021</v>
      </c>
      <c r="C1851" s="21">
        <v>8</v>
      </c>
      <c r="D1851" s="21">
        <v>15</v>
      </c>
      <c r="E1851" s="21" t="s">
        <v>319</v>
      </c>
      <c r="F1851" s="21">
        <v>1</v>
      </c>
      <c r="G1851" s="21">
        <v>97.03</v>
      </c>
      <c r="H1851" s="21">
        <v>3283.04</v>
      </c>
      <c r="I1851" s="21">
        <v>338.35</v>
      </c>
    </row>
    <row r="1852" spans="1:9" ht="15" customHeight="1" x14ac:dyDescent="0.3">
      <c r="A1852" s="21" t="s">
        <v>2191</v>
      </c>
      <c r="B1852" s="21">
        <v>2021</v>
      </c>
      <c r="C1852" s="21">
        <v>8</v>
      </c>
      <c r="D1852" s="21">
        <v>16</v>
      </c>
      <c r="E1852" s="21" t="s">
        <v>299</v>
      </c>
      <c r="F1852" s="21">
        <v>0</v>
      </c>
      <c r="G1852" s="21">
        <v>113.93</v>
      </c>
      <c r="H1852" s="21">
        <v>3854.95</v>
      </c>
      <c r="I1852" s="21">
        <v>338.36</v>
      </c>
    </row>
    <row r="1853" spans="1:9" ht="15" customHeight="1" x14ac:dyDescent="0.3">
      <c r="A1853" s="21" t="s">
        <v>2192</v>
      </c>
      <c r="B1853" s="21">
        <v>2021</v>
      </c>
      <c r="C1853" s="21">
        <v>8</v>
      </c>
      <c r="D1853" s="21">
        <v>17</v>
      </c>
      <c r="E1853" s="21" t="s">
        <v>303</v>
      </c>
      <c r="F1853" s="21">
        <v>0</v>
      </c>
      <c r="G1853" s="21">
        <v>112.78</v>
      </c>
      <c r="H1853" s="21">
        <v>3816.13</v>
      </c>
      <c r="I1853" s="21">
        <v>338.37</v>
      </c>
    </row>
    <row r="1854" spans="1:9" ht="15" customHeight="1" x14ac:dyDescent="0.3">
      <c r="A1854" s="21" t="s">
        <v>2193</v>
      </c>
      <c r="B1854" s="21">
        <v>2021</v>
      </c>
      <c r="C1854" s="21">
        <v>8</v>
      </c>
      <c r="D1854" s="21">
        <v>18</v>
      </c>
      <c r="E1854" s="21" t="s">
        <v>307</v>
      </c>
      <c r="F1854" s="21">
        <v>0</v>
      </c>
      <c r="G1854" s="21">
        <v>114.99</v>
      </c>
      <c r="H1854" s="21">
        <v>3890.81</v>
      </c>
      <c r="I1854" s="21">
        <v>338.36</v>
      </c>
    </row>
    <row r="1855" spans="1:9" ht="15" customHeight="1" x14ac:dyDescent="0.3">
      <c r="A1855" s="21" t="s">
        <v>2194</v>
      </c>
      <c r="B1855" s="21">
        <v>2021</v>
      </c>
      <c r="C1855" s="21">
        <v>8</v>
      </c>
      <c r="D1855" s="21">
        <v>19</v>
      </c>
      <c r="E1855" s="21" t="s">
        <v>310</v>
      </c>
      <c r="F1855" s="21">
        <v>0</v>
      </c>
      <c r="G1855" s="21">
        <v>115.22</v>
      </c>
      <c r="H1855" s="21">
        <v>3898.61</v>
      </c>
      <c r="I1855" s="21">
        <v>338.36</v>
      </c>
    </row>
    <row r="1856" spans="1:9" ht="15" customHeight="1" x14ac:dyDescent="0.3">
      <c r="A1856" s="21" t="s">
        <v>2195</v>
      </c>
      <c r="B1856" s="21">
        <v>2021</v>
      </c>
      <c r="C1856" s="21">
        <v>8</v>
      </c>
      <c r="D1856" s="21">
        <v>20</v>
      </c>
      <c r="E1856" s="21" t="s">
        <v>313</v>
      </c>
      <c r="F1856" s="21">
        <v>0</v>
      </c>
      <c r="G1856" s="21">
        <v>120.31</v>
      </c>
      <c r="H1856" s="21">
        <v>4070.78</v>
      </c>
      <c r="I1856" s="21">
        <v>338.36</v>
      </c>
    </row>
    <row r="1857" spans="1:9" ht="15" customHeight="1" x14ac:dyDescent="0.3">
      <c r="A1857" s="21" t="s">
        <v>2196</v>
      </c>
      <c r="B1857" s="21">
        <v>2021</v>
      </c>
      <c r="C1857" s="21">
        <v>8</v>
      </c>
      <c r="D1857" s="21">
        <v>21</v>
      </c>
      <c r="E1857" s="21" t="s">
        <v>316</v>
      </c>
      <c r="F1857" s="21">
        <v>1</v>
      </c>
      <c r="G1857" s="21">
        <v>101.82</v>
      </c>
      <c r="H1857" s="21">
        <v>3445.33</v>
      </c>
      <c r="I1857" s="21">
        <v>338.37</v>
      </c>
    </row>
    <row r="1858" spans="1:9" ht="15" customHeight="1" x14ac:dyDescent="0.3">
      <c r="A1858" s="21" t="s">
        <v>2197</v>
      </c>
      <c r="B1858" s="21">
        <v>2021</v>
      </c>
      <c r="C1858" s="21">
        <v>8</v>
      </c>
      <c r="D1858" s="21">
        <v>22</v>
      </c>
      <c r="E1858" s="21" t="s">
        <v>319</v>
      </c>
      <c r="F1858" s="21">
        <v>1</v>
      </c>
      <c r="G1858" s="21">
        <v>94.49</v>
      </c>
      <c r="H1858" s="21">
        <v>3197.18</v>
      </c>
      <c r="I1858" s="21">
        <v>338.36</v>
      </c>
    </row>
    <row r="1859" spans="1:9" ht="15" customHeight="1" x14ac:dyDescent="0.3">
      <c r="A1859" s="21" t="s">
        <v>2198</v>
      </c>
      <c r="B1859" s="21">
        <v>2021</v>
      </c>
      <c r="C1859" s="21">
        <v>8</v>
      </c>
      <c r="D1859" s="21">
        <v>23</v>
      </c>
      <c r="E1859" s="21" t="s">
        <v>299</v>
      </c>
      <c r="F1859" s="21">
        <v>0</v>
      </c>
      <c r="G1859" s="21">
        <v>123.74</v>
      </c>
      <c r="H1859" s="21">
        <v>4186.84</v>
      </c>
      <c r="I1859" s="21">
        <v>338.36</v>
      </c>
    </row>
    <row r="1860" spans="1:9" ht="15" customHeight="1" x14ac:dyDescent="0.3">
      <c r="A1860" s="21" t="s">
        <v>2199</v>
      </c>
      <c r="B1860" s="21">
        <v>2021</v>
      </c>
      <c r="C1860" s="21">
        <v>8</v>
      </c>
      <c r="D1860" s="21">
        <v>24</v>
      </c>
      <c r="E1860" s="21" t="s">
        <v>303</v>
      </c>
      <c r="F1860" s="21">
        <v>0</v>
      </c>
      <c r="G1860" s="21">
        <v>116.14</v>
      </c>
      <c r="H1860" s="21">
        <v>3929.73</v>
      </c>
      <c r="I1860" s="21">
        <v>338.36</v>
      </c>
    </row>
    <row r="1861" spans="1:9" ht="15" customHeight="1" x14ac:dyDescent="0.3">
      <c r="A1861" s="21" t="s">
        <v>2200</v>
      </c>
      <c r="B1861" s="21">
        <v>2021</v>
      </c>
      <c r="C1861" s="21">
        <v>8</v>
      </c>
      <c r="D1861" s="21">
        <v>25</v>
      </c>
      <c r="E1861" s="21" t="s">
        <v>307</v>
      </c>
      <c r="F1861" s="21">
        <v>0</v>
      </c>
      <c r="G1861" s="21">
        <v>112.45</v>
      </c>
      <c r="H1861" s="21">
        <v>3804.78</v>
      </c>
      <c r="I1861" s="21">
        <v>338.35</v>
      </c>
    </row>
    <row r="1862" spans="1:9" ht="15" customHeight="1" x14ac:dyDescent="0.3">
      <c r="A1862" s="21" t="s">
        <v>2201</v>
      </c>
      <c r="B1862" s="21">
        <v>2021</v>
      </c>
      <c r="C1862" s="21">
        <v>8</v>
      </c>
      <c r="D1862" s="21">
        <v>26</v>
      </c>
      <c r="E1862" s="21" t="s">
        <v>310</v>
      </c>
      <c r="F1862" s="21">
        <v>0</v>
      </c>
      <c r="G1862" s="21">
        <v>120.78</v>
      </c>
      <c r="H1862" s="21">
        <v>4086.65</v>
      </c>
      <c r="I1862" s="21">
        <v>338.35</v>
      </c>
    </row>
    <row r="1863" spans="1:9" ht="15" customHeight="1" x14ac:dyDescent="0.3">
      <c r="A1863" s="21" t="s">
        <v>2202</v>
      </c>
      <c r="B1863" s="21">
        <v>2021</v>
      </c>
      <c r="C1863" s="21">
        <v>8</v>
      </c>
      <c r="D1863" s="21">
        <v>27</v>
      </c>
      <c r="E1863" s="21" t="s">
        <v>313</v>
      </c>
      <c r="F1863" s="21">
        <v>0</v>
      </c>
      <c r="G1863" s="21">
        <v>119.74</v>
      </c>
      <c r="H1863" s="21">
        <v>4051.46</v>
      </c>
      <c r="I1863" s="21">
        <v>338.35</v>
      </c>
    </row>
    <row r="1864" spans="1:9" ht="15" customHeight="1" x14ac:dyDescent="0.3">
      <c r="A1864" s="21" t="s">
        <v>2203</v>
      </c>
      <c r="B1864" s="21">
        <v>2021</v>
      </c>
      <c r="C1864" s="21">
        <v>8</v>
      </c>
      <c r="D1864" s="21">
        <v>28</v>
      </c>
      <c r="E1864" s="21" t="s">
        <v>316</v>
      </c>
      <c r="F1864" s="21">
        <v>1</v>
      </c>
      <c r="G1864" s="21">
        <v>100.63</v>
      </c>
      <c r="H1864" s="21">
        <v>3404.99</v>
      </c>
      <c r="I1864" s="21">
        <v>338.37</v>
      </c>
    </row>
    <row r="1865" spans="1:9" ht="15" customHeight="1" x14ac:dyDescent="0.3">
      <c r="A1865" s="21" t="s">
        <v>2204</v>
      </c>
      <c r="B1865" s="21">
        <v>2021</v>
      </c>
      <c r="C1865" s="21">
        <v>8</v>
      </c>
      <c r="D1865" s="21">
        <v>29</v>
      </c>
      <c r="E1865" s="21" t="s">
        <v>319</v>
      </c>
      <c r="F1865" s="21">
        <v>1</v>
      </c>
      <c r="G1865" s="21">
        <v>100.91</v>
      </c>
      <c r="H1865" s="21">
        <v>3414.47</v>
      </c>
      <c r="I1865" s="21">
        <v>338.37</v>
      </c>
    </row>
    <row r="1866" spans="1:9" ht="15" customHeight="1" x14ac:dyDescent="0.3">
      <c r="A1866" s="21" t="s">
        <v>2205</v>
      </c>
      <c r="B1866" s="21">
        <v>2021</v>
      </c>
      <c r="C1866" s="21">
        <v>8</v>
      </c>
      <c r="D1866" s="21">
        <v>30</v>
      </c>
      <c r="E1866" s="21" t="s">
        <v>299</v>
      </c>
      <c r="F1866" s="21">
        <v>0</v>
      </c>
      <c r="G1866" s="21">
        <v>135.81</v>
      </c>
      <c r="H1866" s="21">
        <v>4595.33</v>
      </c>
      <c r="I1866" s="21">
        <v>338.36</v>
      </c>
    </row>
    <row r="1867" spans="1:9" ht="15" customHeight="1" x14ac:dyDescent="0.3">
      <c r="A1867" s="21" t="s">
        <v>2206</v>
      </c>
      <c r="B1867" s="21">
        <v>2021</v>
      </c>
      <c r="C1867" s="21">
        <v>8</v>
      </c>
      <c r="D1867" s="21">
        <v>31</v>
      </c>
      <c r="E1867" s="21" t="s">
        <v>303</v>
      </c>
      <c r="F1867" s="21">
        <v>0</v>
      </c>
      <c r="G1867" s="21">
        <v>137.38</v>
      </c>
      <c r="H1867" s="21">
        <v>4648.3999999999996</v>
      </c>
      <c r="I1867" s="21">
        <v>338.36</v>
      </c>
    </row>
    <row r="1868" spans="1:9" ht="15" customHeight="1" x14ac:dyDescent="0.3">
      <c r="A1868" s="21" t="s">
        <v>159</v>
      </c>
      <c r="B1868" s="21">
        <v>2021</v>
      </c>
      <c r="C1868" s="21">
        <v>9</v>
      </c>
      <c r="D1868" s="21">
        <v>1</v>
      </c>
      <c r="E1868" s="21" t="s">
        <v>307</v>
      </c>
      <c r="F1868" s="21">
        <v>0</v>
      </c>
      <c r="G1868" s="21">
        <v>138.94</v>
      </c>
      <c r="H1868" s="21">
        <v>4701.32</v>
      </c>
      <c r="I1868" s="21">
        <v>338.37</v>
      </c>
    </row>
    <row r="1869" spans="1:9" ht="15" customHeight="1" x14ac:dyDescent="0.3">
      <c r="A1869" s="21" t="s">
        <v>2207</v>
      </c>
      <c r="B1869" s="21">
        <v>2021</v>
      </c>
      <c r="C1869" s="21">
        <v>9</v>
      </c>
      <c r="D1869" s="21">
        <v>2</v>
      </c>
      <c r="E1869" s="21" t="s">
        <v>310</v>
      </c>
      <c r="F1869" s="21">
        <v>0</v>
      </c>
      <c r="G1869" s="21">
        <v>141.21</v>
      </c>
      <c r="H1869" s="21">
        <v>4777.87</v>
      </c>
      <c r="I1869" s="21">
        <v>338.35</v>
      </c>
    </row>
    <row r="1870" spans="1:9" ht="15" customHeight="1" x14ac:dyDescent="0.3">
      <c r="A1870" s="21" t="s">
        <v>2208</v>
      </c>
      <c r="B1870" s="21">
        <v>2021</v>
      </c>
      <c r="C1870" s="21">
        <v>9</v>
      </c>
      <c r="D1870" s="21">
        <v>3</v>
      </c>
      <c r="E1870" s="21" t="s">
        <v>313</v>
      </c>
      <c r="F1870" s="21">
        <v>0</v>
      </c>
      <c r="G1870" s="21">
        <v>132.41999999999999</v>
      </c>
      <c r="H1870" s="21">
        <v>4480.6899999999996</v>
      </c>
      <c r="I1870" s="21">
        <v>338.37</v>
      </c>
    </row>
    <row r="1871" spans="1:9" ht="15" customHeight="1" x14ac:dyDescent="0.3">
      <c r="A1871" s="21" t="s">
        <v>2209</v>
      </c>
      <c r="B1871" s="21">
        <v>2021</v>
      </c>
      <c r="C1871" s="21">
        <v>9</v>
      </c>
      <c r="D1871" s="21">
        <v>4</v>
      </c>
      <c r="E1871" s="21" t="s">
        <v>316</v>
      </c>
      <c r="F1871" s="21">
        <v>1</v>
      </c>
      <c r="G1871" s="21">
        <v>102.98</v>
      </c>
      <c r="H1871" s="21">
        <v>3484.55</v>
      </c>
      <c r="I1871" s="21">
        <v>338.37</v>
      </c>
    </row>
    <row r="1872" spans="1:9" ht="15" customHeight="1" x14ac:dyDescent="0.3">
      <c r="A1872" s="21" t="s">
        <v>2210</v>
      </c>
      <c r="B1872" s="21">
        <v>2021</v>
      </c>
      <c r="C1872" s="21">
        <v>9</v>
      </c>
      <c r="D1872" s="21">
        <v>5</v>
      </c>
      <c r="E1872" s="21" t="s">
        <v>319</v>
      </c>
      <c r="F1872" s="21">
        <v>1</v>
      </c>
      <c r="G1872" s="21">
        <v>106.43</v>
      </c>
      <c r="H1872" s="21">
        <v>3601.34</v>
      </c>
      <c r="I1872" s="21">
        <v>338.38</v>
      </c>
    </row>
    <row r="1873" spans="1:9" ht="15" customHeight="1" x14ac:dyDescent="0.3">
      <c r="A1873" s="21" t="s">
        <v>2211</v>
      </c>
      <c r="B1873" s="21">
        <v>2021</v>
      </c>
      <c r="C1873" s="21">
        <v>9</v>
      </c>
      <c r="D1873" s="21">
        <v>6</v>
      </c>
      <c r="E1873" s="21" t="s">
        <v>299</v>
      </c>
      <c r="F1873" s="21">
        <v>0</v>
      </c>
      <c r="G1873" s="21">
        <v>130.72</v>
      </c>
      <c r="H1873" s="21">
        <v>4423</v>
      </c>
      <c r="I1873" s="21">
        <v>338.36</v>
      </c>
    </row>
    <row r="1874" spans="1:9" ht="15" customHeight="1" x14ac:dyDescent="0.3">
      <c r="A1874" s="21" t="s">
        <v>2212</v>
      </c>
      <c r="B1874" s="21">
        <v>2021</v>
      </c>
      <c r="C1874" s="21">
        <v>9</v>
      </c>
      <c r="D1874" s="21">
        <v>7</v>
      </c>
      <c r="E1874" s="21" t="s">
        <v>303</v>
      </c>
      <c r="F1874" s="21">
        <v>0</v>
      </c>
      <c r="G1874" s="21">
        <v>115.35</v>
      </c>
      <c r="H1874" s="21">
        <v>3902.93</v>
      </c>
      <c r="I1874" s="21">
        <v>338.36</v>
      </c>
    </row>
    <row r="1875" spans="1:9" ht="15" customHeight="1" x14ac:dyDescent="0.3">
      <c r="A1875" s="21" t="s">
        <v>2213</v>
      </c>
      <c r="B1875" s="21">
        <v>2021</v>
      </c>
      <c r="C1875" s="21">
        <v>9</v>
      </c>
      <c r="D1875" s="21">
        <v>8</v>
      </c>
      <c r="E1875" s="21" t="s">
        <v>307</v>
      </c>
      <c r="F1875" s="21">
        <v>0</v>
      </c>
      <c r="G1875" s="21">
        <v>126.5</v>
      </c>
      <c r="H1875" s="21">
        <v>4280.18</v>
      </c>
      <c r="I1875" s="21">
        <v>338.35</v>
      </c>
    </row>
    <row r="1876" spans="1:9" ht="15" customHeight="1" x14ac:dyDescent="0.3">
      <c r="A1876" s="21" t="s">
        <v>2214</v>
      </c>
      <c r="B1876" s="21">
        <v>2021</v>
      </c>
      <c r="C1876" s="21">
        <v>9</v>
      </c>
      <c r="D1876" s="21">
        <v>9</v>
      </c>
      <c r="E1876" s="21" t="s">
        <v>310</v>
      </c>
      <c r="F1876" s="21">
        <v>0</v>
      </c>
      <c r="G1876" s="21">
        <v>115.66</v>
      </c>
      <c r="H1876" s="21">
        <v>3913.57</v>
      </c>
      <c r="I1876" s="21">
        <v>338.37</v>
      </c>
    </row>
    <row r="1877" spans="1:9" ht="15" customHeight="1" x14ac:dyDescent="0.3">
      <c r="A1877" s="21" t="s">
        <v>2215</v>
      </c>
      <c r="B1877" s="21">
        <v>2021</v>
      </c>
      <c r="C1877" s="21">
        <v>9</v>
      </c>
      <c r="D1877" s="21">
        <v>10</v>
      </c>
      <c r="E1877" s="21" t="s">
        <v>313</v>
      </c>
      <c r="F1877" s="21">
        <v>0</v>
      </c>
      <c r="G1877" s="21">
        <v>135.24</v>
      </c>
      <c r="H1877" s="21">
        <v>4576.1099999999997</v>
      </c>
      <c r="I1877" s="21">
        <v>338.37</v>
      </c>
    </row>
    <row r="1878" spans="1:9" ht="15" customHeight="1" x14ac:dyDescent="0.3">
      <c r="A1878" s="21" t="s">
        <v>2216</v>
      </c>
      <c r="B1878" s="21">
        <v>2021</v>
      </c>
      <c r="C1878" s="21">
        <v>9</v>
      </c>
      <c r="D1878" s="21">
        <v>11</v>
      </c>
      <c r="E1878" s="21" t="s">
        <v>316</v>
      </c>
      <c r="F1878" s="21">
        <v>1</v>
      </c>
      <c r="G1878" s="21">
        <v>107.59</v>
      </c>
      <c r="H1878" s="21">
        <v>3640.38</v>
      </c>
      <c r="I1878" s="21">
        <v>338.36</v>
      </c>
    </row>
    <row r="1879" spans="1:9" ht="15" customHeight="1" x14ac:dyDescent="0.3">
      <c r="A1879" s="21" t="s">
        <v>2217</v>
      </c>
      <c r="B1879" s="21">
        <v>2021</v>
      </c>
      <c r="C1879" s="21">
        <v>9</v>
      </c>
      <c r="D1879" s="21">
        <v>12</v>
      </c>
      <c r="E1879" s="21" t="s">
        <v>319</v>
      </c>
      <c r="F1879" s="21">
        <v>1</v>
      </c>
      <c r="G1879" s="21">
        <v>99.49</v>
      </c>
      <c r="H1879" s="21">
        <v>3366.34</v>
      </c>
      <c r="I1879" s="21">
        <v>338.36</v>
      </c>
    </row>
    <row r="1880" spans="1:9" ht="15" customHeight="1" x14ac:dyDescent="0.3">
      <c r="A1880" s="21" t="s">
        <v>2218</v>
      </c>
      <c r="B1880" s="21">
        <v>2021</v>
      </c>
      <c r="C1880" s="21">
        <v>9</v>
      </c>
      <c r="D1880" s="21">
        <v>13</v>
      </c>
      <c r="E1880" s="21" t="s">
        <v>299</v>
      </c>
      <c r="F1880" s="21">
        <v>0</v>
      </c>
      <c r="G1880" s="21">
        <v>126.32</v>
      </c>
      <c r="H1880" s="21">
        <v>4274.1899999999996</v>
      </c>
      <c r="I1880" s="21">
        <v>338.36</v>
      </c>
    </row>
    <row r="1881" spans="1:9" ht="15" customHeight="1" x14ac:dyDescent="0.3">
      <c r="A1881" s="21" t="s">
        <v>2219</v>
      </c>
      <c r="B1881" s="21">
        <v>2021</v>
      </c>
      <c r="C1881" s="21">
        <v>9</v>
      </c>
      <c r="D1881" s="21">
        <v>14</v>
      </c>
      <c r="E1881" s="21" t="s">
        <v>303</v>
      </c>
      <c r="F1881" s="21">
        <v>0</v>
      </c>
      <c r="G1881" s="21">
        <v>117.7</v>
      </c>
      <c r="H1881" s="21">
        <v>3982.37</v>
      </c>
      <c r="I1881" s="21">
        <v>338.35</v>
      </c>
    </row>
    <row r="1882" spans="1:9" ht="15" customHeight="1" x14ac:dyDescent="0.3">
      <c r="A1882" s="21" t="s">
        <v>2220</v>
      </c>
      <c r="B1882" s="21">
        <v>2021</v>
      </c>
      <c r="C1882" s="21">
        <v>9</v>
      </c>
      <c r="D1882" s="21">
        <v>15</v>
      </c>
      <c r="E1882" s="21" t="s">
        <v>307</v>
      </c>
      <c r="F1882" s="21">
        <v>0</v>
      </c>
      <c r="G1882" s="21">
        <v>120.95</v>
      </c>
      <c r="H1882" s="21">
        <v>4092.44</v>
      </c>
      <c r="I1882" s="21">
        <v>338.36</v>
      </c>
    </row>
    <row r="1883" spans="1:9" ht="15" customHeight="1" x14ac:dyDescent="0.3">
      <c r="A1883" s="21" t="s">
        <v>2221</v>
      </c>
      <c r="B1883" s="21">
        <v>2021</v>
      </c>
      <c r="C1883" s="21">
        <v>9</v>
      </c>
      <c r="D1883" s="21">
        <v>16</v>
      </c>
      <c r="E1883" s="21" t="s">
        <v>310</v>
      </c>
      <c r="F1883" s="21">
        <v>0</v>
      </c>
      <c r="G1883" s="21">
        <v>120.61</v>
      </c>
      <c r="H1883" s="21">
        <v>4080.94</v>
      </c>
      <c r="I1883" s="21">
        <v>338.36</v>
      </c>
    </row>
    <row r="1884" spans="1:9" ht="15" customHeight="1" x14ac:dyDescent="0.3">
      <c r="A1884" s="21" t="s">
        <v>2222</v>
      </c>
      <c r="B1884" s="21">
        <v>2021</v>
      </c>
      <c r="C1884" s="21">
        <v>9</v>
      </c>
      <c r="D1884" s="21">
        <v>17</v>
      </c>
      <c r="E1884" s="21" t="s">
        <v>313</v>
      </c>
      <c r="F1884" s="21">
        <v>0</v>
      </c>
      <c r="G1884" s="21">
        <v>134.32</v>
      </c>
      <c r="H1884" s="21">
        <v>4544.8599999999997</v>
      </c>
      <c r="I1884" s="21">
        <v>338.36</v>
      </c>
    </row>
    <row r="1885" spans="1:9" ht="15" customHeight="1" x14ac:dyDescent="0.3">
      <c r="A1885" s="21" t="s">
        <v>2223</v>
      </c>
      <c r="B1885" s="21">
        <v>2021</v>
      </c>
      <c r="C1885" s="21">
        <v>9</v>
      </c>
      <c r="D1885" s="21">
        <v>18</v>
      </c>
      <c r="E1885" s="21" t="s">
        <v>316</v>
      </c>
      <c r="F1885" s="21">
        <v>1</v>
      </c>
      <c r="G1885" s="21">
        <v>108.26</v>
      </c>
      <c r="H1885" s="21">
        <v>3663.06</v>
      </c>
      <c r="I1885" s="21">
        <v>338.36</v>
      </c>
    </row>
    <row r="1886" spans="1:9" ht="15" customHeight="1" x14ac:dyDescent="0.3">
      <c r="A1886" s="21" t="s">
        <v>2224</v>
      </c>
      <c r="B1886" s="21">
        <v>2021</v>
      </c>
      <c r="C1886" s="21">
        <v>9</v>
      </c>
      <c r="D1886" s="21">
        <v>19</v>
      </c>
      <c r="E1886" s="21" t="s">
        <v>319</v>
      </c>
      <c r="F1886" s="21">
        <v>1</v>
      </c>
      <c r="G1886" s="21">
        <v>108.57</v>
      </c>
      <c r="H1886" s="21">
        <v>3673.61</v>
      </c>
      <c r="I1886" s="21">
        <v>338.36</v>
      </c>
    </row>
    <row r="1887" spans="1:9" ht="15" customHeight="1" x14ac:dyDescent="0.3">
      <c r="A1887" s="21" t="s">
        <v>2225</v>
      </c>
      <c r="B1887" s="21">
        <v>2021</v>
      </c>
      <c r="C1887" s="21">
        <v>9</v>
      </c>
      <c r="D1887" s="21">
        <v>20</v>
      </c>
      <c r="E1887" s="21" t="s">
        <v>299</v>
      </c>
      <c r="F1887" s="21">
        <v>0</v>
      </c>
      <c r="G1887" s="21">
        <v>125.77</v>
      </c>
      <c r="H1887" s="21">
        <v>4255.4799999999996</v>
      </c>
      <c r="I1887" s="21">
        <v>338.35</v>
      </c>
    </row>
    <row r="1888" spans="1:9" ht="15" customHeight="1" x14ac:dyDescent="0.3">
      <c r="A1888" s="21" t="s">
        <v>2226</v>
      </c>
      <c r="B1888" s="21">
        <v>2021</v>
      </c>
      <c r="C1888" s="21">
        <v>9</v>
      </c>
      <c r="D1888" s="21">
        <v>21</v>
      </c>
      <c r="E1888" s="21" t="s">
        <v>303</v>
      </c>
      <c r="F1888" s="21">
        <v>0</v>
      </c>
      <c r="G1888" s="21">
        <v>120.97</v>
      </c>
      <c r="H1888" s="21">
        <v>4093.15</v>
      </c>
      <c r="I1888" s="21">
        <v>338.36</v>
      </c>
    </row>
    <row r="1889" spans="1:9" ht="15" customHeight="1" x14ac:dyDescent="0.3">
      <c r="A1889" s="21" t="s">
        <v>2227</v>
      </c>
      <c r="B1889" s="21">
        <v>2021</v>
      </c>
      <c r="C1889" s="21">
        <v>9</v>
      </c>
      <c r="D1889" s="21">
        <v>22</v>
      </c>
      <c r="E1889" s="21" t="s">
        <v>307</v>
      </c>
      <c r="F1889" s="21">
        <v>0</v>
      </c>
      <c r="G1889" s="21">
        <v>115.59</v>
      </c>
      <c r="H1889" s="21">
        <v>3910.98</v>
      </c>
      <c r="I1889" s="21">
        <v>338.35</v>
      </c>
    </row>
    <row r="1890" spans="1:9" ht="15" customHeight="1" x14ac:dyDescent="0.3">
      <c r="A1890" s="21" t="s">
        <v>2228</v>
      </c>
      <c r="B1890" s="21">
        <v>2021</v>
      </c>
      <c r="C1890" s="21">
        <v>9</v>
      </c>
      <c r="D1890" s="21">
        <v>23</v>
      </c>
      <c r="E1890" s="21" t="s">
        <v>310</v>
      </c>
      <c r="F1890" s="21">
        <v>0</v>
      </c>
      <c r="G1890" s="21">
        <v>118.79</v>
      </c>
      <c r="H1890" s="21">
        <v>4019.42</v>
      </c>
      <c r="I1890" s="21">
        <v>338.36</v>
      </c>
    </row>
    <row r="1891" spans="1:9" ht="15" customHeight="1" x14ac:dyDescent="0.3">
      <c r="A1891" s="21" t="s">
        <v>2229</v>
      </c>
      <c r="B1891" s="21">
        <v>2021</v>
      </c>
      <c r="C1891" s="21">
        <v>9</v>
      </c>
      <c r="D1891" s="21">
        <v>24</v>
      </c>
      <c r="E1891" s="21" t="s">
        <v>313</v>
      </c>
      <c r="F1891" s="21">
        <v>0</v>
      </c>
      <c r="G1891" s="21">
        <v>135</v>
      </c>
      <c r="H1891" s="21">
        <v>4567.75</v>
      </c>
      <c r="I1891" s="21">
        <v>338.35</v>
      </c>
    </row>
    <row r="1892" spans="1:9" ht="15" customHeight="1" x14ac:dyDescent="0.3">
      <c r="A1892" s="21" t="s">
        <v>2230</v>
      </c>
      <c r="B1892" s="21">
        <v>2021</v>
      </c>
      <c r="C1892" s="21">
        <v>9</v>
      </c>
      <c r="D1892" s="21">
        <v>25</v>
      </c>
      <c r="E1892" s="21" t="s">
        <v>316</v>
      </c>
      <c r="F1892" s="21">
        <v>1</v>
      </c>
      <c r="G1892" s="21">
        <v>109.37</v>
      </c>
      <c r="H1892" s="21">
        <v>3700.79</v>
      </c>
      <c r="I1892" s="21">
        <v>338.37</v>
      </c>
    </row>
    <row r="1893" spans="1:9" ht="15" customHeight="1" x14ac:dyDescent="0.3">
      <c r="A1893" s="21" t="s">
        <v>2231</v>
      </c>
      <c r="B1893" s="21">
        <v>2021</v>
      </c>
      <c r="C1893" s="21">
        <v>9</v>
      </c>
      <c r="D1893" s="21">
        <v>26</v>
      </c>
      <c r="E1893" s="21" t="s">
        <v>319</v>
      </c>
      <c r="F1893" s="21">
        <v>1</v>
      </c>
      <c r="G1893" s="21">
        <v>98.97</v>
      </c>
      <c r="H1893" s="21">
        <v>3348.62</v>
      </c>
      <c r="I1893" s="21">
        <v>338.35</v>
      </c>
    </row>
    <row r="1894" spans="1:9" ht="15" customHeight="1" x14ac:dyDescent="0.3">
      <c r="A1894" s="21" t="s">
        <v>2232</v>
      </c>
      <c r="B1894" s="21">
        <v>2021</v>
      </c>
      <c r="C1894" s="21">
        <v>9</v>
      </c>
      <c r="D1894" s="21">
        <v>27</v>
      </c>
      <c r="E1894" s="21" t="s">
        <v>299</v>
      </c>
      <c r="F1894" s="21">
        <v>0</v>
      </c>
      <c r="G1894" s="21">
        <v>125.66</v>
      </c>
      <c r="H1894" s="21">
        <v>4251.74</v>
      </c>
      <c r="I1894" s="21">
        <v>338.35</v>
      </c>
    </row>
    <row r="1895" spans="1:9" ht="15" customHeight="1" x14ac:dyDescent="0.3">
      <c r="A1895" s="21" t="s">
        <v>2233</v>
      </c>
      <c r="B1895" s="21">
        <v>2021</v>
      </c>
      <c r="C1895" s="21">
        <v>9</v>
      </c>
      <c r="D1895" s="21">
        <v>28</v>
      </c>
      <c r="E1895" s="21" t="s">
        <v>303</v>
      </c>
      <c r="F1895" s="21">
        <v>0</v>
      </c>
      <c r="G1895" s="21">
        <v>121.64</v>
      </c>
      <c r="H1895" s="21">
        <v>4115.74</v>
      </c>
      <c r="I1895" s="21">
        <v>338.35</v>
      </c>
    </row>
    <row r="1896" spans="1:9" ht="15" customHeight="1" x14ac:dyDescent="0.3">
      <c r="A1896" s="21" t="s">
        <v>2234</v>
      </c>
      <c r="B1896" s="21">
        <v>2021</v>
      </c>
      <c r="C1896" s="21">
        <v>9</v>
      </c>
      <c r="D1896" s="21">
        <v>29</v>
      </c>
      <c r="E1896" s="21" t="s">
        <v>307</v>
      </c>
      <c r="F1896" s="21">
        <v>0</v>
      </c>
      <c r="G1896" s="21">
        <v>141.16999999999999</v>
      </c>
      <c r="H1896" s="21">
        <v>4776.66</v>
      </c>
      <c r="I1896" s="21">
        <v>338.36</v>
      </c>
    </row>
    <row r="1897" spans="1:9" ht="15" customHeight="1" x14ac:dyDescent="0.3">
      <c r="A1897" s="21" t="s">
        <v>2235</v>
      </c>
      <c r="B1897" s="21">
        <v>2021</v>
      </c>
      <c r="C1897" s="21">
        <v>9</v>
      </c>
      <c r="D1897" s="21">
        <v>30</v>
      </c>
      <c r="E1897" s="21" t="s">
        <v>310</v>
      </c>
      <c r="F1897" s="21">
        <v>0</v>
      </c>
      <c r="G1897" s="21">
        <v>136.59</v>
      </c>
      <c r="H1897" s="21">
        <v>4621.8</v>
      </c>
      <c r="I1897" s="21">
        <v>338.37</v>
      </c>
    </row>
    <row r="1898" spans="1:9" ht="15" customHeight="1" x14ac:dyDescent="0.3">
      <c r="A1898" s="21" t="s">
        <v>160</v>
      </c>
      <c r="B1898" s="21">
        <v>2021</v>
      </c>
      <c r="C1898" s="21">
        <v>10</v>
      </c>
      <c r="D1898" s="21">
        <v>1</v>
      </c>
      <c r="E1898" s="21" t="s">
        <v>313</v>
      </c>
      <c r="F1898" s="21">
        <v>0</v>
      </c>
      <c r="G1898" s="21">
        <v>171</v>
      </c>
      <c r="H1898" s="21">
        <v>5804.82</v>
      </c>
      <c r="I1898" s="21">
        <v>339.46</v>
      </c>
    </row>
    <row r="1899" spans="1:9" ht="15" customHeight="1" x14ac:dyDescent="0.3">
      <c r="A1899" s="21" t="s">
        <v>2236</v>
      </c>
      <c r="B1899" s="21">
        <v>2021</v>
      </c>
      <c r="C1899" s="21">
        <v>10</v>
      </c>
      <c r="D1899" s="21">
        <v>2</v>
      </c>
      <c r="E1899" s="21" t="s">
        <v>316</v>
      </c>
      <c r="F1899" s="21">
        <v>1</v>
      </c>
      <c r="G1899" s="21">
        <v>130.79</v>
      </c>
      <c r="H1899" s="21">
        <v>4439.8999999999996</v>
      </c>
      <c r="I1899" s="21">
        <v>339.47</v>
      </c>
    </row>
    <row r="1900" spans="1:9" ht="15" customHeight="1" x14ac:dyDescent="0.3">
      <c r="A1900" s="21" t="s">
        <v>2237</v>
      </c>
      <c r="B1900" s="21">
        <v>2021</v>
      </c>
      <c r="C1900" s="21">
        <v>10</v>
      </c>
      <c r="D1900" s="21">
        <v>3</v>
      </c>
      <c r="E1900" s="21" t="s">
        <v>319</v>
      </c>
      <c r="F1900" s="21">
        <v>1</v>
      </c>
      <c r="G1900" s="21">
        <v>115.61</v>
      </c>
      <c r="H1900" s="21">
        <v>3924.45</v>
      </c>
      <c r="I1900" s="21">
        <v>339.46</v>
      </c>
    </row>
    <row r="1901" spans="1:9" ht="15" customHeight="1" x14ac:dyDescent="0.3">
      <c r="A1901" s="21" t="s">
        <v>2238</v>
      </c>
      <c r="B1901" s="21">
        <v>2021</v>
      </c>
      <c r="C1901" s="21">
        <v>10</v>
      </c>
      <c r="D1901" s="21">
        <v>4</v>
      </c>
      <c r="E1901" s="21" t="s">
        <v>299</v>
      </c>
      <c r="F1901" s="21">
        <v>0</v>
      </c>
      <c r="G1901" s="21">
        <v>145.11000000000001</v>
      </c>
      <c r="H1901" s="21">
        <v>4926.03</v>
      </c>
      <c r="I1901" s="21">
        <v>339.47</v>
      </c>
    </row>
    <row r="1902" spans="1:9" ht="15" customHeight="1" x14ac:dyDescent="0.3">
      <c r="A1902" s="21" t="s">
        <v>2239</v>
      </c>
      <c r="B1902" s="21">
        <v>2021</v>
      </c>
      <c r="C1902" s="21">
        <v>10</v>
      </c>
      <c r="D1902" s="21">
        <v>5</v>
      </c>
      <c r="E1902" s="21" t="s">
        <v>303</v>
      </c>
      <c r="F1902" s="21">
        <v>0</v>
      </c>
      <c r="G1902" s="21">
        <v>136.11000000000001</v>
      </c>
      <c r="H1902" s="21">
        <v>4620.24</v>
      </c>
      <c r="I1902" s="21">
        <v>339.45</v>
      </c>
    </row>
    <row r="1903" spans="1:9" ht="15" customHeight="1" x14ac:dyDescent="0.3">
      <c r="A1903" s="21" t="s">
        <v>2240</v>
      </c>
      <c r="B1903" s="21">
        <v>2021</v>
      </c>
      <c r="C1903" s="21">
        <v>10</v>
      </c>
      <c r="D1903" s="21">
        <v>6</v>
      </c>
      <c r="E1903" s="21" t="s">
        <v>307</v>
      </c>
      <c r="F1903" s="21">
        <v>0</v>
      </c>
      <c r="G1903" s="21">
        <v>134.30000000000001</v>
      </c>
      <c r="H1903" s="21">
        <v>4558.88</v>
      </c>
      <c r="I1903" s="21">
        <v>339.45</v>
      </c>
    </row>
    <row r="1904" spans="1:9" ht="15" customHeight="1" x14ac:dyDescent="0.3">
      <c r="A1904" s="21" t="s">
        <v>2241</v>
      </c>
      <c r="B1904" s="21">
        <v>2021</v>
      </c>
      <c r="C1904" s="21">
        <v>10</v>
      </c>
      <c r="D1904" s="21">
        <v>7</v>
      </c>
      <c r="E1904" s="21" t="s">
        <v>310</v>
      </c>
      <c r="F1904" s="21">
        <v>0</v>
      </c>
      <c r="G1904" s="21">
        <v>135.63</v>
      </c>
      <c r="H1904" s="21">
        <v>4604.17</v>
      </c>
      <c r="I1904" s="21">
        <v>339.47</v>
      </c>
    </row>
    <row r="1905" spans="1:9" ht="15" customHeight="1" x14ac:dyDescent="0.3">
      <c r="A1905" s="21" t="s">
        <v>2242</v>
      </c>
      <c r="B1905" s="21">
        <v>2021</v>
      </c>
      <c r="C1905" s="21">
        <v>10</v>
      </c>
      <c r="D1905" s="21">
        <v>8</v>
      </c>
      <c r="E1905" s="21" t="s">
        <v>313</v>
      </c>
      <c r="F1905" s="21">
        <v>0</v>
      </c>
      <c r="G1905" s="21">
        <v>146.61000000000001</v>
      </c>
      <c r="H1905" s="21">
        <v>4976.66</v>
      </c>
      <c r="I1905" s="21">
        <v>339.45</v>
      </c>
    </row>
    <row r="1906" spans="1:9" ht="15" customHeight="1" x14ac:dyDescent="0.3">
      <c r="A1906" s="21" t="s">
        <v>2243</v>
      </c>
      <c r="B1906" s="21">
        <v>2021</v>
      </c>
      <c r="C1906" s="21">
        <v>10</v>
      </c>
      <c r="D1906" s="21">
        <v>9</v>
      </c>
      <c r="E1906" s="21" t="s">
        <v>316</v>
      </c>
      <c r="F1906" s="21">
        <v>1</v>
      </c>
      <c r="G1906" s="21">
        <v>114.16</v>
      </c>
      <c r="H1906" s="21">
        <v>3875.18</v>
      </c>
      <c r="I1906" s="21">
        <v>339.45</v>
      </c>
    </row>
    <row r="1907" spans="1:9" ht="15" customHeight="1" x14ac:dyDescent="0.3">
      <c r="A1907" s="21" t="s">
        <v>2244</v>
      </c>
      <c r="B1907" s="21">
        <v>2021</v>
      </c>
      <c r="C1907" s="21">
        <v>10</v>
      </c>
      <c r="D1907" s="21">
        <v>10</v>
      </c>
      <c r="E1907" s="21" t="s">
        <v>319</v>
      </c>
      <c r="F1907" s="21">
        <v>1</v>
      </c>
      <c r="G1907" s="21">
        <v>114.61</v>
      </c>
      <c r="H1907" s="21">
        <v>3890.59</v>
      </c>
      <c r="I1907" s="21">
        <v>339.46</v>
      </c>
    </row>
    <row r="1908" spans="1:9" ht="15" customHeight="1" x14ac:dyDescent="0.3">
      <c r="A1908" s="21" t="s">
        <v>2245</v>
      </c>
      <c r="B1908" s="21">
        <v>2021</v>
      </c>
      <c r="C1908" s="21">
        <v>10</v>
      </c>
      <c r="D1908" s="21">
        <v>11</v>
      </c>
      <c r="E1908" s="21" t="s">
        <v>299</v>
      </c>
      <c r="F1908" s="21">
        <v>0</v>
      </c>
      <c r="G1908" s="21">
        <v>149.41</v>
      </c>
      <c r="H1908" s="21">
        <v>5071.8599999999997</v>
      </c>
      <c r="I1908" s="21">
        <v>339.46</v>
      </c>
    </row>
    <row r="1909" spans="1:9" ht="15" customHeight="1" x14ac:dyDescent="0.3">
      <c r="A1909" s="21" t="s">
        <v>2246</v>
      </c>
      <c r="B1909" s="21">
        <v>2021</v>
      </c>
      <c r="C1909" s="21">
        <v>10</v>
      </c>
      <c r="D1909" s="21">
        <v>12</v>
      </c>
      <c r="E1909" s="21" t="s">
        <v>303</v>
      </c>
      <c r="F1909" s="21">
        <v>0</v>
      </c>
      <c r="G1909" s="21">
        <v>138.37</v>
      </c>
      <c r="H1909" s="21">
        <v>4697.09</v>
      </c>
      <c r="I1909" s="21">
        <v>339.46</v>
      </c>
    </row>
    <row r="1910" spans="1:9" ht="15" customHeight="1" x14ac:dyDescent="0.3">
      <c r="A1910" s="21" t="s">
        <v>2247</v>
      </c>
      <c r="B1910" s="21">
        <v>2021</v>
      </c>
      <c r="C1910" s="21">
        <v>10</v>
      </c>
      <c r="D1910" s="21">
        <v>13</v>
      </c>
      <c r="E1910" s="21" t="s">
        <v>307</v>
      </c>
      <c r="F1910" s="21">
        <v>0</v>
      </c>
      <c r="G1910" s="21">
        <v>134.87</v>
      </c>
      <c r="H1910" s="21">
        <v>4578.41</v>
      </c>
      <c r="I1910" s="21">
        <v>339.47</v>
      </c>
    </row>
    <row r="1911" spans="1:9" ht="15" customHeight="1" x14ac:dyDescent="0.3">
      <c r="A1911" s="21" t="s">
        <v>2248</v>
      </c>
      <c r="B1911" s="21">
        <v>2021</v>
      </c>
      <c r="C1911" s="21">
        <v>10</v>
      </c>
      <c r="D1911" s="21">
        <v>14</v>
      </c>
      <c r="E1911" s="21" t="s">
        <v>310</v>
      </c>
      <c r="F1911" s="21">
        <v>0</v>
      </c>
      <c r="G1911" s="21">
        <v>138.93</v>
      </c>
      <c r="H1911" s="21">
        <v>4715.9399999999996</v>
      </c>
      <c r="I1911" s="21">
        <v>339.45</v>
      </c>
    </row>
    <row r="1912" spans="1:9" ht="15" customHeight="1" x14ac:dyDescent="0.3">
      <c r="A1912" s="21" t="s">
        <v>2249</v>
      </c>
      <c r="B1912" s="21">
        <v>2021</v>
      </c>
      <c r="C1912" s="21">
        <v>10</v>
      </c>
      <c r="D1912" s="21">
        <v>15</v>
      </c>
      <c r="E1912" s="21" t="s">
        <v>313</v>
      </c>
      <c r="F1912" s="21">
        <v>0</v>
      </c>
      <c r="G1912" s="21">
        <v>160.16</v>
      </c>
      <c r="H1912" s="21">
        <v>5436.91</v>
      </c>
      <c r="I1912" s="21">
        <v>339.47</v>
      </c>
    </row>
    <row r="1913" spans="1:9" ht="15" customHeight="1" x14ac:dyDescent="0.3">
      <c r="A1913" s="21" t="s">
        <v>2250</v>
      </c>
      <c r="B1913" s="21">
        <v>2021</v>
      </c>
      <c r="C1913" s="21">
        <v>10</v>
      </c>
      <c r="D1913" s="21">
        <v>16</v>
      </c>
      <c r="E1913" s="21" t="s">
        <v>316</v>
      </c>
      <c r="F1913" s="21">
        <v>1</v>
      </c>
      <c r="G1913" s="21">
        <v>132.5</v>
      </c>
      <c r="H1913" s="21">
        <v>4497.93</v>
      </c>
      <c r="I1913" s="21">
        <v>339.47</v>
      </c>
    </row>
    <row r="1914" spans="1:9" ht="15" customHeight="1" x14ac:dyDescent="0.3">
      <c r="A1914" s="21" t="s">
        <v>2251</v>
      </c>
      <c r="B1914" s="21">
        <v>2021</v>
      </c>
      <c r="C1914" s="21">
        <v>10</v>
      </c>
      <c r="D1914" s="21">
        <v>17</v>
      </c>
      <c r="E1914" s="21" t="s">
        <v>319</v>
      </c>
      <c r="F1914" s="21">
        <v>1</v>
      </c>
      <c r="G1914" s="21">
        <v>128.9</v>
      </c>
      <c r="H1914" s="21">
        <v>4375.4399999999996</v>
      </c>
      <c r="I1914" s="21">
        <v>339.44</v>
      </c>
    </row>
    <row r="1915" spans="1:9" ht="15" customHeight="1" x14ac:dyDescent="0.3">
      <c r="A1915" s="21" t="s">
        <v>2252</v>
      </c>
      <c r="B1915" s="21">
        <v>2021</v>
      </c>
      <c r="C1915" s="21">
        <v>10</v>
      </c>
      <c r="D1915" s="21">
        <v>18</v>
      </c>
      <c r="E1915" s="21" t="s">
        <v>299</v>
      </c>
      <c r="F1915" s="21">
        <v>0</v>
      </c>
      <c r="G1915" s="21">
        <v>156.69</v>
      </c>
      <c r="H1915" s="21">
        <v>5319</v>
      </c>
      <c r="I1915" s="21">
        <v>339.46</v>
      </c>
    </row>
    <row r="1916" spans="1:9" ht="15" customHeight="1" x14ac:dyDescent="0.3">
      <c r="A1916" s="21" t="s">
        <v>2253</v>
      </c>
      <c r="B1916" s="21">
        <v>2021</v>
      </c>
      <c r="C1916" s="21">
        <v>10</v>
      </c>
      <c r="D1916" s="21">
        <v>19</v>
      </c>
      <c r="E1916" s="21" t="s">
        <v>303</v>
      </c>
      <c r="F1916" s="21">
        <v>0</v>
      </c>
      <c r="G1916" s="21">
        <v>151.69999999999999</v>
      </c>
      <c r="H1916" s="21">
        <v>5149.54</v>
      </c>
      <c r="I1916" s="21">
        <v>339.46</v>
      </c>
    </row>
    <row r="1917" spans="1:9" ht="15" customHeight="1" x14ac:dyDescent="0.3">
      <c r="A1917" s="21" t="s">
        <v>2254</v>
      </c>
      <c r="B1917" s="21">
        <v>2021</v>
      </c>
      <c r="C1917" s="21">
        <v>10</v>
      </c>
      <c r="D1917" s="21">
        <v>20</v>
      </c>
      <c r="E1917" s="21" t="s">
        <v>307</v>
      </c>
      <c r="F1917" s="21">
        <v>0</v>
      </c>
      <c r="G1917" s="21">
        <v>142.63</v>
      </c>
      <c r="H1917" s="21">
        <v>4841.83</v>
      </c>
      <c r="I1917" s="21">
        <v>339.47</v>
      </c>
    </row>
    <row r="1918" spans="1:9" ht="15" customHeight="1" x14ac:dyDescent="0.3">
      <c r="A1918" s="21" t="s">
        <v>2255</v>
      </c>
      <c r="B1918" s="21">
        <v>2021</v>
      </c>
      <c r="C1918" s="21">
        <v>10</v>
      </c>
      <c r="D1918" s="21">
        <v>21</v>
      </c>
      <c r="E1918" s="21" t="s">
        <v>310</v>
      </c>
      <c r="F1918" s="21">
        <v>0</v>
      </c>
      <c r="G1918" s="21">
        <v>144.63</v>
      </c>
      <c r="H1918" s="21">
        <v>4909.53</v>
      </c>
      <c r="I1918" s="21">
        <v>339.45</v>
      </c>
    </row>
    <row r="1919" spans="1:9" ht="15" customHeight="1" x14ac:dyDescent="0.3">
      <c r="A1919" s="21" t="s">
        <v>2256</v>
      </c>
      <c r="B1919" s="21">
        <v>2021</v>
      </c>
      <c r="C1919" s="21">
        <v>10</v>
      </c>
      <c r="D1919" s="21">
        <v>22</v>
      </c>
      <c r="E1919" s="21" t="s">
        <v>313</v>
      </c>
      <c r="F1919" s="21">
        <v>0</v>
      </c>
      <c r="G1919" s="21">
        <v>156.30000000000001</v>
      </c>
      <c r="H1919" s="21">
        <v>5305.79</v>
      </c>
      <c r="I1919" s="21">
        <v>339.46</v>
      </c>
    </row>
    <row r="1920" spans="1:9" ht="15" customHeight="1" x14ac:dyDescent="0.3">
      <c r="A1920" s="21" t="s">
        <v>2257</v>
      </c>
      <c r="B1920" s="21">
        <v>2021</v>
      </c>
      <c r="C1920" s="21">
        <v>10</v>
      </c>
      <c r="D1920" s="21">
        <v>23</v>
      </c>
      <c r="E1920" s="21" t="s">
        <v>316</v>
      </c>
      <c r="F1920" s="21">
        <v>1</v>
      </c>
      <c r="G1920" s="21">
        <v>127.88</v>
      </c>
      <c r="H1920" s="21">
        <v>4340.8900000000003</v>
      </c>
      <c r="I1920" s="21">
        <v>339.45</v>
      </c>
    </row>
    <row r="1921" spans="1:9" ht="15" customHeight="1" x14ac:dyDescent="0.3">
      <c r="A1921" s="21" t="s">
        <v>2258</v>
      </c>
      <c r="B1921" s="21">
        <v>2021</v>
      </c>
      <c r="C1921" s="21">
        <v>10</v>
      </c>
      <c r="D1921" s="21">
        <v>24</v>
      </c>
      <c r="E1921" s="21" t="s">
        <v>319</v>
      </c>
      <c r="F1921" s="21">
        <v>1</v>
      </c>
      <c r="G1921" s="21">
        <v>135.02000000000001</v>
      </c>
      <c r="H1921" s="21">
        <v>4583.2</v>
      </c>
      <c r="I1921" s="21">
        <v>339.45</v>
      </c>
    </row>
    <row r="1922" spans="1:9" ht="15" customHeight="1" x14ac:dyDescent="0.3">
      <c r="A1922" s="21" t="s">
        <v>2259</v>
      </c>
      <c r="B1922" s="21">
        <v>2021</v>
      </c>
      <c r="C1922" s="21">
        <v>10</v>
      </c>
      <c r="D1922" s="21">
        <v>25</v>
      </c>
      <c r="E1922" s="21" t="s">
        <v>299</v>
      </c>
      <c r="F1922" s="21">
        <v>0</v>
      </c>
      <c r="G1922" s="21">
        <v>167.19</v>
      </c>
      <c r="H1922" s="21">
        <v>5675.49</v>
      </c>
      <c r="I1922" s="21">
        <v>339.46</v>
      </c>
    </row>
    <row r="1923" spans="1:9" ht="15" customHeight="1" x14ac:dyDescent="0.3">
      <c r="A1923" s="21" t="s">
        <v>2260</v>
      </c>
      <c r="B1923" s="21">
        <v>2021</v>
      </c>
      <c r="C1923" s="21">
        <v>10</v>
      </c>
      <c r="D1923" s="21">
        <v>26</v>
      </c>
      <c r="E1923" s="21" t="s">
        <v>303</v>
      </c>
      <c r="F1923" s="21">
        <v>0</v>
      </c>
      <c r="G1923" s="21">
        <v>138.69</v>
      </c>
      <c r="H1923" s="21">
        <v>4707.78</v>
      </c>
      <c r="I1923" s="21">
        <v>339.45</v>
      </c>
    </row>
    <row r="1924" spans="1:9" ht="15" customHeight="1" x14ac:dyDescent="0.3">
      <c r="A1924" s="21" t="s">
        <v>2261</v>
      </c>
      <c r="B1924" s="21">
        <v>2021</v>
      </c>
      <c r="C1924" s="21">
        <v>10</v>
      </c>
      <c r="D1924" s="21">
        <v>27</v>
      </c>
      <c r="E1924" s="21" t="s">
        <v>307</v>
      </c>
      <c r="F1924" s="21">
        <v>0</v>
      </c>
      <c r="G1924" s="21">
        <v>138.13</v>
      </c>
      <c r="H1924" s="21">
        <v>4688.76</v>
      </c>
      <c r="I1924" s="21">
        <v>339.45</v>
      </c>
    </row>
    <row r="1925" spans="1:9" ht="15" customHeight="1" x14ac:dyDescent="0.3">
      <c r="A1925" s="21" t="s">
        <v>2262</v>
      </c>
      <c r="B1925" s="21">
        <v>2021</v>
      </c>
      <c r="C1925" s="21">
        <v>10</v>
      </c>
      <c r="D1925" s="21">
        <v>28</v>
      </c>
      <c r="E1925" s="21" t="s">
        <v>310</v>
      </c>
      <c r="F1925" s="21">
        <v>0</v>
      </c>
      <c r="G1925" s="21">
        <v>128.72999999999999</v>
      </c>
      <c r="H1925" s="21">
        <v>4369.76</v>
      </c>
      <c r="I1925" s="21">
        <v>339.45</v>
      </c>
    </row>
    <row r="1926" spans="1:9" ht="15" customHeight="1" x14ac:dyDescent="0.3">
      <c r="A1926" s="21" t="s">
        <v>2263</v>
      </c>
      <c r="B1926" s="21">
        <v>2021</v>
      </c>
      <c r="C1926" s="21">
        <v>10</v>
      </c>
      <c r="D1926" s="21">
        <v>29</v>
      </c>
      <c r="E1926" s="21" t="s">
        <v>313</v>
      </c>
      <c r="F1926" s="21">
        <v>0</v>
      </c>
      <c r="G1926" s="21">
        <v>144.75</v>
      </c>
      <c r="H1926" s="21">
        <v>4913.7</v>
      </c>
      <c r="I1926" s="21">
        <v>339.46</v>
      </c>
    </row>
    <row r="1927" spans="1:9" ht="15" customHeight="1" x14ac:dyDescent="0.3">
      <c r="A1927" s="21" t="s">
        <v>2264</v>
      </c>
      <c r="B1927" s="21">
        <v>2021</v>
      </c>
      <c r="C1927" s="21">
        <v>10</v>
      </c>
      <c r="D1927" s="21">
        <v>30</v>
      </c>
      <c r="E1927" s="21" t="s">
        <v>316</v>
      </c>
      <c r="F1927" s="21">
        <v>1</v>
      </c>
      <c r="G1927" s="21">
        <v>129.32</v>
      </c>
      <c r="H1927" s="21">
        <v>4389.87</v>
      </c>
      <c r="I1927" s="21">
        <v>339.46</v>
      </c>
    </row>
    <row r="1928" spans="1:9" ht="15" customHeight="1" x14ac:dyDescent="0.3">
      <c r="A1928" s="21" t="s">
        <v>2265</v>
      </c>
      <c r="B1928" s="21">
        <v>2021</v>
      </c>
      <c r="C1928" s="21">
        <v>10</v>
      </c>
      <c r="D1928" s="21">
        <v>31</v>
      </c>
      <c r="E1928" s="21" t="s">
        <v>319</v>
      </c>
      <c r="F1928" s="21">
        <v>1</v>
      </c>
      <c r="G1928" s="21">
        <v>130.1</v>
      </c>
      <c r="H1928" s="21">
        <v>4416.4799999999996</v>
      </c>
      <c r="I1928" s="21">
        <v>339.47</v>
      </c>
    </row>
    <row r="1929" spans="1:9" ht="15" customHeight="1" x14ac:dyDescent="0.3">
      <c r="A1929" s="21" t="s">
        <v>161</v>
      </c>
      <c r="B1929" s="21">
        <v>2021</v>
      </c>
      <c r="C1929" s="21">
        <v>11</v>
      </c>
      <c r="D1929" s="21">
        <v>1</v>
      </c>
      <c r="E1929" s="21" t="s">
        <v>299</v>
      </c>
      <c r="F1929" s="21">
        <v>0</v>
      </c>
      <c r="G1929" s="21">
        <v>167.69</v>
      </c>
      <c r="H1929" s="21">
        <v>5692.05</v>
      </c>
      <c r="I1929" s="21">
        <v>339.44</v>
      </c>
    </row>
    <row r="1930" spans="1:9" ht="15" customHeight="1" x14ac:dyDescent="0.3">
      <c r="A1930" s="21" t="s">
        <v>2266</v>
      </c>
      <c r="B1930" s="21">
        <v>2021</v>
      </c>
      <c r="C1930" s="21">
        <v>11</v>
      </c>
      <c r="D1930" s="21">
        <v>2</v>
      </c>
      <c r="E1930" s="21" t="s">
        <v>303</v>
      </c>
      <c r="F1930" s="21">
        <v>0</v>
      </c>
      <c r="G1930" s="21">
        <v>158.21</v>
      </c>
      <c r="H1930" s="21">
        <v>5370.02</v>
      </c>
      <c r="I1930" s="21">
        <v>339.42</v>
      </c>
    </row>
    <row r="1931" spans="1:9" ht="15" customHeight="1" x14ac:dyDescent="0.3">
      <c r="A1931" s="21" t="s">
        <v>2267</v>
      </c>
      <c r="B1931" s="21">
        <v>2021</v>
      </c>
      <c r="C1931" s="21">
        <v>11</v>
      </c>
      <c r="D1931" s="21">
        <v>3</v>
      </c>
      <c r="E1931" s="21" t="s">
        <v>307</v>
      </c>
      <c r="F1931" s="21">
        <v>0</v>
      </c>
      <c r="G1931" s="21">
        <v>131.26</v>
      </c>
      <c r="H1931" s="21">
        <v>4455.41</v>
      </c>
      <c r="I1931" s="21">
        <v>339.43</v>
      </c>
    </row>
    <row r="1932" spans="1:9" ht="15" customHeight="1" x14ac:dyDescent="0.3">
      <c r="A1932" s="21" t="s">
        <v>2268</v>
      </c>
      <c r="B1932" s="21">
        <v>2021</v>
      </c>
      <c r="C1932" s="21">
        <v>11</v>
      </c>
      <c r="D1932" s="21">
        <v>4</v>
      </c>
      <c r="E1932" s="21" t="s">
        <v>310</v>
      </c>
      <c r="F1932" s="21">
        <v>0</v>
      </c>
      <c r="G1932" s="21">
        <v>142.68</v>
      </c>
      <c r="H1932" s="21">
        <v>4842.9399999999996</v>
      </c>
      <c r="I1932" s="21">
        <v>339.43</v>
      </c>
    </row>
    <row r="1933" spans="1:9" ht="15" customHeight="1" x14ac:dyDescent="0.3">
      <c r="A1933" s="21" t="s">
        <v>2269</v>
      </c>
      <c r="B1933" s="21">
        <v>2021</v>
      </c>
      <c r="C1933" s="21">
        <v>11</v>
      </c>
      <c r="D1933" s="21">
        <v>5</v>
      </c>
      <c r="E1933" s="21" t="s">
        <v>313</v>
      </c>
      <c r="F1933" s="21">
        <v>0</v>
      </c>
      <c r="G1933" s="21">
        <v>146.22</v>
      </c>
      <c r="H1933" s="21">
        <v>4963.16</v>
      </c>
      <c r="I1933" s="21">
        <v>339.43</v>
      </c>
    </row>
    <row r="1934" spans="1:9" ht="15" customHeight="1" x14ac:dyDescent="0.3">
      <c r="A1934" s="21" t="s">
        <v>2270</v>
      </c>
      <c r="B1934" s="21">
        <v>2021</v>
      </c>
      <c r="C1934" s="21">
        <v>11</v>
      </c>
      <c r="D1934" s="21">
        <v>6</v>
      </c>
      <c r="E1934" s="21" t="s">
        <v>316</v>
      </c>
      <c r="F1934" s="21">
        <v>1</v>
      </c>
      <c r="G1934" s="21">
        <v>119.62</v>
      </c>
      <c r="H1934" s="21">
        <v>4060.16</v>
      </c>
      <c r="I1934" s="21">
        <v>339.42</v>
      </c>
    </row>
    <row r="1935" spans="1:9" ht="15" customHeight="1" x14ac:dyDescent="0.3">
      <c r="A1935" s="21" t="s">
        <v>2271</v>
      </c>
      <c r="B1935" s="21">
        <v>2021</v>
      </c>
      <c r="C1935" s="21">
        <v>11</v>
      </c>
      <c r="D1935" s="21">
        <v>7</v>
      </c>
      <c r="E1935" s="21" t="s">
        <v>319</v>
      </c>
      <c r="F1935" s="21">
        <v>1</v>
      </c>
      <c r="G1935" s="21">
        <v>127.3</v>
      </c>
      <c r="H1935" s="21">
        <v>4320.8900000000003</v>
      </c>
      <c r="I1935" s="21">
        <v>339.43</v>
      </c>
    </row>
    <row r="1936" spans="1:9" ht="15" customHeight="1" x14ac:dyDescent="0.3">
      <c r="A1936" s="21" t="s">
        <v>2272</v>
      </c>
      <c r="B1936" s="21">
        <v>2021</v>
      </c>
      <c r="C1936" s="21">
        <v>11</v>
      </c>
      <c r="D1936" s="21">
        <v>8</v>
      </c>
      <c r="E1936" s="21" t="s">
        <v>299</v>
      </c>
      <c r="F1936" s="21">
        <v>0</v>
      </c>
      <c r="G1936" s="21">
        <v>142.68</v>
      </c>
      <c r="H1936" s="21">
        <v>4842.8599999999997</v>
      </c>
      <c r="I1936" s="21">
        <v>339.42</v>
      </c>
    </row>
    <row r="1937" spans="1:9" ht="15" customHeight="1" x14ac:dyDescent="0.3">
      <c r="A1937" s="21" t="s">
        <v>2273</v>
      </c>
      <c r="B1937" s="21">
        <v>2021</v>
      </c>
      <c r="C1937" s="21">
        <v>11</v>
      </c>
      <c r="D1937" s="21">
        <v>9</v>
      </c>
      <c r="E1937" s="21" t="s">
        <v>303</v>
      </c>
      <c r="F1937" s="21">
        <v>0</v>
      </c>
      <c r="G1937" s="21">
        <v>128.94999999999999</v>
      </c>
      <c r="H1937" s="21">
        <v>4377.1099999999997</v>
      </c>
      <c r="I1937" s="21">
        <v>339.44</v>
      </c>
    </row>
    <row r="1938" spans="1:9" ht="15" customHeight="1" x14ac:dyDescent="0.3">
      <c r="A1938" s="21" t="s">
        <v>2274</v>
      </c>
      <c r="B1938" s="21">
        <v>2021</v>
      </c>
      <c r="C1938" s="21">
        <v>11</v>
      </c>
      <c r="D1938" s="21">
        <v>10</v>
      </c>
      <c r="E1938" s="21" t="s">
        <v>307</v>
      </c>
      <c r="F1938" s="21">
        <v>0</v>
      </c>
      <c r="G1938" s="21">
        <v>138.35</v>
      </c>
      <c r="H1938" s="21">
        <v>4696.03</v>
      </c>
      <c r="I1938" s="21">
        <v>339.43</v>
      </c>
    </row>
    <row r="1939" spans="1:9" ht="15" customHeight="1" x14ac:dyDescent="0.3">
      <c r="A1939" s="21" t="s">
        <v>2275</v>
      </c>
      <c r="B1939" s="21">
        <v>2021</v>
      </c>
      <c r="C1939" s="21">
        <v>11</v>
      </c>
      <c r="D1939" s="21">
        <v>11</v>
      </c>
      <c r="E1939" s="21" t="s">
        <v>310</v>
      </c>
      <c r="F1939" s="21">
        <v>0</v>
      </c>
      <c r="G1939" s="21">
        <v>144.16</v>
      </c>
      <c r="H1939" s="21">
        <v>4893.1099999999997</v>
      </c>
      <c r="I1939" s="21">
        <v>339.42</v>
      </c>
    </row>
    <row r="1940" spans="1:9" ht="15" customHeight="1" x14ac:dyDescent="0.3">
      <c r="A1940" s="21" t="s">
        <v>2276</v>
      </c>
      <c r="B1940" s="21">
        <v>2021</v>
      </c>
      <c r="C1940" s="21">
        <v>11</v>
      </c>
      <c r="D1940" s="21">
        <v>12</v>
      </c>
      <c r="E1940" s="21" t="s">
        <v>313</v>
      </c>
      <c r="F1940" s="21">
        <v>0</v>
      </c>
      <c r="G1940" s="21">
        <v>158.91</v>
      </c>
      <c r="H1940" s="21">
        <v>5393.88</v>
      </c>
      <c r="I1940" s="21">
        <v>339.43</v>
      </c>
    </row>
    <row r="1941" spans="1:9" ht="15" customHeight="1" x14ac:dyDescent="0.3">
      <c r="A1941" s="21" t="s">
        <v>2277</v>
      </c>
      <c r="B1941" s="21">
        <v>2021</v>
      </c>
      <c r="C1941" s="21">
        <v>11</v>
      </c>
      <c r="D1941" s="21">
        <v>13</v>
      </c>
      <c r="E1941" s="21" t="s">
        <v>316</v>
      </c>
      <c r="F1941" s="21">
        <v>1</v>
      </c>
      <c r="G1941" s="21">
        <v>113.47</v>
      </c>
      <c r="H1941" s="21">
        <v>3851.45</v>
      </c>
      <c r="I1941" s="21">
        <v>339.42</v>
      </c>
    </row>
    <row r="1942" spans="1:9" ht="15" customHeight="1" x14ac:dyDescent="0.3">
      <c r="A1942" s="21" t="s">
        <v>2278</v>
      </c>
      <c r="B1942" s="21">
        <v>2021</v>
      </c>
      <c r="C1942" s="21">
        <v>11</v>
      </c>
      <c r="D1942" s="21">
        <v>14</v>
      </c>
      <c r="E1942" s="21" t="s">
        <v>319</v>
      </c>
      <c r="F1942" s="21">
        <v>1</v>
      </c>
      <c r="G1942" s="21">
        <v>120.69</v>
      </c>
      <c r="H1942" s="21">
        <v>4096.75</v>
      </c>
      <c r="I1942" s="21">
        <v>339.44</v>
      </c>
    </row>
    <row r="1943" spans="1:9" ht="15" customHeight="1" x14ac:dyDescent="0.3">
      <c r="A1943" s="21" t="s">
        <v>2279</v>
      </c>
      <c r="B1943" s="21">
        <v>2021</v>
      </c>
      <c r="C1943" s="21">
        <v>11</v>
      </c>
      <c r="D1943" s="21">
        <v>15</v>
      </c>
      <c r="E1943" s="21" t="s">
        <v>299</v>
      </c>
      <c r="F1943" s="21">
        <v>0</v>
      </c>
      <c r="G1943" s="21">
        <v>159.03</v>
      </c>
      <c r="H1943" s="21">
        <v>5398.12</v>
      </c>
      <c r="I1943" s="21">
        <v>339.44</v>
      </c>
    </row>
    <row r="1944" spans="1:9" ht="15" customHeight="1" x14ac:dyDescent="0.3">
      <c r="A1944" s="21" t="s">
        <v>2280</v>
      </c>
      <c r="B1944" s="21">
        <v>2021</v>
      </c>
      <c r="C1944" s="21">
        <v>11</v>
      </c>
      <c r="D1944" s="21">
        <v>16</v>
      </c>
      <c r="E1944" s="21" t="s">
        <v>303</v>
      </c>
      <c r="F1944" s="21">
        <v>0</v>
      </c>
      <c r="G1944" s="21">
        <v>153.01</v>
      </c>
      <c r="H1944" s="21">
        <v>5193.7700000000004</v>
      </c>
      <c r="I1944" s="21">
        <v>339.44</v>
      </c>
    </row>
    <row r="1945" spans="1:9" ht="15" customHeight="1" x14ac:dyDescent="0.3">
      <c r="A1945" s="21" t="s">
        <v>2281</v>
      </c>
      <c r="B1945" s="21">
        <v>2021</v>
      </c>
      <c r="C1945" s="21">
        <v>11</v>
      </c>
      <c r="D1945" s="21">
        <v>17</v>
      </c>
      <c r="E1945" s="21" t="s">
        <v>307</v>
      </c>
      <c r="F1945" s="21">
        <v>0</v>
      </c>
      <c r="G1945" s="21">
        <v>165.68</v>
      </c>
      <c r="H1945" s="21">
        <v>5623.67</v>
      </c>
      <c r="I1945" s="21">
        <v>339.43</v>
      </c>
    </row>
    <row r="1946" spans="1:9" ht="15" customHeight="1" x14ac:dyDescent="0.3">
      <c r="A1946" s="21" t="s">
        <v>2282</v>
      </c>
      <c r="B1946" s="21">
        <v>2021</v>
      </c>
      <c r="C1946" s="21">
        <v>11</v>
      </c>
      <c r="D1946" s="21">
        <v>18</v>
      </c>
      <c r="E1946" s="21" t="s">
        <v>310</v>
      </c>
      <c r="F1946" s="21">
        <v>0</v>
      </c>
      <c r="G1946" s="21">
        <v>146.58000000000001</v>
      </c>
      <c r="H1946" s="21">
        <v>4975.3999999999996</v>
      </c>
      <c r="I1946" s="21">
        <v>339.43</v>
      </c>
    </row>
    <row r="1947" spans="1:9" ht="15" customHeight="1" x14ac:dyDescent="0.3">
      <c r="A1947" s="21" t="s">
        <v>2283</v>
      </c>
      <c r="B1947" s="21">
        <v>2021</v>
      </c>
      <c r="C1947" s="21">
        <v>11</v>
      </c>
      <c r="D1947" s="21">
        <v>19</v>
      </c>
      <c r="E1947" s="21" t="s">
        <v>313</v>
      </c>
      <c r="F1947" s="21">
        <v>0</v>
      </c>
      <c r="G1947" s="21">
        <v>166.95</v>
      </c>
      <c r="H1947" s="21">
        <v>5666.82</v>
      </c>
      <c r="I1947" s="21">
        <v>339.43</v>
      </c>
    </row>
    <row r="1948" spans="1:9" ht="15" customHeight="1" x14ac:dyDescent="0.3">
      <c r="A1948" s="21" t="s">
        <v>2284</v>
      </c>
      <c r="B1948" s="21">
        <v>2021</v>
      </c>
      <c r="C1948" s="21">
        <v>11</v>
      </c>
      <c r="D1948" s="21">
        <v>20</v>
      </c>
      <c r="E1948" s="21" t="s">
        <v>316</v>
      </c>
      <c r="F1948" s="21">
        <v>1</v>
      </c>
      <c r="G1948" s="21">
        <v>132.63</v>
      </c>
      <c r="H1948" s="21">
        <v>4501.8900000000003</v>
      </c>
      <c r="I1948" s="21">
        <v>339.43</v>
      </c>
    </row>
    <row r="1949" spans="1:9" ht="15" customHeight="1" x14ac:dyDescent="0.3">
      <c r="A1949" s="21" t="s">
        <v>2285</v>
      </c>
      <c r="B1949" s="21">
        <v>2021</v>
      </c>
      <c r="C1949" s="21">
        <v>11</v>
      </c>
      <c r="D1949" s="21">
        <v>21</v>
      </c>
      <c r="E1949" s="21" t="s">
        <v>319</v>
      </c>
      <c r="F1949" s="21">
        <v>1</v>
      </c>
      <c r="G1949" s="21">
        <v>135.47999999999999</v>
      </c>
      <c r="H1949" s="21">
        <v>4598.5</v>
      </c>
      <c r="I1949" s="21">
        <v>339.42</v>
      </c>
    </row>
    <row r="1950" spans="1:9" ht="15" customHeight="1" x14ac:dyDescent="0.3">
      <c r="A1950" s="21" t="s">
        <v>2286</v>
      </c>
      <c r="B1950" s="21">
        <v>2021</v>
      </c>
      <c r="C1950" s="21">
        <v>11</v>
      </c>
      <c r="D1950" s="21">
        <v>22</v>
      </c>
      <c r="E1950" s="21" t="s">
        <v>299</v>
      </c>
      <c r="F1950" s="21">
        <v>0</v>
      </c>
      <c r="G1950" s="21">
        <v>161.63</v>
      </c>
      <c r="H1950" s="21">
        <v>5486.17</v>
      </c>
      <c r="I1950" s="21">
        <v>339.43</v>
      </c>
    </row>
    <row r="1951" spans="1:9" ht="15" customHeight="1" x14ac:dyDescent="0.3">
      <c r="A1951" s="21" t="s">
        <v>2287</v>
      </c>
      <c r="B1951" s="21">
        <v>2021</v>
      </c>
      <c r="C1951" s="21">
        <v>11</v>
      </c>
      <c r="D1951" s="21">
        <v>23</v>
      </c>
      <c r="E1951" s="21" t="s">
        <v>303</v>
      </c>
      <c r="F1951" s="21">
        <v>0</v>
      </c>
      <c r="G1951" s="21">
        <v>154.91999999999999</v>
      </c>
      <c r="H1951" s="21">
        <v>5258.48</v>
      </c>
      <c r="I1951" s="21">
        <v>339.43</v>
      </c>
    </row>
    <row r="1952" spans="1:9" ht="15" customHeight="1" x14ac:dyDescent="0.3">
      <c r="A1952" s="21" t="s">
        <v>2288</v>
      </c>
      <c r="B1952" s="21">
        <v>2021</v>
      </c>
      <c r="C1952" s="21">
        <v>11</v>
      </c>
      <c r="D1952" s="21">
        <v>24</v>
      </c>
      <c r="E1952" s="21" t="s">
        <v>307</v>
      </c>
      <c r="F1952" s="21">
        <v>0</v>
      </c>
      <c r="G1952" s="21">
        <v>151.69999999999999</v>
      </c>
      <c r="H1952" s="21">
        <v>5149.1099999999997</v>
      </c>
      <c r="I1952" s="21">
        <v>339.43</v>
      </c>
    </row>
    <row r="1953" spans="1:9" ht="15" customHeight="1" x14ac:dyDescent="0.3">
      <c r="A1953" s="21" t="s">
        <v>2289</v>
      </c>
      <c r="B1953" s="21">
        <v>2021</v>
      </c>
      <c r="C1953" s="21">
        <v>11</v>
      </c>
      <c r="D1953" s="21">
        <v>25</v>
      </c>
      <c r="E1953" s="21" t="s">
        <v>310</v>
      </c>
      <c r="F1953" s="21">
        <v>0</v>
      </c>
      <c r="G1953" s="21">
        <v>154.74</v>
      </c>
      <c r="H1953" s="21">
        <v>5252.4</v>
      </c>
      <c r="I1953" s="21">
        <v>339.43</v>
      </c>
    </row>
    <row r="1954" spans="1:9" ht="15" customHeight="1" x14ac:dyDescent="0.3">
      <c r="A1954" s="21" t="s">
        <v>2290</v>
      </c>
      <c r="B1954" s="21">
        <v>2021</v>
      </c>
      <c r="C1954" s="21">
        <v>11</v>
      </c>
      <c r="D1954" s="21">
        <v>26</v>
      </c>
      <c r="E1954" s="21" t="s">
        <v>313</v>
      </c>
      <c r="F1954" s="21">
        <v>0</v>
      </c>
      <c r="G1954" s="21">
        <v>149.27000000000001</v>
      </c>
      <c r="H1954" s="21">
        <v>5066.83</v>
      </c>
      <c r="I1954" s="21">
        <v>339.44</v>
      </c>
    </row>
    <row r="1955" spans="1:9" ht="15" customHeight="1" x14ac:dyDescent="0.3">
      <c r="A1955" s="21" t="s">
        <v>2291</v>
      </c>
      <c r="B1955" s="21">
        <v>2021</v>
      </c>
      <c r="C1955" s="21">
        <v>11</v>
      </c>
      <c r="D1955" s="21">
        <v>27</v>
      </c>
      <c r="E1955" s="21" t="s">
        <v>316</v>
      </c>
      <c r="F1955" s="21">
        <v>1</v>
      </c>
      <c r="G1955" s="21">
        <v>121.22</v>
      </c>
      <c r="H1955" s="21">
        <v>4114.49</v>
      </c>
      <c r="I1955" s="21">
        <v>339.42</v>
      </c>
    </row>
    <row r="1956" spans="1:9" ht="15" customHeight="1" x14ac:dyDescent="0.3">
      <c r="A1956" s="21" t="s">
        <v>2292</v>
      </c>
      <c r="B1956" s="21">
        <v>2021</v>
      </c>
      <c r="C1956" s="21">
        <v>11</v>
      </c>
      <c r="D1956" s="21">
        <v>28</v>
      </c>
      <c r="E1956" s="21" t="s">
        <v>319</v>
      </c>
      <c r="F1956" s="21">
        <v>1</v>
      </c>
      <c r="G1956" s="21">
        <v>117.07</v>
      </c>
      <c r="H1956" s="21">
        <v>3973.65</v>
      </c>
      <c r="I1956" s="21">
        <v>339.43</v>
      </c>
    </row>
    <row r="1957" spans="1:9" ht="15" customHeight="1" x14ac:dyDescent="0.3">
      <c r="A1957" s="21" t="s">
        <v>2293</v>
      </c>
      <c r="B1957" s="21">
        <v>2021</v>
      </c>
      <c r="C1957" s="21">
        <v>11</v>
      </c>
      <c r="D1957" s="21">
        <v>29</v>
      </c>
      <c r="E1957" s="21" t="s">
        <v>299</v>
      </c>
      <c r="F1957" s="21">
        <v>0</v>
      </c>
      <c r="G1957" s="21">
        <v>170.32</v>
      </c>
      <c r="H1957" s="21">
        <v>5781.15</v>
      </c>
      <c r="I1957" s="21">
        <v>339.43</v>
      </c>
    </row>
    <row r="1958" spans="1:9" ht="15" customHeight="1" x14ac:dyDescent="0.3">
      <c r="A1958" s="21" t="s">
        <v>2294</v>
      </c>
      <c r="B1958" s="21">
        <v>2021</v>
      </c>
      <c r="C1958" s="21">
        <v>11</v>
      </c>
      <c r="D1958" s="21">
        <v>30</v>
      </c>
      <c r="E1958" s="21" t="s">
        <v>303</v>
      </c>
      <c r="F1958" s="21">
        <v>0</v>
      </c>
      <c r="G1958" s="21">
        <v>160.34</v>
      </c>
      <c r="H1958" s="21">
        <v>5442.38</v>
      </c>
      <c r="I1958" s="21">
        <v>339.43</v>
      </c>
    </row>
    <row r="1959" spans="1:9" ht="15" customHeight="1" x14ac:dyDescent="0.3">
      <c r="A1959" s="21" t="s">
        <v>162</v>
      </c>
      <c r="B1959" s="21">
        <v>2021</v>
      </c>
      <c r="C1959" s="21">
        <v>12</v>
      </c>
      <c r="D1959" s="21">
        <v>1</v>
      </c>
      <c r="E1959" s="21" t="s">
        <v>307</v>
      </c>
      <c r="F1959" s="21">
        <v>0</v>
      </c>
      <c r="G1959" s="21">
        <v>174.9</v>
      </c>
      <c r="H1959" s="21">
        <v>5892.09</v>
      </c>
      <c r="I1959" s="21">
        <v>336.88</v>
      </c>
    </row>
    <row r="1960" spans="1:9" ht="15" customHeight="1" x14ac:dyDescent="0.3">
      <c r="A1960" s="21" t="s">
        <v>2295</v>
      </c>
      <c r="B1960" s="21">
        <v>2021</v>
      </c>
      <c r="C1960" s="21">
        <v>12</v>
      </c>
      <c r="D1960" s="21">
        <v>2</v>
      </c>
      <c r="E1960" s="21" t="s">
        <v>310</v>
      </c>
      <c r="F1960" s="21">
        <v>0</v>
      </c>
      <c r="G1960" s="21">
        <v>168.93</v>
      </c>
      <c r="H1960" s="21">
        <v>5690.76</v>
      </c>
      <c r="I1960" s="21">
        <v>336.87</v>
      </c>
    </row>
    <row r="1961" spans="1:9" ht="15" customHeight="1" x14ac:dyDescent="0.3">
      <c r="A1961" s="21" t="s">
        <v>2296</v>
      </c>
      <c r="B1961" s="21">
        <v>2021</v>
      </c>
      <c r="C1961" s="21">
        <v>12</v>
      </c>
      <c r="D1961" s="21">
        <v>3</v>
      </c>
      <c r="E1961" s="21" t="s">
        <v>313</v>
      </c>
      <c r="F1961" s="21">
        <v>0</v>
      </c>
      <c r="G1961" s="21">
        <v>151.06</v>
      </c>
      <c r="H1961" s="21">
        <v>5089</v>
      </c>
      <c r="I1961" s="21">
        <v>336.89</v>
      </c>
    </row>
    <row r="1962" spans="1:9" ht="15" customHeight="1" x14ac:dyDescent="0.3">
      <c r="A1962" s="21" t="s">
        <v>2297</v>
      </c>
      <c r="B1962" s="21">
        <v>2021</v>
      </c>
      <c r="C1962" s="21">
        <v>12</v>
      </c>
      <c r="D1962" s="21">
        <v>4</v>
      </c>
      <c r="E1962" s="21" t="s">
        <v>316</v>
      </c>
      <c r="F1962" s="21">
        <v>1</v>
      </c>
      <c r="G1962" s="21">
        <v>130.62</v>
      </c>
      <c r="H1962" s="21">
        <v>4400.34</v>
      </c>
      <c r="I1962" s="21">
        <v>336.88</v>
      </c>
    </row>
    <row r="1963" spans="1:9" ht="15" customHeight="1" x14ac:dyDescent="0.3">
      <c r="A1963" s="21" t="s">
        <v>2298</v>
      </c>
      <c r="B1963" s="21">
        <v>2021</v>
      </c>
      <c r="C1963" s="21">
        <v>12</v>
      </c>
      <c r="D1963" s="21">
        <v>5</v>
      </c>
      <c r="E1963" s="21" t="s">
        <v>319</v>
      </c>
      <c r="F1963" s="21">
        <v>1</v>
      </c>
      <c r="G1963" s="21">
        <v>121.05</v>
      </c>
      <c r="H1963" s="21">
        <v>4078.04</v>
      </c>
      <c r="I1963" s="21">
        <v>336.89</v>
      </c>
    </row>
    <row r="1964" spans="1:9" ht="15" customHeight="1" x14ac:dyDescent="0.3">
      <c r="A1964" s="21" t="s">
        <v>2299</v>
      </c>
      <c r="B1964" s="21">
        <v>2021</v>
      </c>
      <c r="C1964" s="21">
        <v>12</v>
      </c>
      <c r="D1964" s="21">
        <v>6</v>
      </c>
      <c r="E1964" s="21" t="s">
        <v>299</v>
      </c>
      <c r="F1964" s="21">
        <v>0</v>
      </c>
      <c r="G1964" s="21">
        <v>151.59</v>
      </c>
      <c r="H1964" s="21">
        <v>5106.7299999999996</v>
      </c>
      <c r="I1964" s="21">
        <v>336.88</v>
      </c>
    </row>
    <row r="1965" spans="1:9" ht="15" customHeight="1" x14ac:dyDescent="0.3">
      <c r="A1965" s="21" t="s">
        <v>2300</v>
      </c>
      <c r="B1965" s="21">
        <v>2021</v>
      </c>
      <c r="C1965" s="21">
        <v>12</v>
      </c>
      <c r="D1965" s="21">
        <v>7</v>
      </c>
      <c r="E1965" s="21" t="s">
        <v>303</v>
      </c>
      <c r="F1965" s="21">
        <v>0</v>
      </c>
      <c r="G1965" s="21">
        <v>144.49</v>
      </c>
      <c r="H1965" s="21">
        <v>4867.5600000000004</v>
      </c>
      <c r="I1965" s="21">
        <v>336.88</v>
      </c>
    </row>
    <row r="1966" spans="1:9" ht="15" customHeight="1" x14ac:dyDescent="0.3">
      <c r="A1966" s="21" t="s">
        <v>2301</v>
      </c>
      <c r="B1966" s="21">
        <v>2021</v>
      </c>
      <c r="C1966" s="21">
        <v>12</v>
      </c>
      <c r="D1966" s="21">
        <v>8</v>
      </c>
      <c r="E1966" s="21" t="s">
        <v>307</v>
      </c>
      <c r="F1966" s="21">
        <v>0</v>
      </c>
      <c r="G1966" s="21">
        <v>153.19</v>
      </c>
      <c r="H1966" s="21">
        <v>5160.49</v>
      </c>
      <c r="I1966" s="21">
        <v>336.87</v>
      </c>
    </row>
    <row r="1967" spans="1:9" ht="15" customHeight="1" x14ac:dyDescent="0.3">
      <c r="A1967" s="21" t="s">
        <v>2302</v>
      </c>
      <c r="B1967" s="21">
        <v>2021</v>
      </c>
      <c r="C1967" s="21">
        <v>12</v>
      </c>
      <c r="D1967" s="21">
        <v>9</v>
      </c>
      <c r="E1967" s="21" t="s">
        <v>310</v>
      </c>
      <c r="F1967" s="21">
        <v>0</v>
      </c>
      <c r="G1967" s="21">
        <v>137.69</v>
      </c>
      <c r="H1967" s="21">
        <v>4638.59</v>
      </c>
      <c r="I1967" s="21">
        <v>336.89</v>
      </c>
    </row>
    <row r="1968" spans="1:9" ht="15" customHeight="1" x14ac:dyDescent="0.3">
      <c r="A1968" s="21" t="s">
        <v>2303</v>
      </c>
      <c r="B1968" s="21">
        <v>2021</v>
      </c>
      <c r="C1968" s="21">
        <v>12</v>
      </c>
      <c r="D1968" s="21">
        <v>10</v>
      </c>
      <c r="E1968" s="21" t="s">
        <v>313</v>
      </c>
      <c r="F1968" s="21">
        <v>0</v>
      </c>
      <c r="G1968" s="21">
        <v>172.74</v>
      </c>
      <c r="H1968" s="21">
        <v>5819.15</v>
      </c>
      <c r="I1968" s="21">
        <v>336.87</v>
      </c>
    </row>
    <row r="1969" spans="1:9" ht="15" customHeight="1" x14ac:dyDescent="0.3">
      <c r="A1969" s="21" t="s">
        <v>2304</v>
      </c>
      <c r="B1969" s="21">
        <v>2021</v>
      </c>
      <c r="C1969" s="21">
        <v>12</v>
      </c>
      <c r="D1969" s="21">
        <v>11</v>
      </c>
      <c r="E1969" s="21" t="s">
        <v>316</v>
      </c>
      <c r="F1969" s="21">
        <v>1</v>
      </c>
      <c r="G1969" s="21">
        <v>129.71</v>
      </c>
      <c r="H1969" s="21">
        <v>4369.7299999999996</v>
      </c>
      <c r="I1969" s="21">
        <v>336.88</v>
      </c>
    </row>
    <row r="1970" spans="1:9" ht="15" customHeight="1" x14ac:dyDescent="0.3">
      <c r="A1970" s="21" t="s">
        <v>2305</v>
      </c>
      <c r="B1970" s="21">
        <v>2021</v>
      </c>
      <c r="C1970" s="21">
        <v>12</v>
      </c>
      <c r="D1970" s="21">
        <v>12</v>
      </c>
      <c r="E1970" s="21" t="s">
        <v>319</v>
      </c>
      <c r="F1970" s="21">
        <v>1</v>
      </c>
      <c r="G1970" s="21">
        <v>126.04</v>
      </c>
      <c r="H1970" s="21">
        <v>4245.8999999999996</v>
      </c>
      <c r="I1970" s="21">
        <v>336.87</v>
      </c>
    </row>
    <row r="1971" spans="1:9" ht="15" customHeight="1" x14ac:dyDescent="0.3">
      <c r="A1971" s="21" t="s">
        <v>2306</v>
      </c>
      <c r="B1971" s="21">
        <v>2021</v>
      </c>
      <c r="C1971" s="21">
        <v>12</v>
      </c>
      <c r="D1971" s="21">
        <v>13</v>
      </c>
      <c r="E1971" s="21" t="s">
        <v>299</v>
      </c>
      <c r="F1971" s="21">
        <v>0</v>
      </c>
      <c r="G1971" s="21">
        <v>154.22999999999999</v>
      </c>
      <c r="H1971" s="21">
        <v>5195.7700000000004</v>
      </c>
      <c r="I1971" s="21">
        <v>336.88</v>
      </c>
    </row>
    <row r="1972" spans="1:9" ht="15" customHeight="1" x14ac:dyDescent="0.3">
      <c r="A1972" s="21" t="s">
        <v>2307</v>
      </c>
      <c r="B1972" s="21">
        <v>2021</v>
      </c>
      <c r="C1972" s="21">
        <v>12</v>
      </c>
      <c r="D1972" s="21">
        <v>14</v>
      </c>
      <c r="E1972" s="21" t="s">
        <v>303</v>
      </c>
      <c r="F1972" s="21">
        <v>0</v>
      </c>
      <c r="G1972" s="21">
        <v>148.38</v>
      </c>
      <c r="H1972" s="21">
        <v>4998.59</v>
      </c>
      <c r="I1972" s="21">
        <v>336.88</v>
      </c>
    </row>
    <row r="1973" spans="1:9" ht="15" customHeight="1" x14ac:dyDescent="0.3">
      <c r="A1973" s="21" t="s">
        <v>2308</v>
      </c>
      <c r="B1973" s="21">
        <v>2021</v>
      </c>
      <c r="C1973" s="21">
        <v>12</v>
      </c>
      <c r="D1973" s="21">
        <v>15</v>
      </c>
      <c r="E1973" s="21" t="s">
        <v>307</v>
      </c>
      <c r="F1973" s="21">
        <v>0</v>
      </c>
      <c r="G1973" s="21">
        <v>149.41999999999999</v>
      </c>
      <c r="H1973" s="21">
        <v>5033.6099999999997</v>
      </c>
      <c r="I1973" s="21">
        <v>336.88</v>
      </c>
    </row>
    <row r="1974" spans="1:9" ht="15" customHeight="1" x14ac:dyDescent="0.3">
      <c r="A1974" s="21" t="s">
        <v>2309</v>
      </c>
      <c r="B1974" s="21">
        <v>2021</v>
      </c>
      <c r="C1974" s="21">
        <v>12</v>
      </c>
      <c r="D1974" s="21">
        <v>16</v>
      </c>
      <c r="E1974" s="21" t="s">
        <v>310</v>
      </c>
      <c r="F1974" s="21">
        <v>0</v>
      </c>
      <c r="G1974" s="21">
        <v>149.97</v>
      </c>
      <c r="H1974" s="21">
        <v>5052.0600000000004</v>
      </c>
      <c r="I1974" s="21">
        <v>336.87</v>
      </c>
    </row>
    <row r="1975" spans="1:9" ht="15" customHeight="1" x14ac:dyDescent="0.3">
      <c r="A1975" s="21" t="s">
        <v>2310</v>
      </c>
      <c r="B1975" s="21">
        <v>2021</v>
      </c>
      <c r="C1975" s="21">
        <v>12</v>
      </c>
      <c r="D1975" s="21">
        <v>17</v>
      </c>
      <c r="E1975" s="21" t="s">
        <v>313</v>
      </c>
      <c r="F1975" s="21">
        <v>0</v>
      </c>
      <c r="G1975" s="21">
        <v>161.34</v>
      </c>
      <c r="H1975" s="21">
        <v>5435.23</v>
      </c>
      <c r="I1975" s="21">
        <v>336.88</v>
      </c>
    </row>
    <row r="1976" spans="1:9" ht="15" customHeight="1" x14ac:dyDescent="0.3">
      <c r="A1976" s="21" t="s">
        <v>2311</v>
      </c>
      <c r="B1976" s="21">
        <v>2021</v>
      </c>
      <c r="C1976" s="21">
        <v>12</v>
      </c>
      <c r="D1976" s="21">
        <v>18</v>
      </c>
      <c r="E1976" s="21" t="s">
        <v>316</v>
      </c>
      <c r="F1976" s="21">
        <v>1</v>
      </c>
      <c r="G1976" s="21">
        <v>125.45</v>
      </c>
      <c r="H1976" s="21">
        <v>4226.03</v>
      </c>
      <c r="I1976" s="21">
        <v>336.87</v>
      </c>
    </row>
    <row r="1977" spans="1:9" ht="15" customHeight="1" x14ac:dyDescent="0.3">
      <c r="A1977" s="21" t="s">
        <v>2312</v>
      </c>
      <c r="B1977" s="21">
        <v>2021</v>
      </c>
      <c r="C1977" s="21">
        <v>12</v>
      </c>
      <c r="D1977" s="21">
        <v>19</v>
      </c>
      <c r="E1977" s="21" t="s">
        <v>319</v>
      </c>
      <c r="F1977" s="21">
        <v>1</v>
      </c>
      <c r="G1977" s="21">
        <v>124.18</v>
      </c>
      <c r="H1977" s="21">
        <v>4183.37</v>
      </c>
      <c r="I1977" s="21">
        <v>336.88</v>
      </c>
    </row>
    <row r="1978" spans="1:9" ht="15" customHeight="1" x14ac:dyDescent="0.3">
      <c r="A1978" s="21" t="s">
        <v>2313</v>
      </c>
      <c r="B1978" s="21">
        <v>2021</v>
      </c>
      <c r="C1978" s="21">
        <v>12</v>
      </c>
      <c r="D1978" s="21">
        <v>20</v>
      </c>
      <c r="E1978" s="21" t="s">
        <v>299</v>
      </c>
      <c r="F1978" s="21">
        <v>0</v>
      </c>
      <c r="G1978" s="21">
        <v>153.81</v>
      </c>
      <c r="H1978" s="21">
        <v>5181.4399999999996</v>
      </c>
      <c r="I1978" s="21">
        <v>336.87</v>
      </c>
    </row>
    <row r="1979" spans="1:9" ht="15" customHeight="1" x14ac:dyDescent="0.3">
      <c r="A1979" s="21" t="s">
        <v>2314</v>
      </c>
      <c r="B1979" s="21">
        <v>2021</v>
      </c>
      <c r="C1979" s="21">
        <v>12</v>
      </c>
      <c r="D1979" s="21">
        <v>21</v>
      </c>
      <c r="E1979" s="21" t="s">
        <v>303</v>
      </c>
      <c r="F1979" s="21">
        <v>0</v>
      </c>
      <c r="G1979" s="21">
        <v>146.26</v>
      </c>
      <c r="H1979" s="21">
        <v>4927.1499999999996</v>
      </c>
      <c r="I1979" s="21">
        <v>336.88</v>
      </c>
    </row>
    <row r="1980" spans="1:9" ht="15" customHeight="1" x14ac:dyDescent="0.3">
      <c r="A1980" s="21" t="s">
        <v>2315</v>
      </c>
      <c r="B1980" s="21">
        <v>2021</v>
      </c>
      <c r="C1980" s="21">
        <v>12</v>
      </c>
      <c r="D1980" s="21">
        <v>22</v>
      </c>
      <c r="E1980" s="21" t="s">
        <v>307</v>
      </c>
      <c r="F1980" s="21">
        <v>0</v>
      </c>
      <c r="G1980" s="21">
        <v>152.12</v>
      </c>
      <c r="H1980" s="21">
        <v>5124.7</v>
      </c>
      <c r="I1980" s="21">
        <v>336.89</v>
      </c>
    </row>
    <row r="1981" spans="1:9" ht="15" customHeight="1" x14ac:dyDescent="0.3">
      <c r="A1981" s="21" t="s">
        <v>2316</v>
      </c>
      <c r="B1981" s="21">
        <v>2021</v>
      </c>
      <c r="C1981" s="21">
        <v>12</v>
      </c>
      <c r="D1981" s="21">
        <v>23</v>
      </c>
      <c r="E1981" s="21" t="s">
        <v>310</v>
      </c>
      <c r="F1981" s="21">
        <v>0</v>
      </c>
      <c r="G1981" s="21">
        <v>149.74</v>
      </c>
      <c r="H1981" s="21">
        <v>5044.38</v>
      </c>
      <c r="I1981" s="21">
        <v>336.88</v>
      </c>
    </row>
    <row r="1982" spans="1:9" ht="15" customHeight="1" x14ac:dyDescent="0.3">
      <c r="A1982" s="21" t="s">
        <v>2317</v>
      </c>
      <c r="B1982" s="21">
        <v>2021</v>
      </c>
      <c r="C1982" s="21">
        <v>12</v>
      </c>
      <c r="D1982" s="21">
        <v>24</v>
      </c>
      <c r="E1982" s="21" t="s">
        <v>313</v>
      </c>
      <c r="F1982" s="21">
        <v>0</v>
      </c>
      <c r="G1982" s="21">
        <v>145.91</v>
      </c>
      <c r="H1982" s="21">
        <v>4915.43</v>
      </c>
      <c r="I1982" s="21">
        <v>336.88</v>
      </c>
    </row>
    <row r="1983" spans="1:9" ht="15" customHeight="1" x14ac:dyDescent="0.3">
      <c r="A1983" s="21" t="s">
        <v>2318</v>
      </c>
      <c r="B1983" s="21">
        <v>2021</v>
      </c>
      <c r="C1983" s="21">
        <v>12</v>
      </c>
      <c r="D1983" s="21">
        <v>25</v>
      </c>
      <c r="E1983" s="21" t="s">
        <v>316</v>
      </c>
      <c r="F1983" s="21">
        <v>1</v>
      </c>
      <c r="G1983" s="21">
        <v>127.95</v>
      </c>
      <c r="H1983" s="21">
        <v>4310.2299999999996</v>
      </c>
      <c r="I1983" s="21">
        <v>336.87</v>
      </c>
    </row>
    <row r="1984" spans="1:9" ht="15" customHeight="1" x14ac:dyDescent="0.3">
      <c r="A1984" s="21" t="s">
        <v>2319</v>
      </c>
      <c r="B1984" s="21">
        <v>2021</v>
      </c>
      <c r="C1984" s="21">
        <v>12</v>
      </c>
      <c r="D1984" s="21">
        <v>26</v>
      </c>
      <c r="E1984" s="21" t="s">
        <v>319</v>
      </c>
      <c r="F1984" s="21">
        <v>1</v>
      </c>
      <c r="G1984" s="21">
        <v>125.91</v>
      </c>
      <c r="H1984" s="21">
        <v>4241.66</v>
      </c>
      <c r="I1984" s="21">
        <v>336.88</v>
      </c>
    </row>
    <row r="1985" spans="1:9" ht="15" customHeight="1" x14ac:dyDescent="0.3">
      <c r="A1985" s="21" t="s">
        <v>2320</v>
      </c>
      <c r="B1985" s="21">
        <v>2021</v>
      </c>
      <c r="C1985" s="21">
        <v>12</v>
      </c>
      <c r="D1985" s="21">
        <v>27</v>
      </c>
      <c r="E1985" s="21" t="s">
        <v>299</v>
      </c>
      <c r="F1985" s="21">
        <v>0</v>
      </c>
      <c r="G1985" s="21">
        <v>154.38999999999999</v>
      </c>
      <c r="H1985" s="21">
        <v>5201.1499999999996</v>
      </c>
      <c r="I1985" s="21">
        <v>336.88</v>
      </c>
    </row>
    <row r="1986" spans="1:9" ht="15" customHeight="1" x14ac:dyDescent="0.3">
      <c r="A1986" s="21" t="s">
        <v>2321</v>
      </c>
      <c r="B1986" s="21">
        <v>2021</v>
      </c>
      <c r="C1986" s="21">
        <v>12</v>
      </c>
      <c r="D1986" s="21">
        <v>28</v>
      </c>
      <c r="E1986" s="21" t="s">
        <v>303</v>
      </c>
      <c r="F1986" s="21">
        <v>0</v>
      </c>
      <c r="G1986" s="21">
        <v>145.4</v>
      </c>
      <c r="H1986" s="21">
        <v>4898.3599999999997</v>
      </c>
      <c r="I1986" s="21">
        <v>336.89</v>
      </c>
    </row>
    <row r="1987" spans="1:9" ht="15" customHeight="1" x14ac:dyDescent="0.3">
      <c r="A1987" s="21" t="s">
        <v>2322</v>
      </c>
      <c r="B1987" s="21">
        <v>2021</v>
      </c>
      <c r="C1987" s="21">
        <v>12</v>
      </c>
      <c r="D1987" s="21">
        <v>29</v>
      </c>
      <c r="E1987" s="21" t="s">
        <v>307</v>
      </c>
      <c r="F1987" s="21">
        <v>0</v>
      </c>
      <c r="G1987" s="21">
        <v>152.08000000000001</v>
      </c>
      <c r="H1987" s="21">
        <v>5123.2700000000004</v>
      </c>
      <c r="I1987" s="21">
        <v>336.88</v>
      </c>
    </row>
    <row r="1988" spans="1:9" ht="15" customHeight="1" x14ac:dyDescent="0.3">
      <c r="A1988" s="21" t="s">
        <v>2323</v>
      </c>
      <c r="B1988" s="21">
        <v>2021</v>
      </c>
      <c r="C1988" s="21">
        <v>12</v>
      </c>
      <c r="D1988" s="21">
        <v>30</v>
      </c>
      <c r="E1988" s="21" t="s">
        <v>310</v>
      </c>
      <c r="F1988" s="21">
        <v>0</v>
      </c>
      <c r="G1988" s="21">
        <v>174</v>
      </c>
      <c r="H1988" s="21">
        <v>5861.56</v>
      </c>
      <c r="I1988" s="21">
        <v>336.87</v>
      </c>
    </row>
    <row r="1989" spans="1:9" ht="15" customHeight="1" x14ac:dyDescent="0.3">
      <c r="A1989" s="21" t="s">
        <v>2324</v>
      </c>
      <c r="B1989" s="21">
        <v>2021</v>
      </c>
      <c r="C1989" s="21">
        <v>12</v>
      </c>
      <c r="D1989" s="21">
        <v>31</v>
      </c>
      <c r="E1989" s="21" t="s">
        <v>313</v>
      </c>
      <c r="F1989" s="21">
        <v>0</v>
      </c>
      <c r="G1989" s="21">
        <v>178.8</v>
      </c>
      <c r="H1989" s="21">
        <v>6023.36</v>
      </c>
      <c r="I1989" s="21">
        <v>336.88</v>
      </c>
    </row>
    <row r="1990" spans="1:9" ht="15" customHeight="1" x14ac:dyDescent="0.3">
      <c r="A1990" s="21" t="s">
        <v>163</v>
      </c>
      <c r="B1990" s="21">
        <v>2022</v>
      </c>
      <c r="C1990" s="21">
        <v>1</v>
      </c>
      <c r="D1990" s="21">
        <v>1</v>
      </c>
      <c r="E1990" s="21" t="s">
        <v>316</v>
      </c>
      <c r="F1990" s="21">
        <v>1</v>
      </c>
      <c r="G1990" s="21">
        <v>147.85</v>
      </c>
      <c r="H1990" s="21">
        <v>4965.71</v>
      </c>
      <c r="I1990" s="21">
        <v>335.86</v>
      </c>
    </row>
    <row r="1991" spans="1:9" ht="15" customHeight="1" x14ac:dyDescent="0.3">
      <c r="A1991" s="21" t="s">
        <v>2325</v>
      </c>
      <c r="B1991" s="21">
        <v>2022</v>
      </c>
      <c r="C1991" s="21">
        <v>1</v>
      </c>
      <c r="D1991" s="21">
        <v>2</v>
      </c>
      <c r="E1991" s="21" t="s">
        <v>319</v>
      </c>
      <c r="F1991" s="21">
        <v>1</v>
      </c>
      <c r="G1991" s="21">
        <v>140.75</v>
      </c>
      <c r="H1991" s="21">
        <v>4727.5</v>
      </c>
      <c r="I1991" s="21">
        <v>335.88</v>
      </c>
    </row>
    <row r="1992" spans="1:9" ht="15" customHeight="1" x14ac:dyDescent="0.3">
      <c r="A1992" s="21" t="s">
        <v>2326</v>
      </c>
      <c r="B1992" s="21">
        <v>2022</v>
      </c>
      <c r="C1992" s="21">
        <v>1</v>
      </c>
      <c r="D1992" s="21">
        <v>3</v>
      </c>
      <c r="E1992" s="21" t="s">
        <v>299</v>
      </c>
      <c r="F1992" s="21">
        <v>0</v>
      </c>
      <c r="G1992" s="21">
        <v>150.38999999999999</v>
      </c>
      <c r="H1992" s="21">
        <v>5051.1899999999996</v>
      </c>
      <c r="I1992" s="21">
        <v>335.87</v>
      </c>
    </row>
    <row r="1993" spans="1:9" ht="15" customHeight="1" x14ac:dyDescent="0.3">
      <c r="A1993" s="21" t="s">
        <v>2327</v>
      </c>
      <c r="B1993" s="21">
        <v>2022</v>
      </c>
      <c r="C1993" s="21">
        <v>1</v>
      </c>
      <c r="D1993" s="21">
        <v>4</v>
      </c>
      <c r="E1993" s="21" t="s">
        <v>303</v>
      </c>
      <c r="F1993" s="21">
        <v>0</v>
      </c>
      <c r="G1993" s="21">
        <v>146.30000000000001</v>
      </c>
      <c r="H1993" s="21">
        <v>4913.91</v>
      </c>
      <c r="I1993" s="21">
        <v>335.88</v>
      </c>
    </row>
    <row r="1994" spans="1:9" ht="15" customHeight="1" x14ac:dyDescent="0.3">
      <c r="A1994" s="21" t="s">
        <v>2328</v>
      </c>
      <c r="B1994" s="21">
        <v>2022</v>
      </c>
      <c r="C1994" s="21">
        <v>1</v>
      </c>
      <c r="D1994" s="21">
        <v>5</v>
      </c>
      <c r="E1994" s="21" t="s">
        <v>307</v>
      </c>
      <c r="F1994" s="21">
        <v>0</v>
      </c>
      <c r="G1994" s="21">
        <v>152.96</v>
      </c>
      <c r="H1994" s="21">
        <v>5137.63</v>
      </c>
      <c r="I1994" s="21">
        <v>335.88</v>
      </c>
    </row>
    <row r="1995" spans="1:9" ht="15" customHeight="1" x14ac:dyDescent="0.3">
      <c r="A1995" s="21" t="s">
        <v>2329</v>
      </c>
      <c r="B1995" s="21">
        <v>2022</v>
      </c>
      <c r="C1995" s="21">
        <v>1</v>
      </c>
      <c r="D1995" s="21">
        <v>6</v>
      </c>
      <c r="E1995" s="21" t="s">
        <v>310</v>
      </c>
      <c r="F1995" s="21">
        <v>0</v>
      </c>
      <c r="G1995" s="21">
        <v>153.37</v>
      </c>
      <c r="H1995" s="21">
        <v>5151.26</v>
      </c>
      <c r="I1995" s="21">
        <v>335.87</v>
      </c>
    </row>
    <row r="1996" spans="1:9" ht="15" customHeight="1" x14ac:dyDescent="0.3">
      <c r="A1996" s="21" t="s">
        <v>2330</v>
      </c>
      <c r="B1996" s="21">
        <v>2022</v>
      </c>
      <c r="C1996" s="21">
        <v>1</v>
      </c>
      <c r="D1996" s="21">
        <v>7</v>
      </c>
      <c r="E1996" s="21" t="s">
        <v>313</v>
      </c>
      <c r="F1996" s="21">
        <v>0</v>
      </c>
      <c r="G1996" s="21">
        <v>163.33000000000001</v>
      </c>
      <c r="H1996" s="21">
        <v>5485.8</v>
      </c>
      <c r="I1996" s="21">
        <v>335.87</v>
      </c>
    </row>
    <row r="1997" spans="1:9" ht="15" customHeight="1" x14ac:dyDescent="0.3">
      <c r="A1997" s="21" t="s">
        <v>2331</v>
      </c>
      <c r="B1997" s="21">
        <v>2022</v>
      </c>
      <c r="C1997" s="21">
        <v>1</v>
      </c>
      <c r="D1997" s="21">
        <v>8</v>
      </c>
      <c r="E1997" s="21" t="s">
        <v>316</v>
      </c>
      <c r="F1997" s="21">
        <v>1</v>
      </c>
      <c r="G1997" s="21">
        <v>129.97999999999999</v>
      </c>
      <c r="H1997" s="21">
        <v>4365.79</v>
      </c>
      <c r="I1997" s="21">
        <v>335.88</v>
      </c>
    </row>
    <row r="1998" spans="1:9" ht="15" customHeight="1" x14ac:dyDescent="0.3">
      <c r="A1998" s="21" t="s">
        <v>2332</v>
      </c>
      <c r="B1998" s="21">
        <v>2022</v>
      </c>
      <c r="C1998" s="21">
        <v>1</v>
      </c>
      <c r="D1998" s="21">
        <v>9</v>
      </c>
      <c r="E1998" s="21" t="s">
        <v>319</v>
      </c>
      <c r="F1998" s="21">
        <v>1</v>
      </c>
      <c r="G1998" s="21">
        <v>129.05000000000001</v>
      </c>
      <c r="H1998" s="21">
        <v>4334.41</v>
      </c>
      <c r="I1998" s="21">
        <v>335.87</v>
      </c>
    </row>
    <row r="1999" spans="1:9" ht="15" customHeight="1" x14ac:dyDescent="0.3">
      <c r="A1999" s="21" t="s">
        <v>2333</v>
      </c>
      <c r="B1999" s="21">
        <v>2022</v>
      </c>
      <c r="C1999" s="21">
        <v>1</v>
      </c>
      <c r="D1999" s="21">
        <v>10</v>
      </c>
      <c r="E1999" s="21" t="s">
        <v>299</v>
      </c>
      <c r="F1999" s="21">
        <v>0</v>
      </c>
      <c r="G1999" s="21">
        <v>153.69</v>
      </c>
      <c r="H1999" s="21">
        <v>5162.09</v>
      </c>
      <c r="I1999" s="21">
        <v>335.88</v>
      </c>
    </row>
    <row r="2000" spans="1:9" ht="15" customHeight="1" x14ac:dyDescent="0.3">
      <c r="A2000" s="21" t="s">
        <v>2334</v>
      </c>
      <c r="B2000" s="21">
        <v>2022</v>
      </c>
      <c r="C2000" s="21">
        <v>1</v>
      </c>
      <c r="D2000" s="21">
        <v>11</v>
      </c>
      <c r="E2000" s="21" t="s">
        <v>303</v>
      </c>
      <c r="F2000" s="21">
        <v>0</v>
      </c>
      <c r="G2000" s="21">
        <v>151.04</v>
      </c>
      <c r="H2000" s="21">
        <v>5072.96</v>
      </c>
      <c r="I2000" s="21">
        <v>335.87</v>
      </c>
    </row>
    <row r="2001" spans="1:9" ht="15" customHeight="1" x14ac:dyDescent="0.3">
      <c r="A2001" s="21" t="s">
        <v>2335</v>
      </c>
      <c r="B2001" s="21">
        <v>2022</v>
      </c>
      <c r="C2001" s="21">
        <v>1</v>
      </c>
      <c r="D2001" s="21">
        <v>12</v>
      </c>
      <c r="E2001" s="21" t="s">
        <v>307</v>
      </c>
      <c r="F2001" s="21">
        <v>0</v>
      </c>
      <c r="G2001" s="21">
        <v>152.69</v>
      </c>
      <c r="H2001" s="21">
        <v>5128.32</v>
      </c>
      <c r="I2001" s="21">
        <v>335.86</v>
      </c>
    </row>
    <row r="2002" spans="1:9" ht="15" customHeight="1" x14ac:dyDescent="0.3">
      <c r="A2002" s="21" t="s">
        <v>2336</v>
      </c>
      <c r="B2002" s="21">
        <v>2022</v>
      </c>
      <c r="C2002" s="21">
        <v>1</v>
      </c>
      <c r="D2002" s="21">
        <v>13</v>
      </c>
      <c r="E2002" s="21" t="s">
        <v>310</v>
      </c>
      <c r="F2002" s="21">
        <v>0</v>
      </c>
      <c r="G2002" s="21">
        <v>152.47999999999999</v>
      </c>
      <c r="H2002" s="21">
        <v>5121.3900000000003</v>
      </c>
      <c r="I2002" s="21">
        <v>335.87</v>
      </c>
    </row>
    <row r="2003" spans="1:9" ht="15" customHeight="1" x14ac:dyDescent="0.3">
      <c r="A2003" s="21" t="s">
        <v>2337</v>
      </c>
      <c r="B2003" s="21">
        <v>2022</v>
      </c>
      <c r="C2003" s="21">
        <v>1</v>
      </c>
      <c r="D2003" s="21">
        <v>14</v>
      </c>
      <c r="E2003" s="21" t="s">
        <v>313</v>
      </c>
      <c r="F2003" s="21">
        <v>0</v>
      </c>
      <c r="G2003" s="21">
        <v>166.35</v>
      </c>
      <c r="H2003" s="21">
        <v>5587.33</v>
      </c>
      <c r="I2003" s="21">
        <v>335.88</v>
      </c>
    </row>
    <row r="2004" spans="1:9" ht="15" customHeight="1" x14ac:dyDescent="0.3">
      <c r="A2004" s="21" t="s">
        <v>2338</v>
      </c>
      <c r="B2004" s="21">
        <v>2022</v>
      </c>
      <c r="C2004" s="21">
        <v>1</v>
      </c>
      <c r="D2004" s="21">
        <v>15</v>
      </c>
      <c r="E2004" s="21" t="s">
        <v>316</v>
      </c>
      <c r="F2004" s="21">
        <v>1</v>
      </c>
      <c r="G2004" s="21">
        <v>129.91</v>
      </c>
      <c r="H2004" s="21">
        <v>4363.2700000000004</v>
      </c>
      <c r="I2004" s="21">
        <v>335.87</v>
      </c>
    </row>
    <row r="2005" spans="1:9" ht="15" customHeight="1" x14ac:dyDescent="0.3">
      <c r="A2005" s="21" t="s">
        <v>2339</v>
      </c>
      <c r="B2005" s="21">
        <v>2022</v>
      </c>
      <c r="C2005" s="21">
        <v>1</v>
      </c>
      <c r="D2005" s="21">
        <v>16</v>
      </c>
      <c r="E2005" s="21" t="s">
        <v>319</v>
      </c>
      <c r="F2005" s="21">
        <v>1</v>
      </c>
      <c r="G2005" s="21">
        <v>128.31</v>
      </c>
      <c r="H2005" s="21">
        <v>4309.66</v>
      </c>
      <c r="I2005" s="21">
        <v>335.88</v>
      </c>
    </row>
    <row r="2006" spans="1:9" ht="15" customHeight="1" x14ac:dyDescent="0.3">
      <c r="A2006" s="21" t="s">
        <v>2340</v>
      </c>
      <c r="B2006" s="21">
        <v>2022</v>
      </c>
      <c r="C2006" s="21">
        <v>1</v>
      </c>
      <c r="D2006" s="21">
        <v>17</v>
      </c>
      <c r="E2006" s="21" t="s">
        <v>299</v>
      </c>
      <c r="F2006" s="21">
        <v>0</v>
      </c>
      <c r="G2006" s="21">
        <v>161.35</v>
      </c>
      <c r="H2006" s="21">
        <v>5419.25</v>
      </c>
      <c r="I2006" s="21">
        <v>335.87</v>
      </c>
    </row>
    <row r="2007" spans="1:9" ht="15" customHeight="1" x14ac:dyDescent="0.3">
      <c r="A2007" s="21" t="s">
        <v>2341</v>
      </c>
      <c r="B2007" s="21">
        <v>2022</v>
      </c>
      <c r="C2007" s="21">
        <v>1</v>
      </c>
      <c r="D2007" s="21">
        <v>18</v>
      </c>
      <c r="E2007" s="21" t="s">
        <v>303</v>
      </c>
      <c r="F2007" s="21">
        <v>0</v>
      </c>
      <c r="G2007" s="21">
        <v>148.99</v>
      </c>
      <c r="H2007" s="21">
        <v>5004.08</v>
      </c>
      <c r="I2007" s="21">
        <v>335.87</v>
      </c>
    </row>
    <row r="2008" spans="1:9" ht="15" customHeight="1" x14ac:dyDescent="0.3">
      <c r="A2008" s="21" t="s">
        <v>2342</v>
      </c>
      <c r="B2008" s="21">
        <v>2022</v>
      </c>
      <c r="C2008" s="21">
        <v>1</v>
      </c>
      <c r="D2008" s="21">
        <v>19</v>
      </c>
      <c r="E2008" s="21" t="s">
        <v>307</v>
      </c>
      <c r="F2008" s="21">
        <v>0</v>
      </c>
      <c r="G2008" s="21">
        <v>145.16</v>
      </c>
      <c r="H2008" s="21">
        <v>4875.57</v>
      </c>
      <c r="I2008" s="21">
        <v>335.88</v>
      </c>
    </row>
    <row r="2009" spans="1:9" ht="15" customHeight="1" x14ac:dyDescent="0.3">
      <c r="A2009" s="21" t="s">
        <v>2343</v>
      </c>
      <c r="B2009" s="21">
        <v>2022</v>
      </c>
      <c r="C2009" s="21">
        <v>1</v>
      </c>
      <c r="D2009" s="21">
        <v>20</v>
      </c>
      <c r="E2009" s="21" t="s">
        <v>310</v>
      </c>
      <c r="F2009" s="21">
        <v>0</v>
      </c>
      <c r="G2009" s="21">
        <v>148.38</v>
      </c>
      <c r="H2009" s="21">
        <v>4983.57</v>
      </c>
      <c r="I2009" s="21">
        <v>335.87</v>
      </c>
    </row>
    <row r="2010" spans="1:9" ht="15" customHeight="1" x14ac:dyDescent="0.3">
      <c r="A2010" s="21" t="s">
        <v>2344</v>
      </c>
      <c r="B2010" s="21">
        <v>2022</v>
      </c>
      <c r="C2010" s="21">
        <v>1</v>
      </c>
      <c r="D2010" s="21">
        <v>21</v>
      </c>
      <c r="E2010" s="21" t="s">
        <v>313</v>
      </c>
      <c r="F2010" s="21">
        <v>0</v>
      </c>
      <c r="G2010" s="21">
        <v>157.69999999999999</v>
      </c>
      <c r="H2010" s="21">
        <v>5296.79</v>
      </c>
      <c r="I2010" s="21">
        <v>335.88</v>
      </c>
    </row>
    <row r="2011" spans="1:9" ht="15" customHeight="1" x14ac:dyDescent="0.3">
      <c r="A2011" s="21" t="s">
        <v>2345</v>
      </c>
      <c r="B2011" s="21">
        <v>2022</v>
      </c>
      <c r="C2011" s="21">
        <v>1</v>
      </c>
      <c r="D2011" s="21">
        <v>22</v>
      </c>
      <c r="E2011" s="21" t="s">
        <v>316</v>
      </c>
      <c r="F2011" s="21">
        <v>1</v>
      </c>
      <c r="G2011" s="21">
        <v>123.72</v>
      </c>
      <c r="H2011" s="21">
        <v>4155.41</v>
      </c>
      <c r="I2011" s="21">
        <v>335.87</v>
      </c>
    </row>
    <row r="2012" spans="1:9" ht="15" customHeight="1" x14ac:dyDescent="0.3">
      <c r="A2012" s="21" t="s">
        <v>2346</v>
      </c>
      <c r="B2012" s="21">
        <v>2022</v>
      </c>
      <c r="C2012" s="21">
        <v>1</v>
      </c>
      <c r="D2012" s="21">
        <v>23</v>
      </c>
      <c r="E2012" s="21" t="s">
        <v>319</v>
      </c>
      <c r="F2012" s="21">
        <v>1</v>
      </c>
      <c r="G2012" s="21">
        <v>126.09</v>
      </c>
      <c r="H2012" s="21">
        <v>4235.1400000000003</v>
      </c>
      <c r="I2012" s="21">
        <v>335.88</v>
      </c>
    </row>
    <row r="2013" spans="1:9" ht="15" customHeight="1" x14ac:dyDescent="0.3">
      <c r="A2013" s="21" t="s">
        <v>2347</v>
      </c>
      <c r="B2013" s="21">
        <v>2022</v>
      </c>
      <c r="C2013" s="21">
        <v>1</v>
      </c>
      <c r="D2013" s="21">
        <v>24</v>
      </c>
      <c r="E2013" s="21" t="s">
        <v>299</v>
      </c>
      <c r="F2013" s="21">
        <v>0</v>
      </c>
      <c r="G2013" s="21">
        <v>153.02000000000001</v>
      </c>
      <c r="H2013" s="21">
        <v>5139.41</v>
      </c>
      <c r="I2013" s="21">
        <v>335.87</v>
      </c>
    </row>
    <row r="2014" spans="1:9" ht="15" customHeight="1" x14ac:dyDescent="0.3">
      <c r="A2014" s="21" t="s">
        <v>2348</v>
      </c>
      <c r="B2014" s="21">
        <v>2022</v>
      </c>
      <c r="C2014" s="21">
        <v>1</v>
      </c>
      <c r="D2014" s="21">
        <v>25</v>
      </c>
      <c r="E2014" s="21" t="s">
        <v>303</v>
      </c>
      <c r="F2014" s="21">
        <v>0</v>
      </c>
      <c r="G2014" s="21">
        <v>147.72999999999999</v>
      </c>
      <c r="H2014" s="21">
        <v>4961.8</v>
      </c>
      <c r="I2014" s="21">
        <v>335.87</v>
      </c>
    </row>
    <row r="2015" spans="1:9" ht="15" customHeight="1" x14ac:dyDescent="0.3">
      <c r="A2015" s="21" t="s">
        <v>2349</v>
      </c>
      <c r="B2015" s="21">
        <v>2022</v>
      </c>
      <c r="C2015" s="21">
        <v>1</v>
      </c>
      <c r="D2015" s="21">
        <v>26</v>
      </c>
      <c r="E2015" s="21" t="s">
        <v>307</v>
      </c>
      <c r="F2015" s="21">
        <v>0</v>
      </c>
      <c r="G2015" s="21">
        <v>140.63999999999999</v>
      </c>
      <c r="H2015" s="21">
        <v>4723.5600000000004</v>
      </c>
      <c r="I2015" s="21">
        <v>335.86</v>
      </c>
    </row>
    <row r="2016" spans="1:9" ht="15" customHeight="1" x14ac:dyDescent="0.3">
      <c r="A2016" s="21" t="s">
        <v>2350</v>
      </c>
      <c r="B2016" s="21">
        <v>2022</v>
      </c>
      <c r="C2016" s="21">
        <v>1</v>
      </c>
      <c r="D2016" s="21">
        <v>27</v>
      </c>
      <c r="E2016" s="21" t="s">
        <v>310</v>
      </c>
      <c r="F2016" s="21">
        <v>0</v>
      </c>
      <c r="G2016" s="21">
        <v>150.06</v>
      </c>
      <c r="H2016" s="21">
        <v>5040.1099999999997</v>
      </c>
      <c r="I2016" s="21">
        <v>335.87</v>
      </c>
    </row>
    <row r="2017" spans="1:9" ht="15" customHeight="1" x14ac:dyDescent="0.3">
      <c r="A2017" s="21" t="s">
        <v>2351</v>
      </c>
      <c r="B2017" s="21">
        <v>2022</v>
      </c>
      <c r="C2017" s="21">
        <v>1</v>
      </c>
      <c r="D2017" s="21">
        <v>28</v>
      </c>
      <c r="E2017" s="21" t="s">
        <v>313</v>
      </c>
      <c r="F2017" s="21">
        <v>0</v>
      </c>
      <c r="G2017" s="21">
        <v>161.04</v>
      </c>
      <c r="H2017" s="21">
        <v>5408.89</v>
      </c>
      <c r="I2017" s="21">
        <v>335.87</v>
      </c>
    </row>
    <row r="2018" spans="1:9" ht="15" customHeight="1" x14ac:dyDescent="0.3">
      <c r="A2018" s="21" t="s">
        <v>2352</v>
      </c>
      <c r="B2018" s="21">
        <v>2022</v>
      </c>
      <c r="C2018" s="21">
        <v>1</v>
      </c>
      <c r="D2018" s="21">
        <v>29</v>
      </c>
      <c r="E2018" s="21" t="s">
        <v>316</v>
      </c>
      <c r="F2018" s="21">
        <v>1</v>
      </c>
      <c r="G2018" s="21">
        <v>123.09</v>
      </c>
      <c r="H2018" s="21">
        <v>4134.09</v>
      </c>
      <c r="I2018" s="21">
        <v>335.86</v>
      </c>
    </row>
    <row r="2019" spans="1:9" ht="15" customHeight="1" x14ac:dyDescent="0.3">
      <c r="A2019" s="21" t="s">
        <v>2353</v>
      </c>
      <c r="B2019" s="21">
        <v>2022</v>
      </c>
      <c r="C2019" s="21">
        <v>1</v>
      </c>
      <c r="D2019" s="21">
        <v>30</v>
      </c>
      <c r="E2019" s="21" t="s">
        <v>319</v>
      </c>
      <c r="F2019" s="21">
        <v>1</v>
      </c>
      <c r="G2019" s="21">
        <v>149.13999999999999</v>
      </c>
      <c r="H2019" s="21">
        <v>5009.29</v>
      </c>
      <c r="I2019" s="21">
        <v>335.88</v>
      </c>
    </row>
    <row r="2020" spans="1:9" ht="15" customHeight="1" x14ac:dyDescent="0.3">
      <c r="A2020" s="21" t="s">
        <v>2354</v>
      </c>
      <c r="B2020" s="21">
        <v>2022</v>
      </c>
      <c r="C2020" s="21">
        <v>1</v>
      </c>
      <c r="D2020" s="21">
        <v>31</v>
      </c>
      <c r="E2020" s="21" t="s">
        <v>299</v>
      </c>
      <c r="F2020" s="21">
        <v>0</v>
      </c>
      <c r="G2020" s="21">
        <v>184.87</v>
      </c>
      <c r="H2020" s="21">
        <v>6209.23</v>
      </c>
      <c r="I2020" s="21">
        <v>335.87</v>
      </c>
    </row>
    <row r="2021" spans="1:9" ht="15" customHeight="1" x14ac:dyDescent="0.3">
      <c r="A2021" s="21" t="s">
        <v>164</v>
      </c>
      <c r="B2021" s="21">
        <v>2022</v>
      </c>
      <c r="C2021" s="21">
        <v>2</v>
      </c>
      <c r="D2021" s="21">
        <v>1</v>
      </c>
      <c r="E2021" s="21" t="s">
        <v>303</v>
      </c>
      <c r="F2021" s="21">
        <v>0</v>
      </c>
      <c r="G2021" s="21">
        <v>176.98</v>
      </c>
      <c r="H2021" s="21">
        <v>5946.48</v>
      </c>
      <c r="I2021" s="21">
        <v>336</v>
      </c>
    </row>
    <row r="2022" spans="1:9" ht="15" customHeight="1" x14ac:dyDescent="0.3">
      <c r="A2022" s="21" t="s">
        <v>2355</v>
      </c>
      <c r="B2022" s="21">
        <v>2022</v>
      </c>
      <c r="C2022" s="21">
        <v>2</v>
      </c>
      <c r="D2022" s="21">
        <v>2</v>
      </c>
      <c r="E2022" s="21" t="s">
        <v>307</v>
      </c>
      <c r="F2022" s="21">
        <v>0</v>
      </c>
      <c r="G2022" s="21">
        <v>181.7</v>
      </c>
      <c r="H2022" s="21">
        <v>6104.83</v>
      </c>
      <c r="I2022" s="21">
        <v>335.98</v>
      </c>
    </row>
    <row r="2023" spans="1:9" ht="15" customHeight="1" x14ac:dyDescent="0.3">
      <c r="A2023" s="21" t="s">
        <v>2356</v>
      </c>
      <c r="B2023" s="21">
        <v>2022</v>
      </c>
      <c r="C2023" s="21">
        <v>2</v>
      </c>
      <c r="D2023" s="21">
        <v>3</v>
      </c>
      <c r="E2023" s="21" t="s">
        <v>310</v>
      </c>
      <c r="F2023" s="21">
        <v>0</v>
      </c>
      <c r="G2023" s="21">
        <v>157.97</v>
      </c>
      <c r="H2023" s="21">
        <v>5307.5</v>
      </c>
      <c r="I2023" s="21">
        <v>335.98</v>
      </c>
    </row>
    <row r="2024" spans="1:9" ht="15" customHeight="1" x14ac:dyDescent="0.3">
      <c r="A2024" s="21" t="s">
        <v>2357</v>
      </c>
      <c r="B2024" s="21">
        <v>2022</v>
      </c>
      <c r="C2024" s="21">
        <v>2</v>
      </c>
      <c r="D2024" s="21">
        <v>4</v>
      </c>
      <c r="E2024" s="21" t="s">
        <v>313</v>
      </c>
      <c r="F2024" s="21">
        <v>0</v>
      </c>
      <c r="G2024" s="21">
        <v>170.07</v>
      </c>
      <c r="H2024" s="21">
        <v>5714.29</v>
      </c>
      <c r="I2024" s="21">
        <v>336</v>
      </c>
    </row>
    <row r="2025" spans="1:9" ht="15" customHeight="1" x14ac:dyDescent="0.3">
      <c r="A2025" s="21" t="s">
        <v>2358</v>
      </c>
      <c r="B2025" s="21">
        <v>2022</v>
      </c>
      <c r="C2025" s="21">
        <v>2</v>
      </c>
      <c r="D2025" s="21">
        <v>5</v>
      </c>
      <c r="E2025" s="21" t="s">
        <v>316</v>
      </c>
      <c r="F2025" s="21">
        <v>1</v>
      </c>
      <c r="G2025" s="21">
        <v>141.47</v>
      </c>
      <c r="H2025" s="21">
        <v>4753.12</v>
      </c>
      <c r="I2025" s="21">
        <v>335.98</v>
      </c>
    </row>
    <row r="2026" spans="1:9" ht="15" customHeight="1" x14ac:dyDescent="0.3">
      <c r="A2026" s="21" t="s">
        <v>2359</v>
      </c>
      <c r="B2026" s="21">
        <v>2022</v>
      </c>
      <c r="C2026" s="21">
        <v>2</v>
      </c>
      <c r="D2026" s="21">
        <v>6</v>
      </c>
      <c r="E2026" s="21" t="s">
        <v>319</v>
      </c>
      <c r="F2026" s="21">
        <v>1</v>
      </c>
      <c r="G2026" s="21">
        <v>136.5</v>
      </c>
      <c r="H2026" s="21">
        <v>4586.34</v>
      </c>
      <c r="I2026" s="21">
        <v>336</v>
      </c>
    </row>
    <row r="2027" spans="1:9" ht="15" customHeight="1" x14ac:dyDescent="0.3">
      <c r="A2027" s="21" t="s">
        <v>2360</v>
      </c>
      <c r="B2027" s="21">
        <v>2022</v>
      </c>
      <c r="C2027" s="21">
        <v>2</v>
      </c>
      <c r="D2027" s="21">
        <v>7</v>
      </c>
      <c r="E2027" s="21" t="s">
        <v>299</v>
      </c>
      <c r="F2027" s="21">
        <v>0</v>
      </c>
      <c r="G2027" s="21">
        <v>168.5</v>
      </c>
      <c r="H2027" s="21">
        <v>5661.39</v>
      </c>
      <c r="I2027" s="21">
        <v>335.99</v>
      </c>
    </row>
    <row r="2028" spans="1:9" ht="15" customHeight="1" x14ac:dyDescent="0.3">
      <c r="A2028" s="21" t="s">
        <v>2361</v>
      </c>
      <c r="B2028" s="21">
        <v>2022</v>
      </c>
      <c r="C2028" s="21">
        <v>2</v>
      </c>
      <c r="D2028" s="21">
        <v>8</v>
      </c>
      <c r="E2028" s="21" t="s">
        <v>303</v>
      </c>
      <c r="F2028" s="21">
        <v>0</v>
      </c>
      <c r="G2028" s="21">
        <v>151.97999999999999</v>
      </c>
      <c r="H2028" s="21">
        <v>5106.26</v>
      </c>
      <c r="I2028" s="21">
        <v>335.98</v>
      </c>
    </row>
    <row r="2029" spans="1:9" ht="15" customHeight="1" x14ac:dyDescent="0.3">
      <c r="A2029" s="21" t="s">
        <v>2362</v>
      </c>
      <c r="B2029" s="21">
        <v>2022</v>
      </c>
      <c r="C2029" s="21">
        <v>2</v>
      </c>
      <c r="D2029" s="21">
        <v>9</v>
      </c>
      <c r="E2029" s="21" t="s">
        <v>307</v>
      </c>
      <c r="F2029" s="21">
        <v>0</v>
      </c>
      <c r="G2029" s="21">
        <v>164.78</v>
      </c>
      <c r="H2029" s="21">
        <v>5536.42</v>
      </c>
      <c r="I2029" s="21">
        <v>335.99</v>
      </c>
    </row>
    <row r="2030" spans="1:9" ht="15" customHeight="1" x14ac:dyDescent="0.3">
      <c r="A2030" s="21" t="s">
        <v>2363</v>
      </c>
      <c r="B2030" s="21">
        <v>2022</v>
      </c>
      <c r="C2030" s="21">
        <v>2</v>
      </c>
      <c r="D2030" s="21">
        <v>10</v>
      </c>
      <c r="E2030" s="21" t="s">
        <v>310</v>
      </c>
      <c r="F2030" s="21">
        <v>0</v>
      </c>
      <c r="G2030" s="21">
        <v>155.68</v>
      </c>
      <c r="H2030" s="21">
        <v>5230.88</v>
      </c>
      <c r="I2030" s="21">
        <v>336</v>
      </c>
    </row>
    <row r="2031" spans="1:9" ht="15" customHeight="1" x14ac:dyDescent="0.3">
      <c r="A2031" s="21" t="s">
        <v>2364</v>
      </c>
      <c r="B2031" s="21">
        <v>2022</v>
      </c>
      <c r="C2031" s="21">
        <v>2</v>
      </c>
      <c r="D2031" s="21">
        <v>11</v>
      </c>
      <c r="E2031" s="21" t="s">
        <v>313</v>
      </c>
      <c r="F2031" s="21">
        <v>0</v>
      </c>
      <c r="G2031" s="21">
        <v>174.92</v>
      </c>
      <c r="H2031" s="21">
        <v>5877.25</v>
      </c>
      <c r="I2031" s="21">
        <v>336</v>
      </c>
    </row>
    <row r="2032" spans="1:9" ht="15" customHeight="1" x14ac:dyDescent="0.3">
      <c r="A2032" s="21" t="s">
        <v>2365</v>
      </c>
      <c r="B2032" s="21">
        <v>2022</v>
      </c>
      <c r="C2032" s="21">
        <v>2</v>
      </c>
      <c r="D2032" s="21">
        <v>12</v>
      </c>
      <c r="E2032" s="21" t="s">
        <v>316</v>
      </c>
      <c r="F2032" s="21">
        <v>1</v>
      </c>
      <c r="G2032" s="21">
        <v>138.79</v>
      </c>
      <c r="H2032" s="21">
        <v>4663.1400000000003</v>
      </c>
      <c r="I2032" s="21">
        <v>335.99</v>
      </c>
    </row>
    <row r="2033" spans="1:9" ht="15" customHeight="1" x14ac:dyDescent="0.3">
      <c r="A2033" s="21" t="s">
        <v>2366</v>
      </c>
      <c r="B2033" s="21">
        <v>2022</v>
      </c>
      <c r="C2033" s="21">
        <v>2</v>
      </c>
      <c r="D2033" s="21">
        <v>13</v>
      </c>
      <c r="E2033" s="21" t="s">
        <v>319</v>
      </c>
      <c r="F2033" s="21">
        <v>1</v>
      </c>
      <c r="G2033" s="21">
        <v>144.04</v>
      </c>
      <c r="H2033" s="21">
        <v>4839.7</v>
      </c>
      <c r="I2033" s="21">
        <v>336</v>
      </c>
    </row>
    <row r="2034" spans="1:9" ht="15" customHeight="1" x14ac:dyDescent="0.3">
      <c r="A2034" s="21" t="s">
        <v>2367</v>
      </c>
      <c r="B2034" s="21">
        <v>2022</v>
      </c>
      <c r="C2034" s="21">
        <v>2</v>
      </c>
      <c r="D2034" s="21">
        <v>14</v>
      </c>
      <c r="E2034" s="21" t="s">
        <v>299</v>
      </c>
      <c r="F2034" s="21">
        <v>0</v>
      </c>
      <c r="G2034" s="21">
        <v>163.43</v>
      </c>
      <c r="H2034" s="21">
        <v>5491.18</v>
      </c>
      <c r="I2034" s="21">
        <v>336</v>
      </c>
    </row>
    <row r="2035" spans="1:9" ht="15" customHeight="1" x14ac:dyDescent="0.3">
      <c r="A2035" s="21" t="s">
        <v>2368</v>
      </c>
      <c r="B2035" s="21">
        <v>2022</v>
      </c>
      <c r="C2035" s="21">
        <v>2</v>
      </c>
      <c r="D2035" s="21">
        <v>15</v>
      </c>
      <c r="E2035" s="21" t="s">
        <v>303</v>
      </c>
      <c r="F2035" s="21">
        <v>0</v>
      </c>
      <c r="G2035" s="21">
        <v>147.05000000000001</v>
      </c>
      <c r="H2035" s="21">
        <v>4940.72</v>
      </c>
      <c r="I2035" s="21">
        <v>335.99</v>
      </c>
    </row>
    <row r="2036" spans="1:9" ht="15" customHeight="1" x14ac:dyDescent="0.3">
      <c r="A2036" s="21" t="s">
        <v>2369</v>
      </c>
      <c r="B2036" s="21">
        <v>2022</v>
      </c>
      <c r="C2036" s="21">
        <v>2</v>
      </c>
      <c r="D2036" s="21">
        <v>16</v>
      </c>
      <c r="E2036" s="21" t="s">
        <v>307</v>
      </c>
      <c r="F2036" s="21">
        <v>0</v>
      </c>
      <c r="G2036" s="21">
        <v>162.59</v>
      </c>
      <c r="H2036" s="21">
        <v>5462.82</v>
      </c>
      <c r="I2036" s="21">
        <v>335.99</v>
      </c>
    </row>
    <row r="2037" spans="1:9" ht="15" customHeight="1" x14ac:dyDescent="0.3">
      <c r="A2037" s="21" t="s">
        <v>2370</v>
      </c>
      <c r="B2037" s="21">
        <v>2022</v>
      </c>
      <c r="C2037" s="21">
        <v>2</v>
      </c>
      <c r="D2037" s="21">
        <v>17</v>
      </c>
      <c r="E2037" s="21" t="s">
        <v>310</v>
      </c>
      <c r="F2037" s="21">
        <v>0</v>
      </c>
      <c r="G2037" s="21">
        <v>170.43</v>
      </c>
      <c r="H2037" s="21">
        <v>5726.31</v>
      </c>
      <c r="I2037" s="21">
        <v>335.99</v>
      </c>
    </row>
    <row r="2038" spans="1:9" ht="15" customHeight="1" x14ac:dyDescent="0.3">
      <c r="A2038" s="21" t="s">
        <v>2371</v>
      </c>
      <c r="B2038" s="21">
        <v>2022</v>
      </c>
      <c r="C2038" s="21">
        <v>2</v>
      </c>
      <c r="D2038" s="21">
        <v>18</v>
      </c>
      <c r="E2038" s="21" t="s">
        <v>313</v>
      </c>
      <c r="F2038" s="21">
        <v>0</v>
      </c>
      <c r="G2038" s="21">
        <v>180.64</v>
      </c>
      <c r="H2038" s="21">
        <v>6069.42</v>
      </c>
      <c r="I2038" s="21">
        <v>336</v>
      </c>
    </row>
    <row r="2039" spans="1:9" ht="15" customHeight="1" x14ac:dyDescent="0.3">
      <c r="A2039" s="21" t="s">
        <v>2372</v>
      </c>
      <c r="B2039" s="21">
        <v>2022</v>
      </c>
      <c r="C2039" s="21">
        <v>2</v>
      </c>
      <c r="D2039" s="21">
        <v>19</v>
      </c>
      <c r="E2039" s="21" t="s">
        <v>316</v>
      </c>
      <c r="F2039" s="21">
        <v>1</v>
      </c>
      <c r="G2039" s="21">
        <v>138.46</v>
      </c>
      <c r="H2039" s="21">
        <v>4652.1000000000004</v>
      </c>
      <c r="I2039" s="21">
        <v>335.99</v>
      </c>
    </row>
    <row r="2040" spans="1:9" ht="15" customHeight="1" x14ac:dyDescent="0.3">
      <c r="A2040" s="21" t="s">
        <v>2373</v>
      </c>
      <c r="B2040" s="21">
        <v>2022</v>
      </c>
      <c r="C2040" s="21">
        <v>2</v>
      </c>
      <c r="D2040" s="21">
        <v>20</v>
      </c>
      <c r="E2040" s="21" t="s">
        <v>319</v>
      </c>
      <c r="F2040" s="21">
        <v>1</v>
      </c>
      <c r="G2040" s="21">
        <v>135.06</v>
      </c>
      <c r="H2040" s="21">
        <v>4537.8</v>
      </c>
      <c r="I2040" s="21">
        <v>335.98</v>
      </c>
    </row>
    <row r="2041" spans="1:9" ht="15" customHeight="1" x14ac:dyDescent="0.3">
      <c r="A2041" s="21" t="s">
        <v>2374</v>
      </c>
      <c r="B2041" s="21">
        <v>2022</v>
      </c>
      <c r="C2041" s="21">
        <v>2</v>
      </c>
      <c r="D2041" s="21">
        <v>21</v>
      </c>
      <c r="E2041" s="21" t="s">
        <v>299</v>
      </c>
      <c r="F2041" s="21">
        <v>0</v>
      </c>
      <c r="G2041" s="21">
        <v>173.7</v>
      </c>
      <c r="H2041" s="21">
        <v>5836.05</v>
      </c>
      <c r="I2041" s="21">
        <v>335.98</v>
      </c>
    </row>
    <row r="2042" spans="1:9" ht="15" customHeight="1" x14ac:dyDescent="0.3">
      <c r="A2042" s="21" t="s">
        <v>2375</v>
      </c>
      <c r="B2042" s="21">
        <v>2022</v>
      </c>
      <c r="C2042" s="21">
        <v>2</v>
      </c>
      <c r="D2042" s="21">
        <v>22</v>
      </c>
      <c r="E2042" s="21" t="s">
        <v>303</v>
      </c>
      <c r="F2042" s="21">
        <v>0</v>
      </c>
      <c r="G2042" s="21">
        <v>156.97</v>
      </c>
      <c r="H2042" s="21">
        <v>5274.18</v>
      </c>
      <c r="I2042" s="21">
        <v>336</v>
      </c>
    </row>
    <row r="2043" spans="1:9" ht="15" customHeight="1" x14ac:dyDescent="0.3">
      <c r="A2043" s="21" t="s">
        <v>2376</v>
      </c>
      <c r="B2043" s="21">
        <v>2022</v>
      </c>
      <c r="C2043" s="21">
        <v>2</v>
      </c>
      <c r="D2043" s="21">
        <v>23</v>
      </c>
      <c r="E2043" s="21" t="s">
        <v>307</v>
      </c>
      <c r="F2043" s="21">
        <v>0</v>
      </c>
      <c r="G2043" s="21">
        <v>164.01</v>
      </c>
      <c r="H2043" s="21">
        <v>5510.5</v>
      </c>
      <c r="I2043" s="21">
        <v>335.99</v>
      </c>
    </row>
    <row r="2044" spans="1:9" ht="15" customHeight="1" x14ac:dyDescent="0.3">
      <c r="A2044" s="21" t="s">
        <v>2377</v>
      </c>
      <c r="B2044" s="21">
        <v>2022</v>
      </c>
      <c r="C2044" s="21">
        <v>2</v>
      </c>
      <c r="D2044" s="21">
        <v>24</v>
      </c>
      <c r="E2044" s="21" t="s">
        <v>310</v>
      </c>
      <c r="F2044" s="21">
        <v>0</v>
      </c>
      <c r="G2044" s="21">
        <v>164.15</v>
      </c>
      <c r="H2044" s="21">
        <v>5515.24</v>
      </c>
      <c r="I2044" s="21">
        <v>335.99</v>
      </c>
    </row>
    <row r="2045" spans="1:9" ht="15" customHeight="1" x14ac:dyDescent="0.3">
      <c r="A2045" s="21" t="s">
        <v>2378</v>
      </c>
      <c r="B2045" s="21">
        <v>2022</v>
      </c>
      <c r="C2045" s="21">
        <v>2</v>
      </c>
      <c r="D2045" s="21">
        <v>25</v>
      </c>
      <c r="E2045" s="21" t="s">
        <v>313</v>
      </c>
      <c r="F2045" s="21">
        <v>0</v>
      </c>
      <c r="G2045" s="21">
        <v>179.78</v>
      </c>
      <c r="H2045" s="21">
        <v>6040.28</v>
      </c>
      <c r="I2045" s="21">
        <v>335.98</v>
      </c>
    </row>
    <row r="2046" spans="1:9" ht="15" customHeight="1" x14ac:dyDescent="0.3">
      <c r="A2046" s="21" t="s">
        <v>2379</v>
      </c>
      <c r="B2046" s="21">
        <v>2022</v>
      </c>
      <c r="C2046" s="21">
        <v>2</v>
      </c>
      <c r="D2046" s="21">
        <v>26</v>
      </c>
      <c r="E2046" s="21" t="s">
        <v>316</v>
      </c>
      <c r="F2046" s="21">
        <v>1</v>
      </c>
      <c r="G2046" s="21">
        <v>150.83000000000001</v>
      </c>
      <c r="H2046" s="21">
        <v>5067.71</v>
      </c>
      <c r="I2046" s="21">
        <v>335.99</v>
      </c>
    </row>
    <row r="2047" spans="1:9" ht="15" customHeight="1" x14ac:dyDescent="0.3">
      <c r="A2047" s="21" t="s">
        <v>2380</v>
      </c>
      <c r="B2047" s="21">
        <v>2022</v>
      </c>
      <c r="C2047" s="21">
        <v>2</v>
      </c>
      <c r="D2047" s="21">
        <v>27</v>
      </c>
      <c r="E2047" s="21" t="s">
        <v>319</v>
      </c>
      <c r="F2047" s="21">
        <v>1</v>
      </c>
      <c r="G2047" s="21">
        <v>160.25</v>
      </c>
      <c r="H2047" s="21">
        <v>5384.17</v>
      </c>
      <c r="I2047" s="21">
        <v>335.99</v>
      </c>
    </row>
    <row r="2048" spans="1:9" ht="15" customHeight="1" x14ac:dyDescent="0.3">
      <c r="A2048" s="21" t="s">
        <v>2381</v>
      </c>
      <c r="B2048" s="21">
        <v>2022</v>
      </c>
      <c r="C2048" s="21">
        <v>2</v>
      </c>
      <c r="D2048" s="21">
        <v>28</v>
      </c>
      <c r="E2048" s="21" t="s">
        <v>299</v>
      </c>
      <c r="F2048" s="21">
        <v>0</v>
      </c>
      <c r="G2048" s="21">
        <v>192.41</v>
      </c>
      <c r="H2048" s="21">
        <v>6464.78</v>
      </c>
      <c r="I2048" s="21">
        <v>335.99</v>
      </c>
    </row>
    <row r="2049" spans="1:9" ht="15" customHeight="1" x14ac:dyDescent="0.3">
      <c r="A2049" s="21" t="s">
        <v>165</v>
      </c>
      <c r="B2049" s="21">
        <v>2022</v>
      </c>
      <c r="C2049" s="21">
        <v>3</v>
      </c>
      <c r="D2049" s="21">
        <v>1</v>
      </c>
      <c r="E2049" s="21" t="s">
        <v>303</v>
      </c>
      <c r="F2049" s="21">
        <v>0</v>
      </c>
      <c r="G2049" s="21">
        <v>200.33</v>
      </c>
      <c r="H2049" s="21">
        <v>6708.99</v>
      </c>
      <c r="I2049" s="21">
        <v>334.9</v>
      </c>
    </row>
    <row r="2050" spans="1:9" ht="15" customHeight="1" x14ac:dyDescent="0.3">
      <c r="A2050" s="21" t="s">
        <v>2382</v>
      </c>
      <c r="B2050" s="21">
        <v>2022</v>
      </c>
      <c r="C2050" s="21">
        <v>3</v>
      </c>
      <c r="D2050" s="21">
        <v>2</v>
      </c>
      <c r="E2050" s="21" t="s">
        <v>307</v>
      </c>
      <c r="F2050" s="21">
        <v>0</v>
      </c>
      <c r="G2050" s="21">
        <v>189.85</v>
      </c>
      <c r="H2050" s="21">
        <v>6357.81</v>
      </c>
      <c r="I2050" s="21">
        <v>334.89</v>
      </c>
    </row>
    <row r="2051" spans="1:9" ht="15" customHeight="1" x14ac:dyDescent="0.3">
      <c r="A2051" s="21" t="s">
        <v>2383</v>
      </c>
      <c r="B2051" s="21">
        <v>2022</v>
      </c>
      <c r="C2051" s="21">
        <v>3</v>
      </c>
      <c r="D2051" s="21">
        <v>3</v>
      </c>
      <c r="E2051" s="21" t="s">
        <v>310</v>
      </c>
      <c r="F2051" s="21">
        <v>0</v>
      </c>
      <c r="G2051" s="21">
        <v>170.7</v>
      </c>
      <c r="H2051" s="21">
        <v>5716.71</v>
      </c>
      <c r="I2051" s="21">
        <v>334.9</v>
      </c>
    </row>
    <row r="2052" spans="1:9" ht="15" customHeight="1" x14ac:dyDescent="0.3">
      <c r="A2052" s="21" t="s">
        <v>2384</v>
      </c>
      <c r="B2052" s="21">
        <v>2022</v>
      </c>
      <c r="C2052" s="21">
        <v>3</v>
      </c>
      <c r="D2052" s="21">
        <v>4</v>
      </c>
      <c r="E2052" s="21" t="s">
        <v>313</v>
      </c>
      <c r="F2052" s="21">
        <v>0</v>
      </c>
      <c r="G2052" s="21">
        <v>186.14</v>
      </c>
      <c r="H2052" s="21">
        <v>6233.77</v>
      </c>
      <c r="I2052" s="21">
        <v>334.9</v>
      </c>
    </row>
    <row r="2053" spans="1:9" ht="15" customHeight="1" x14ac:dyDescent="0.3">
      <c r="A2053" s="21" t="s">
        <v>2385</v>
      </c>
      <c r="B2053" s="21">
        <v>2022</v>
      </c>
      <c r="C2053" s="21">
        <v>3</v>
      </c>
      <c r="D2053" s="21">
        <v>5</v>
      </c>
      <c r="E2053" s="21" t="s">
        <v>316</v>
      </c>
      <c r="F2053" s="21">
        <v>1</v>
      </c>
      <c r="G2053" s="21">
        <v>145.44</v>
      </c>
      <c r="H2053" s="21">
        <v>4870.83</v>
      </c>
      <c r="I2053" s="21">
        <v>334.9</v>
      </c>
    </row>
    <row r="2054" spans="1:9" ht="15" customHeight="1" x14ac:dyDescent="0.3">
      <c r="A2054" s="21" t="s">
        <v>2386</v>
      </c>
      <c r="B2054" s="21">
        <v>2022</v>
      </c>
      <c r="C2054" s="21">
        <v>3</v>
      </c>
      <c r="D2054" s="21">
        <v>6</v>
      </c>
      <c r="E2054" s="21" t="s">
        <v>319</v>
      </c>
      <c r="F2054" s="21">
        <v>1</v>
      </c>
      <c r="G2054" s="21">
        <v>148.97999999999999</v>
      </c>
      <c r="H2054" s="21">
        <v>4989.3100000000004</v>
      </c>
      <c r="I2054" s="21">
        <v>334.9</v>
      </c>
    </row>
    <row r="2055" spans="1:9" ht="15" customHeight="1" x14ac:dyDescent="0.3">
      <c r="A2055" s="21" t="s">
        <v>2387</v>
      </c>
      <c r="B2055" s="21">
        <v>2022</v>
      </c>
      <c r="C2055" s="21">
        <v>3</v>
      </c>
      <c r="D2055" s="21">
        <v>7</v>
      </c>
      <c r="E2055" s="21" t="s">
        <v>299</v>
      </c>
      <c r="F2055" s="21">
        <v>0</v>
      </c>
      <c r="G2055" s="21">
        <v>178.75</v>
      </c>
      <c r="H2055" s="21">
        <v>5986.26</v>
      </c>
      <c r="I2055" s="21">
        <v>334.9</v>
      </c>
    </row>
    <row r="2056" spans="1:9" ht="15" customHeight="1" x14ac:dyDescent="0.3">
      <c r="A2056" s="21" t="s">
        <v>2388</v>
      </c>
      <c r="B2056" s="21">
        <v>2022</v>
      </c>
      <c r="C2056" s="21">
        <v>3</v>
      </c>
      <c r="D2056" s="21">
        <v>8</v>
      </c>
      <c r="E2056" s="21" t="s">
        <v>303</v>
      </c>
      <c r="F2056" s="21">
        <v>0</v>
      </c>
      <c r="G2056" s="21">
        <v>180.2</v>
      </c>
      <c r="H2056" s="21">
        <v>6034.74</v>
      </c>
      <c r="I2056" s="21">
        <v>334.89</v>
      </c>
    </row>
    <row r="2057" spans="1:9" ht="15" customHeight="1" x14ac:dyDescent="0.3">
      <c r="A2057" s="21" t="s">
        <v>2389</v>
      </c>
      <c r="B2057" s="21">
        <v>2022</v>
      </c>
      <c r="C2057" s="21">
        <v>3</v>
      </c>
      <c r="D2057" s="21">
        <v>9</v>
      </c>
      <c r="E2057" s="21" t="s">
        <v>307</v>
      </c>
      <c r="F2057" s="21">
        <v>0</v>
      </c>
      <c r="G2057" s="21">
        <v>174.34</v>
      </c>
      <c r="H2057" s="21">
        <v>5838.42</v>
      </c>
      <c r="I2057" s="21">
        <v>334.89</v>
      </c>
    </row>
    <row r="2058" spans="1:9" ht="15" customHeight="1" x14ac:dyDescent="0.3">
      <c r="A2058" s="21" t="s">
        <v>2390</v>
      </c>
      <c r="B2058" s="21">
        <v>2022</v>
      </c>
      <c r="C2058" s="21">
        <v>3</v>
      </c>
      <c r="D2058" s="21">
        <v>10</v>
      </c>
      <c r="E2058" s="21" t="s">
        <v>310</v>
      </c>
      <c r="F2058" s="21">
        <v>0</v>
      </c>
      <c r="G2058" s="21">
        <v>174.29</v>
      </c>
      <c r="H2058" s="21">
        <v>5836.76</v>
      </c>
      <c r="I2058" s="21">
        <v>334.89</v>
      </c>
    </row>
    <row r="2059" spans="1:9" ht="15" customHeight="1" x14ac:dyDescent="0.3">
      <c r="A2059" s="21" t="s">
        <v>2391</v>
      </c>
      <c r="B2059" s="21">
        <v>2022</v>
      </c>
      <c r="C2059" s="21">
        <v>3</v>
      </c>
      <c r="D2059" s="21">
        <v>11</v>
      </c>
      <c r="E2059" s="21" t="s">
        <v>313</v>
      </c>
      <c r="F2059" s="21">
        <v>0</v>
      </c>
      <c r="G2059" s="21">
        <v>186.57</v>
      </c>
      <c r="H2059" s="21">
        <v>6248.03</v>
      </c>
      <c r="I2059" s="21">
        <v>334.89</v>
      </c>
    </row>
    <row r="2060" spans="1:9" ht="15" customHeight="1" x14ac:dyDescent="0.3">
      <c r="A2060" s="21" t="s">
        <v>2392</v>
      </c>
      <c r="B2060" s="21">
        <v>2022</v>
      </c>
      <c r="C2060" s="21">
        <v>3</v>
      </c>
      <c r="D2060" s="21">
        <v>12</v>
      </c>
      <c r="E2060" s="21" t="s">
        <v>316</v>
      </c>
      <c r="F2060" s="21">
        <v>1</v>
      </c>
      <c r="G2060" s="21">
        <v>149</v>
      </c>
      <c r="H2060" s="21">
        <v>4989.8100000000004</v>
      </c>
      <c r="I2060" s="21">
        <v>334.89</v>
      </c>
    </row>
    <row r="2061" spans="1:9" ht="15" customHeight="1" x14ac:dyDescent="0.3">
      <c r="A2061" s="21" t="s">
        <v>2393</v>
      </c>
      <c r="B2061" s="21">
        <v>2022</v>
      </c>
      <c r="C2061" s="21">
        <v>3</v>
      </c>
      <c r="D2061" s="21">
        <v>13</v>
      </c>
      <c r="E2061" s="21" t="s">
        <v>319</v>
      </c>
      <c r="F2061" s="21">
        <v>1</v>
      </c>
      <c r="G2061" s="21">
        <v>152.5</v>
      </c>
      <c r="H2061" s="21">
        <v>5107.1499999999996</v>
      </c>
      <c r="I2061" s="21">
        <v>334.9</v>
      </c>
    </row>
    <row r="2062" spans="1:9" ht="15" customHeight="1" x14ac:dyDescent="0.3">
      <c r="A2062" s="21" t="s">
        <v>2394</v>
      </c>
      <c r="B2062" s="21">
        <v>2022</v>
      </c>
      <c r="C2062" s="21">
        <v>3</v>
      </c>
      <c r="D2062" s="21">
        <v>14</v>
      </c>
      <c r="E2062" s="21" t="s">
        <v>299</v>
      </c>
      <c r="F2062" s="21">
        <v>0</v>
      </c>
      <c r="G2062" s="21">
        <v>178.52</v>
      </c>
      <c r="H2062" s="21">
        <v>5978.43</v>
      </c>
      <c r="I2062" s="21">
        <v>334.89</v>
      </c>
    </row>
    <row r="2063" spans="1:9" ht="15" customHeight="1" x14ac:dyDescent="0.3">
      <c r="A2063" s="21" t="s">
        <v>2395</v>
      </c>
      <c r="B2063" s="21">
        <v>2022</v>
      </c>
      <c r="C2063" s="21">
        <v>3</v>
      </c>
      <c r="D2063" s="21">
        <v>15</v>
      </c>
      <c r="E2063" s="21" t="s">
        <v>303</v>
      </c>
      <c r="F2063" s="21">
        <v>0</v>
      </c>
      <c r="G2063" s="21">
        <v>170.89</v>
      </c>
      <c r="H2063" s="21">
        <v>5723.12</v>
      </c>
      <c r="I2063" s="21">
        <v>334.9</v>
      </c>
    </row>
    <row r="2064" spans="1:9" ht="15" customHeight="1" x14ac:dyDescent="0.3">
      <c r="A2064" s="21" t="s">
        <v>2396</v>
      </c>
      <c r="B2064" s="21">
        <v>2022</v>
      </c>
      <c r="C2064" s="21">
        <v>3</v>
      </c>
      <c r="D2064" s="21">
        <v>16</v>
      </c>
      <c r="E2064" s="21" t="s">
        <v>307</v>
      </c>
      <c r="F2064" s="21">
        <v>0</v>
      </c>
      <c r="G2064" s="21">
        <v>172.75</v>
      </c>
      <c r="H2064" s="21">
        <v>5785.19</v>
      </c>
      <c r="I2064" s="21">
        <v>334.89</v>
      </c>
    </row>
    <row r="2065" spans="1:9" ht="15" customHeight="1" x14ac:dyDescent="0.3">
      <c r="A2065" s="21" t="s">
        <v>2397</v>
      </c>
      <c r="B2065" s="21">
        <v>2022</v>
      </c>
      <c r="C2065" s="21">
        <v>3</v>
      </c>
      <c r="D2065" s="21">
        <v>17</v>
      </c>
      <c r="E2065" s="21" t="s">
        <v>310</v>
      </c>
      <c r="F2065" s="21">
        <v>0</v>
      </c>
      <c r="G2065" s="21">
        <v>167.3</v>
      </c>
      <c r="H2065" s="21">
        <v>5602.66</v>
      </c>
      <c r="I2065" s="21">
        <v>334.89</v>
      </c>
    </row>
    <row r="2066" spans="1:9" ht="15" customHeight="1" x14ac:dyDescent="0.3">
      <c r="A2066" s="21" t="s">
        <v>2398</v>
      </c>
      <c r="B2066" s="21">
        <v>2022</v>
      </c>
      <c r="C2066" s="21">
        <v>3</v>
      </c>
      <c r="D2066" s="21">
        <v>18</v>
      </c>
      <c r="E2066" s="21" t="s">
        <v>313</v>
      </c>
      <c r="F2066" s="21">
        <v>0</v>
      </c>
      <c r="G2066" s="21">
        <v>184</v>
      </c>
      <c r="H2066" s="21">
        <v>6161.96</v>
      </c>
      <c r="I2066" s="21">
        <v>334.89</v>
      </c>
    </row>
    <row r="2067" spans="1:9" ht="15" customHeight="1" x14ac:dyDescent="0.3">
      <c r="A2067" s="21" t="s">
        <v>2399</v>
      </c>
      <c r="B2067" s="21">
        <v>2022</v>
      </c>
      <c r="C2067" s="21">
        <v>3</v>
      </c>
      <c r="D2067" s="21">
        <v>19</v>
      </c>
      <c r="E2067" s="21" t="s">
        <v>316</v>
      </c>
      <c r="F2067" s="21">
        <v>1</v>
      </c>
      <c r="G2067" s="21">
        <v>145.69</v>
      </c>
      <c r="H2067" s="21">
        <v>4879.22</v>
      </c>
      <c r="I2067" s="21">
        <v>334.9</v>
      </c>
    </row>
    <row r="2068" spans="1:9" ht="15" customHeight="1" x14ac:dyDescent="0.3">
      <c r="A2068" s="21" t="s">
        <v>2400</v>
      </c>
      <c r="B2068" s="21">
        <v>2022</v>
      </c>
      <c r="C2068" s="21">
        <v>3</v>
      </c>
      <c r="D2068" s="21">
        <v>20</v>
      </c>
      <c r="E2068" s="21" t="s">
        <v>319</v>
      </c>
      <c r="F2068" s="21">
        <v>1</v>
      </c>
      <c r="G2068" s="21">
        <v>152.76</v>
      </c>
      <c r="H2068" s="21">
        <v>5115.78</v>
      </c>
      <c r="I2068" s="21">
        <v>334.89</v>
      </c>
    </row>
    <row r="2069" spans="1:9" ht="15" customHeight="1" x14ac:dyDescent="0.3">
      <c r="A2069" s="21" t="s">
        <v>2401</v>
      </c>
      <c r="B2069" s="21">
        <v>2022</v>
      </c>
      <c r="C2069" s="21">
        <v>3</v>
      </c>
      <c r="D2069" s="21">
        <v>21</v>
      </c>
      <c r="E2069" s="21" t="s">
        <v>299</v>
      </c>
      <c r="F2069" s="21">
        <v>0</v>
      </c>
      <c r="G2069" s="21">
        <v>184.43</v>
      </c>
      <c r="H2069" s="21">
        <v>6176.29</v>
      </c>
      <c r="I2069" s="21">
        <v>334.89</v>
      </c>
    </row>
    <row r="2070" spans="1:9" ht="15" customHeight="1" x14ac:dyDescent="0.3">
      <c r="A2070" s="21" t="s">
        <v>2402</v>
      </c>
      <c r="B2070" s="21">
        <v>2022</v>
      </c>
      <c r="C2070" s="21">
        <v>3</v>
      </c>
      <c r="D2070" s="21">
        <v>22</v>
      </c>
      <c r="E2070" s="21" t="s">
        <v>303</v>
      </c>
      <c r="F2070" s="21">
        <v>0</v>
      </c>
      <c r="G2070" s="21">
        <v>175.35</v>
      </c>
      <c r="H2070" s="21">
        <v>5872.29</v>
      </c>
      <c r="I2070" s="21">
        <v>334.89</v>
      </c>
    </row>
    <row r="2071" spans="1:9" ht="15" customHeight="1" x14ac:dyDescent="0.3">
      <c r="A2071" s="21" t="s">
        <v>2403</v>
      </c>
      <c r="B2071" s="21">
        <v>2022</v>
      </c>
      <c r="C2071" s="21">
        <v>3</v>
      </c>
      <c r="D2071" s="21">
        <v>23</v>
      </c>
      <c r="E2071" s="21" t="s">
        <v>307</v>
      </c>
      <c r="F2071" s="21">
        <v>0</v>
      </c>
      <c r="G2071" s="21">
        <v>178.79</v>
      </c>
      <c r="H2071" s="21">
        <v>5987.42</v>
      </c>
      <c r="I2071" s="21">
        <v>334.89</v>
      </c>
    </row>
    <row r="2072" spans="1:9" ht="15" customHeight="1" x14ac:dyDescent="0.3">
      <c r="A2072" s="21" t="s">
        <v>2404</v>
      </c>
      <c r="B2072" s="21">
        <v>2022</v>
      </c>
      <c r="C2072" s="21">
        <v>3</v>
      </c>
      <c r="D2072" s="21">
        <v>24</v>
      </c>
      <c r="E2072" s="21" t="s">
        <v>310</v>
      </c>
      <c r="F2072" s="21">
        <v>0</v>
      </c>
      <c r="G2072" s="21">
        <v>173.62</v>
      </c>
      <c r="H2072" s="21">
        <v>5814.33</v>
      </c>
      <c r="I2072" s="21">
        <v>334.89</v>
      </c>
    </row>
    <row r="2073" spans="1:9" ht="15" customHeight="1" x14ac:dyDescent="0.3">
      <c r="A2073" s="21" t="s">
        <v>2405</v>
      </c>
      <c r="B2073" s="21">
        <v>2022</v>
      </c>
      <c r="C2073" s="21">
        <v>3</v>
      </c>
      <c r="D2073" s="21">
        <v>25</v>
      </c>
      <c r="E2073" s="21" t="s">
        <v>313</v>
      </c>
      <c r="F2073" s="21">
        <v>0</v>
      </c>
      <c r="G2073" s="21">
        <v>190.32</v>
      </c>
      <c r="H2073" s="21">
        <v>6373.85</v>
      </c>
      <c r="I2073" s="21">
        <v>334.9</v>
      </c>
    </row>
    <row r="2074" spans="1:9" ht="15" customHeight="1" x14ac:dyDescent="0.3">
      <c r="A2074" s="21" t="s">
        <v>2406</v>
      </c>
      <c r="B2074" s="21">
        <v>2022</v>
      </c>
      <c r="C2074" s="21">
        <v>3</v>
      </c>
      <c r="D2074" s="21">
        <v>26</v>
      </c>
      <c r="E2074" s="21" t="s">
        <v>316</v>
      </c>
      <c r="F2074" s="21">
        <v>1</v>
      </c>
      <c r="G2074" s="21">
        <v>147.65</v>
      </c>
      <c r="H2074" s="21">
        <v>4944.55</v>
      </c>
      <c r="I2074" s="21">
        <v>334.88</v>
      </c>
    </row>
    <row r="2075" spans="1:9" ht="15" customHeight="1" x14ac:dyDescent="0.3">
      <c r="A2075" s="21" t="s">
        <v>2407</v>
      </c>
      <c r="B2075" s="21">
        <v>2022</v>
      </c>
      <c r="C2075" s="21">
        <v>3</v>
      </c>
      <c r="D2075" s="21">
        <v>27</v>
      </c>
      <c r="E2075" s="21" t="s">
        <v>319</v>
      </c>
      <c r="F2075" s="21">
        <v>1</v>
      </c>
      <c r="G2075" s="21">
        <v>149.57</v>
      </c>
      <c r="H2075" s="21">
        <v>5009.1099999999997</v>
      </c>
      <c r="I2075" s="21">
        <v>334.9</v>
      </c>
    </row>
    <row r="2076" spans="1:9" ht="15" customHeight="1" x14ac:dyDescent="0.3">
      <c r="A2076" s="21" t="s">
        <v>2408</v>
      </c>
      <c r="B2076" s="21">
        <v>2022</v>
      </c>
      <c r="C2076" s="21">
        <v>3</v>
      </c>
      <c r="D2076" s="21">
        <v>28</v>
      </c>
      <c r="E2076" s="21" t="s">
        <v>299</v>
      </c>
      <c r="F2076" s="21">
        <v>0</v>
      </c>
      <c r="G2076" s="21">
        <v>180</v>
      </c>
      <c r="H2076" s="21">
        <v>6028.24</v>
      </c>
      <c r="I2076" s="21">
        <v>334.9</v>
      </c>
    </row>
    <row r="2077" spans="1:9" ht="15" customHeight="1" x14ac:dyDescent="0.3">
      <c r="A2077" s="21" t="s">
        <v>2409</v>
      </c>
      <c r="B2077" s="21">
        <v>2022</v>
      </c>
      <c r="C2077" s="21">
        <v>3</v>
      </c>
      <c r="D2077" s="21">
        <v>29</v>
      </c>
      <c r="E2077" s="21" t="s">
        <v>303</v>
      </c>
      <c r="F2077" s="21">
        <v>0</v>
      </c>
      <c r="G2077" s="21">
        <v>161.58000000000001</v>
      </c>
      <c r="H2077" s="21">
        <v>5411.22</v>
      </c>
      <c r="I2077" s="21">
        <v>334.89</v>
      </c>
    </row>
    <row r="2078" spans="1:9" ht="15" customHeight="1" x14ac:dyDescent="0.3">
      <c r="A2078" s="21" t="s">
        <v>2410</v>
      </c>
      <c r="B2078" s="21">
        <v>2022</v>
      </c>
      <c r="C2078" s="21">
        <v>3</v>
      </c>
      <c r="D2078" s="21">
        <v>30</v>
      </c>
      <c r="E2078" s="21" t="s">
        <v>307</v>
      </c>
      <c r="F2078" s="21">
        <v>0</v>
      </c>
      <c r="G2078" s="21">
        <v>199.68</v>
      </c>
      <c r="H2078" s="21">
        <v>6687.1</v>
      </c>
      <c r="I2078" s="21">
        <v>334.89</v>
      </c>
    </row>
    <row r="2079" spans="1:9" ht="15" customHeight="1" x14ac:dyDescent="0.3">
      <c r="A2079" s="21" t="s">
        <v>2411</v>
      </c>
      <c r="B2079" s="21">
        <v>2022</v>
      </c>
      <c r="C2079" s="21">
        <v>3</v>
      </c>
      <c r="D2079" s="21">
        <v>31</v>
      </c>
      <c r="E2079" s="21" t="s">
        <v>310</v>
      </c>
      <c r="F2079" s="21">
        <v>0</v>
      </c>
      <c r="G2079" s="21">
        <v>209.04</v>
      </c>
      <c r="H2079" s="21">
        <v>7000.72</v>
      </c>
      <c r="I2079" s="21">
        <v>334.9</v>
      </c>
    </row>
    <row r="2080" spans="1:9" ht="15" customHeight="1" x14ac:dyDescent="0.3">
      <c r="A2080" s="21" t="s">
        <v>166</v>
      </c>
      <c r="B2080" s="21">
        <v>2022</v>
      </c>
      <c r="C2080" s="21">
        <v>4</v>
      </c>
      <c r="D2080" s="21">
        <v>1</v>
      </c>
      <c r="E2080" s="21" t="s">
        <v>313</v>
      </c>
      <c r="F2080" s="21">
        <v>0</v>
      </c>
      <c r="G2080" s="21">
        <v>236.96</v>
      </c>
      <c r="H2080" s="21">
        <v>8110.84</v>
      </c>
      <c r="I2080" s="21">
        <v>342.29</v>
      </c>
    </row>
    <row r="2081" spans="1:9" ht="15" customHeight="1" x14ac:dyDescent="0.3">
      <c r="A2081" s="21" t="s">
        <v>2412</v>
      </c>
      <c r="B2081" s="21">
        <v>2022</v>
      </c>
      <c r="C2081" s="21">
        <v>4</v>
      </c>
      <c r="D2081" s="21">
        <v>2</v>
      </c>
      <c r="E2081" s="21" t="s">
        <v>316</v>
      </c>
      <c r="F2081" s="21">
        <v>1</v>
      </c>
      <c r="G2081" s="21">
        <v>188.01</v>
      </c>
      <c r="H2081" s="21">
        <v>6435.47</v>
      </c>
      <c r="I2081" s="21">
        <v>342.29</v>
      </c>
    </row>
    <row r="2082" spans="1:9" ht="15" customHeight="1" x14ac:dyDescent="0.3">
      <c r="A2082" s="21" t="s">
        <v>2413</v>
      </c>
      <c r="B2082" s="21">
        <v>2022</v>
      </c>
      <c r="C2082" s="21">
        <v>4</v>
      </c>
      <c r="D2082" s="21">
        <v>3</v>
      </c>
      <c r="E2082" s="21" t="s">
        <v>319</v>
      </c>
      <c r="F2082" s="21">
        <v>1</v>
      </c>
      <c r="G2082" s="21">
        <v>165</v>
      </c>
      <c r="H2082" s="21">
        <v>5647.77</v>
      </c>
      <c r="I2082" s="21">
        <v>342.29</v>
      </c>
    </row>
    <row r="2083" spans="1:9" ht="15" customHeight="1" x14ac:dyDescent="0.3">
      <c r="A2083" s="21" t="s">
        <v>2414</v>
      </c>
      <c r="B2083" s="21">
        <v>2022</v>
      </c>
      <c r="C2083" s="21">
        <v>4</v>
      </c>
      <c r="D2083" s="21">
        <v>4</v>
      </c>
      <c r="E2083" s="21" t="s">
        <v>299</v>
      </c>
      <c r="F2083" s="21">
        <v>0</v>
      </c>
      <c r="G2083" s="21">
        <v>195.79</v>
      </c>
      <c r="H2083" s="21">
        <v>6701.93</v>
      </c>
      <c r="I2083" s="21">
        <v>342.3</v>
      </c>
    </row>
    <row r="2084" spans="1:9" ht="15" customHeight="1" x14ac:dyDescent="0.3">
      <c r="A2084" s="21" t="s">
        <v>2415</v>
      </c>
      <c r="B2084" s="21">
        <v>2022</v>
      </c>
      <c r="C2084" s="21">
        <v>4</v>
      </c>
      <c r="D2084" s="21">
        <v>5</v>
      </c>
      <c r="E2084" s="21" t="s">
        <v>303</v>
      </c>
      <c r="F2084" s="21">
        <v>0</v>
      </c>
      <c r="G2084" s="21">
        <v>187.1</v>
      </c>
      <c r="H2084" s="21">
        <v>6404.35</v>
      </c>
      <c r="I2084" s="21">
        <v>342.3</v>
      </c>
    </row>
    <row r="2085" spans="1:9" ht="15" customHeight="1" x14ac:dyDescent="0.3">
      <c r="A2085" s="21" t="s">
        <v>2416</v>
      </c>
      <c r="B2085" s="21">
        <v>2022</v>
      </c>
      <c r="C2085" s="21">
        <v>4</v>
      </c>
      <c r="D2085" s="21">
        <v>6</v>
      </c>
      <c r="E2085" s="21" t="s">
        <v>307</v>
      </c>
      <c r="F2085" s="21">
        <v>0</v>
      </c>
      <c r="G2085" s="21">
        <v>182.55</v>
      </c>
      <c r="H2085" s="21">
        <v>6248.7</v>
      </c>
      <c r="I2085" s="21">
        <v>342.3</v>
      </c>
    </row>
    <row r="2086" spans="1:9" ht="15" customHeight="1" x14ac:dyDescent="0.3">
      <c r="A2086" s="21" t="s">
        <v>2417</v>
      </c>
      <c r="B2086" s="21">
        <v>2022</v>
      </c>
      <c r="C2086" s="21">
        <v>4</v>
      </c>
      <c r="D2086" s="21">
        <v>7</v>
      </c>
      <c r="E2086" s="21" t="s">
        <v>310</v>
      </c>
      <c r="F2086" s="21">
        <v>0</v>
      </c>
      <c r="G2086" s="21">
        <v>184.24</v>
      </c>
      <c r="H2086" s="21">
        <v>6306.3</v>
      </c>
      <c r="I2086" s="21">
        <v>342.29</v>
      </c>
    </row>
    <row r="2087" spans="1:9" ht="15" customHeight="1" x14ac:dyDescent="0.3">
      <c r="A2087" s="21" t="s">
        <v>2418</v>
      </c>
      <c r="B2087" s="21">
        <v>2022</v>
      </c>
      <c r="C2087" s="21">
        <v>4</v>
      </c>
      <c r="D2087" s="21">
        <v>8</v>
      </c>
      <c r="E2087" s="21" t="s">
        <v>313</v>
      </c>
      <c r="F2087" s="21">
        <v>0</v>
      </c>
      <c r="G2087" s="21">
        <v>204.32</v>
      </c>
      <c r="H2087" s="21">
        <v>6993.61</v>
      </c>
      <c r="I2087" s="21">
        <v>342.29</v>
      </c>
    </row>
    <row r="2088" spans="1:9" ht="15" customHeight="1" x14ac:dyDescent="0.3">
      <c r="A2088" s="21" t="s">
        <v>2419</v>
      </c>
      <c r="B2088" s="21">
        <v>2022</v>
      </c>
      <c r="C2088" s="21">
        <v>4</v>
      </c>
      <c r="D2088" s="21">
        <v>9</v>
      </c>
      <c r="E2088" s="21" t="s">
        <v>316</v>
      </c>
      <c r="F2088" s="21">
        <v>1</v>
      </c>
      <c r="G2088" s="21">
        <v>164.82</v>
      </c>
      <c r="H2088" s="21">
        <v>5641.61</v>
      </c>
      <c r="I2088" s="21">
        <v>342.29</v>
      </c>
    </row>
    <row r="2089" spans="1:9" ht="15" customHeight="1" x14ac:dyDescent="0.3">
      <c r="A2089" s="21" t="s">
        <v>2420</v>
      </c>
      <c r="B2089" s="21">
        <v>2022</v>
      </c>
      <c r="C2089" s="21">
        <v>4</v>
      </c>
      <c r="D2089" s="21">
        <v>10</v>
      </c>
      <c r="E2089" s="21" t="s">
        <v>319</v>
      </c>
      <c r="F2089" s="21">
        <v>1</v>
      </c>
      <c r="G2089" s="21">
        <v>157.32</v>
      </c>
      <c r="H2089" s="21">
        <v>5385.03</v>
      </c>
      <c r="I2089" s="21">
        <v>342.3</v>
      </c>
    </row>
    <row r="2090" spans="1:9" ht="15" customHeight="1" x14ac:dyDescent="0.3">
      <c r="A2090" s="21" t="s">
        <v>2421</v>
      </c>
      <c r="B2090" s="21">
        <v>2022</v>
      </c>
      <c r="C2090" s="21">
        <v>4</v>
      </c>
      <c r="D2090" s="21">
        <v>11</v>
      </c>
      <c r="E2090" s="21" t="s">
        <v>299</v>
      </c>
      <c r="F2090" s="21">
        <v>0</v>
      </c>
      <c r="G2090" s="21">
        <v>192.79</v>
      </c>
      <c r="H2090" s="21">
        <v>6599.01</v>
      </c>
      <c r="I2090" s="21">
        <v>342.29</v>
      </c>
    </row>
    <row r="2091" spans="1:9" ht="15" customHeight="1" x14ac:dyDescent="0.3">
      <c r="A2091" s="21" t="s">
        <v>2422</v>
      </c>
      <c r="B2091" s="21">
        <v>2022</v>
      </c>
      <c r="C2091" s="21">
        <v>4</v>
      </c>
      <c r="D2091" s="21">
        <v>12</v>
      </c>
      <c r="E2091" s="21" t="s">
        <v>303</v>
      </c>
      <c r="F2091" s="21">
        <v>0</v>
      </c>
      <c r="G2091" s="21">
        <v>186</v>
      </c>
      <c r="H2091" s="21">
        <v>6366.77</v>
      </c>
      <c r="I2091" s="21">
        <v>342.3</v>
      </c>
    </row>
    <row r="2092" spans="1:9" ht="15" customHeight="1" x14ac:dyDescent="0.3">
      <c r="A2092" s="21" t="s">
        <v>2423</v>
      </c>
      <c r="B2092" s="21">
        <v>2022</v>
      </c>
      <c r="C2092" s="21">
        <v>4</v>
      </c>
      <c r="D2092" s="21">
        <v>13</v>
      </c>
      <c r="E2092" s="21" t="s">
        <v>307</v>
      </c>
      <c r="F2092" s="21">
        <v>0</v>
      </c>
      <c r="G2092" s="21">
        <v>189.35</v>
      </c>
      <c r="H2092" s="21">
        <v>6481.5</v>
      </c>
      <c r="I2092" s="21">
        <v>342.3</v>
      </c>
    </row>
    <row r="2093" spans="1:9" ht="15" customHeight="1" x14ac:dyDescent="0.3">
      <c r="A2093" s="21" t="s">
        <v>2424</v>
      </c>
      <c r="B2093" s="21">
        <v>2022</v>
      </c>
      <c r="C2093" s="21">
        <v>4</v>
      </c>
      <c r="D2093" s="21">
        <v>14</v>
      </c>
      <c r="E2093" s="21" t="s">
        <v>310</v>
      </c>
      <c r="F2093" s="21">
        <v>0</v>
      </c>
      <c r="G2093" s="21">
        <v>177.94</v>
      </c>
      <c r="H2093" s="21">
        <v>6090.89</v>
      </c>
      <c r="I2093" s="21">
        <v>342.3</v>
      </c>
    </row>
    <row r="2094" spans="1:9" ht="15" customHeight="1" x14ac:dyDescent="0.3">
      <c r="A2094" s="21" t="s">
        <v>2425</v>
      </c>
      <c r="B2094" s="21">
        <v>2022</v>
      </c>
      <c r="C2094" s="21">
        <v>4</v>
      </c>
      <c r="D2094" s="21">
        <v>15</v>
      </c>
      <c r="E2094" s="21" t="s">
        <v>313</v>
      </c>
      <c r="F2094" s="21">
        <v>0</v>
      </c>
      <c r="G2094" s="21">
        <v>188.07</v>
      </c>
      <c r="H2094" s="21">
        <v>6437.43</v>
      </c>
      <c r="I2094" s="21">
        <v>342.29</v>
      </c>
    </row>
    <row r="2095" spans="1:9" ht="15" customHeight="1" x14ac:dyDescent="0.3">
      <c r="A2095" s="21" t="s">
        <v>2426</v>
      </c>
      <c r="B2095" s="21">
        <v>2022</v>
      </c>
      <c r="C2095" s="21">
        <v>4</v>
      </c>
      <c r="D2095" s="21">
        <v>16</v>
      </c>
      <c r="E2095" s="21" t="s">
        <v>316</v>
      </c>
      <c r="F2095" s="21">
        <v>1</v>
      </c>
      <c r="G2095" s="21">
        <v>155.03</v>
      </c>
      <c r="H2095" s="21">
        <v>5306.51</v>
      </c>
      <c r="I2095" s="21">
        <v>342.29</v>
      </c>
    </row>
    <row r="2096" spans="1:9" ht="15" customHeight="1" x14ac:dyDescent="0.3">
      <c r="A2096" s="21" t="s">
        <v>2427</v>
      </c>
      <c r="B2096" s="21">
        <v>2022</v>
      </c>
      <c r="C2096" s="21">
        <v>4</v>
      </c>
      <c r="D2096" s="21">
        <v>17</v>
      </c>
      <c r="E2096" s="21" t="s">
        <v>319</v>
      </c>
      <c r="F2096" s="21">
        <v>1</v>
      </c>
      <c r="G2096" s="21">
        <v>151.29</v>
      </c>
      <c r="H2096" s="21">
        <v>5178.51</v>
      </c>
      <c r="I2096" s="21">
        <v>342.29</v>
      </c>
    </row>
    <row r="2097" spans="1:9" ht="15" customHeight="1" x14ac:dyDescent="0.3">
      <c r="A2097" s="21" t="s">
        <v>2428</v>
      </c>
      <c r="B2097" s="21">
        <v>2022</v>
      </c>
      <c r="C2097" s="21">
        <v>4</v>
      </c>
      <c r="D2097" s="21">
        <v>18</v>
      </c>
      <c r="E2097" s="21" t="s">
        <v>299</v>
      </c>
      <c r="F2097" s="21">
        <v>0</v>
      </c>
      <c r="G2097" s="21">
        <v>192.46</v>
      </c>
      <c r="H2097" s="21">
        <v>6587.95</v>
      </c>
      <c r="I2097" s="21">
        <v>342.3</v>
      </c>
    </row>
    <row r="2098" spans="1:9" ht="15" customHeight="1" x14ac:dyDescent="0.3">
      <c r="A2098" s="21" t="s">
        <v>2429</v>
      </c>
      <c r="B2098" s="21">
        <v>2022</v>
      </c>
      <c r="C2098" s="21">
        <v>4</v>
      </c>
      <c r="D2098" s="21">
        <v>19</v>
      </c>
      <c r="E2098" s="21" t="s">
        <v>303</v>
      </c>
      <c r="F2098" s="21">
        <v>0</v>
      </c>
      <c r="G2098" s="21">
        <v>185.18</v>
      </c>
      <c r="H2098" s="21">
        <v>6338.44</v>
      </c>
      <c r="I2098" s="21">
        <v>342.29</v>
      </c>
    </row>
    <row r="2099" spans="1:9" ht="15" customHeight="1" x14ac:dyDescent="0.3">
      <c r="A2099" s="21" t="s">
        <v>2430</v>
      </c>
      <c r="B2099" s="21">
        <v>2022</v>
      </c>
      <c r="C2099" s="21">
        <v>4</v>
      </c>
      <c r="D2099" s="21">
        <v>20</v>
      </c>
      <c r="E2099" s="21" t="s">
        <v>307</v>
      </c>
      <c r="F2099" s="21">
        <v>0</v>
      </c>
      <c r="G2099" s="21">
        <v>183.47</v>
      </c>
      <c r="H2099" s="21">
        <v>6280.1</v>
      </c>
      <c r="I2099" s="21">
        <v>342.3</v>
      </c>
    </row>
    <row r="2100" spans="1:9" ht="15" customHeight="1" x14ac:dyDescent="0.3">
      <c r="A2100" s="21" t="s">
        <v>2431</v>
      </c>
      <c r="B2100" s="21">
        <v>2022</v>
      </c>
      <c r="C2100" s="21">
        <v>4</v>
      </c>
      <c r="D2100" s="21">
        <v>21</v>
      </c>
      <c r="E2100" s="21" t="s">
        <v>310</v>
      </c>
      <c r="F2100" s="21">
        <v>0</v>
      </c>
      <c r="G2100" s="21">
        <v>194.1</v>
      </c>
      <c r="H2100" s="21">
        <v>6644.09</v>
      </c>
      <c r="I2100" s="21">
        <v>342.3</v>
      </c>
    </row>
    <row r="2101" spans="1:9" ht="15" customHeight="1" x14ac:dyDescent="0.3">
      <c r="A2101" s="21" t="s">
        <v>2432</v>
      </c>
      <c r="B2101" s="21">
        <v>2022</v>
      </c>
      <c r="C2101" s="21">
        <v>4</v>
      </c>
      <c r="D2101" s="21">
        <v>22</v>
      </c>
      <c r="E2101" s="21" t="s">
        <v>313</v>
      </c>
      <c r="F2101" s="21">
        <v>0</v>
      </c>
      <c r="G2101" s="21">
        <v>202.7</v>
      </c>
      <c r="H2101" s="21">
        <v>6938.41</v>
      </c>
      <c r="I2101" s="21">
        <v>342.3</v>
      </c>
    </row>
    <row r="2102" spans="1:9" ht="15" customHeight="1" x14ac:dyDescent="0.3">
      <c r="A2102" s="21" t="s">
        <v>2433</v>
      </c>
      <c r="B2102" s="21">
        <v>2022</v>
      </c>
      <c r="C2102" s="21">
        <v>4</v>
      </c>
      <c r="D2102" s="21">
        <v>23</v>
      </c>
      <c r="E2102" s="21" t="s">
        <v>316</v>
      </c>
      <c r="F2102" s="21">
        <v>1</v>
      </c>
      <c r="G2102" s="21">
        <v>159.78</v>
      </c>
      <c r="H2102" s="21">
        <v>5469.06</v>
      </c>
      <c r="I2102" s="21">
        <v>342.29</v>
      </c>
    </row>
    <row r="2103" spans="1:9" ht="15" customHeight="1" x14ac:dyDescent="0.3">
      <c r="A2103" s="21" t="s">
        <v>2434</v>
      </c>
      <c r="B2103" s="21">
        <v>2022</v>
      </c>
      <c r="C2103" s="21">
        <v>4</v>
      </c>
      <c r="D2103" s="21">
        <v>24</v>
      </c>
      <c r="E2103" s="21" t="s">
        <v>319</v>
      </c>
      <c r="F2103" s="21">
        <v>1</v>
      </c>
      <c r="G2103" s="21">
        <v>161.57</v>
      </c>
      <c r="H2103" s="21">
        <v>5530.51</v>
      </c>
      <c r="I2103" s="21">
        <v>342.3</v>
      </c>
    </row>
    <row r="2104" spans="1:9" ht="15" customHeight="1" x14ac:dyDescent="0.3">
      <c r="A2104" s="21" t="s">
        <v>2435</v>
      </c>
      <c r="B2104" s="21">
        <v>2022</v>
      </c>
      <c r="C2104" s="21">
        <v>4</v>
      </c>
      <c r="D2104" s="21">
        <v>25</v>
      </c>
      <c r="E2104" s="21" t="s">
        <v>299</v>
      </c>
      <c r="F2104" s="21">
        <v>0</v>
      </c>
      <c r="G2104" s="21">
        <v>188.95</v>
      </c>
      <c r="H2104" s="21">
        <v>6467.48</v>
      </c>
      <c r="I2104" s="21">
        <v>342.29</v>
      </c>
    </row>
    <row r="2105" spans="1:9" ht="15" customHeight="1" x14ac:dyDescent="0.3">
      <c r="A2105" s="21" t="s">
        <v>2436</v>
      </c>
      <c r="B2105" s="21">
        <v>2022</v>
      </c>
      <c r="C2105" s="21">
        <v>4</v>
      </c>
      <c r="D2105" s="21">
        <v>26</v>
      </c>
      <c r="E2105" s="21" t="s">
        <v>303</v>
      </c>
      <c r="F2105" s="21">
        <v>0</v>
      </c>
      <c r="G2105" s="21">
        <v>191.8</v>
      </c>
      <c r="H2105" s="21">
        <v>6565.14</v>
      </c>
      <c r="I2105" s="21">
        <v>342.29</v>
      </c>
    </row>
    <row r="2106" spans="1:9" ht="15" customHeight="1" x14ac:dyDescent="0.3">
      <c r="A2106" s="21" t="s">
        <v>2437</v>
      </c>
      <c r="B2106" s="21">
        <v>2022</v>
      </c>
      <c r="C2106" s="21">
        <v>4</v>
      </c>
      <c r="D2106" s="21">
        <v>27</v>
      </c>
      <c r="E2106" s="21" t="s">
        <v>307</v>
      </c>
      <c r="F2106" s="21">
        <v>0</v>
      </c>
      <c r="G2106" s="21">
        <v>185.58</v>
      </c>
      <c r="H2106" s="21">
        <v>6352.2</v>
      </c>
      <c r="I2106" s="21">
        <v>342.29</v>
      </c>
    </row>
    <row r="2107" spans="1:9" ht="15" customHeight="1" x14ac:dyDescent="0.3">
      <c r="A2107" s="21" t="s">
        <v>2438</v>
      </c>
      <c r="B2107" s="21">
        <v>2022</v>
      </c>
      <c r="C2107" s="21">
        <v>4</v>
      </c>
      <c r="D2107" s="21">
        <v>28</v>
      </c>
      <c r="E2107" s="21" t="s">
        <v>310</v>
      </c>
      <c r="F2107" s="21">
        <v>0</v>
      </c>
      <c r="G2107" s="21">
        <v>189.74</v>
      </c>
      <c r="H2107" s="21">
        <v>6494.73</v>
      </c>
      <c r="I2107" s="21">
        <v>342.3</v>
      </c>
    </row>
    <row r="2108" spans="1:9" ht="15" customHeight="1" x14ac:dyDescent="0.3">
      <c r="A2108" s="21" t="s">
        <v>2439</v>
      </c>
      <c r="B2108" s="21">
        <v>2022</v>
      </c>
      <c r="C2108" s="21">
        <v>4</v>
      </c>
      <c r="D2108" s="21">
        <v>29</v>
      </c>
      <c r="E2108" s="21" t="s">
        <v>313</v>
      </c>
      <c r="F2108" s="21">
        <v>0</v>
      </c>
      <c r="G2108" s="21">
        <v>224.13</v>
      </c>
      <c r="H2108" s="21">
        <v>7671.97</v>
      </c>
      <c r="I2108" s="21">
        <v>342.3</v>
      </c>
    </row>
    <row r="2109" spans="1:9" ht="15" customHeight="1" x14ac:dyDescent="0.3">
      <c r="A2109" s="21" t="s">
        <v>2440</v>
      </c>
      <c r="B2109" s="21">
        <v>2022</v>
      </c>
      <c r="C2109" s="21">
        <v>4</v>
      </c>
      <c r="D2109" s="21">
        <v>30</v>
      </c>
      <c r="E2109" s="21" t="s">
        <v>316</v>
      </c>
      <c r="F2109" s="21">
        <v>1</v>
      </c>
      <c r="G2109" s="21">
        <v>171.84</v>
      </c>
      <c r="H2109" s="21">
        <v>5882.13</v>
      </c>
      <c r="I2109" s="21">
        <v>342.3</v>
      </c>
    </row>
    <row r="2110" spans="1:9" ht="15" customHeight="1" x14ac:dyDescent="0.3">
      <c r="A2110" s="21" t="s">
        <v>167</v>
      </c>
      <c r="B2110" s="21">
        <v>2022</v>
      </c>
      <c r="C2110" s="21">
        <v>5</v>
      </c>
      <c r="D2110" s="21">
        <v>1</v>
      </c>
      <c r="E2110" s="21" t="s">
        <v>319</v>
      </c>
      <c r="F2110" s="21">
        <v>1</v>
      </c>
      <c r="G2110" s="21">
        <v>193.2</v>
      </c>
      <c r="H2110" s="21">
        <v>6585.83</v>
      </c>
      <c r="I2110" s="21">
        <v>340.88</v>
      </c>
    </row>
    <row r="2111" spans="1:9" ht="15" customHeight="1" x14ac:dyDescent="0.3">
      <c r="A2111" s="21" t="s">
        <v>2441</v>
      </c>
      <c r="B2111" s="21">
        <v>2022</v>
      </c>
      <c r="C2111" s="21">
        <v>5</v>
      </c>
      <c r="D2111" s="21">
        <v>2</v>
      </c>
      <c r="E2111" s="21" t="s">
        <v>299</v>
      </c>
      <c r="F2111" s="21">
        <v>0</v>
      </c>
      <c r="G2111" s="21">
        <v>234.45</v>
      </c>
      <c r="H2111" s="21">
        <v>7992.22</v>
      </c>
      <c r="I2111" s="21">
        <v>340.89</v>
      </c>
    </row>
    <row r="2112" spans="1:9" ht="15" customHeight="1" x14ac:dyDescent="0.3">
      <c r="A2112" s="21" t="s">
        <v>2442</v>
      </c>
      <c r="B2112" s="21">
        <v>2022</v>
      </c>
      <c r="C2112" s="21">
        <v>5</v>
      </c>
      <c r="D2112" s="21">
        <v>3</v>
      </c>
      <c r="E2112" s="21" t="s">
        <v>303</v>
      </c>
      <c r="F2112" s="21">
        <v>0</v>
      </c>
      <c r="G2112" s="21">
        <v>186.9</v>
      </c>
      <c r="H2112" s="21">
        <v>6371.18</v>
      </c>
      <c r="I2112" s="21">
        <v>340.89</v>
      </c>
    </row>
    <row r="2113" spans="1:9" ht="15" customHeight="1" x14ac:dyDescent="0.3">
      <c r="A2113" s="21" t="s">
        <v>2443</v>
      </c>
      <c r="B2113" s="21">
        <v>2022</v>
      </c>
      <c r="C2113" s="21">
        <v>5</v>
      </c>
      <c r="D2113" s="21">
        <v>4</v>
      </c>
      <c r="E2113" s="21" t="s">
        <v>307</v>
      </c>
      <c r="F2113" s="21">
        <v>0</v>
      </c>
      <c r="G2113" s="21">
        <v>187.08</v>
      </c>
      <c r="H2113" s="21">
        <v>6377.54</v>
      </c>
      <c r="I2113" s="21">
        <v>340.9</v>
      </c>
    </row>
    <row r="2114" spans="1:9" ht="15" customHeight="1" x14ac:dyDescent="0.3">
      <c r="A2114" s="21" t="s">
        <v>2444</v>
      </c>
      <c r="B2114" s="21">
        <v>2022</v>
      </c>
      <c r="C2114" s="21">
        <v>5</v>
      </c>
      <c r="D2114" s="21">
        <v>5</v>
      </c>
      <c r="E2114" s="21" t="s">
        <v>310</v>
      </c>
      <c r="F2114" s="21">
        <v>0</v>
      </c>
      <c r="G2114" s="21">
        <v>198.58</v>
      </c>
      <c r="H2114" s="21">
        <v>6769.48</v>
      </c>
      <c r="I2114" s="21">
        <v>340.89</v>
      </c>
    </row>
    <row r="2115" spans="1:9" ht="15" customHeight="1" x14ac:dyDescent="0.3">
      <c r="A2115" s="21" t="s">
        <v>2445</v>
      </c>
      <c r="B2115" s="21">
        <v>2022</v>
      </c>
      <c r="C2115" s="21">
        <v>5</v>
      </c>
      <c r="D2115" s="21">
        <v>6</v>
      </c>
      <c r="E2115" s="21" t="s">
        <v>313</v>
      </c>
      <c r="F2115" s="21">
        <v>0</v>
      </c>
      <c r="G2115" s="21">
        <v>200.61</v>
      </c>
      <c r="H2115" s="21">
        <v>6838.6</v>
      </c>
      <c r="I2115" s="21">
        <v>340.89</v>
      </c>
    </row>
    <row r="2116" spans="1:9" ht="15" customHeight="1" x14ac:dyDescent="0.3">
      <c r="A2116" s="21" t="s">
        <v>2446</v>
      </c>
      <c r="B2116" s="21">
        <v>2022</v>
      </c>
      <c r="C2116" s="21">
        <v>5</v>
      </c>
      <c r="D2116" s="21">
        <v>7</v>
      </c>
      <c r="E2116" s="21" t="s">
        <v>316</v>
      </c>
      <c r="F2116" s="21">
        <v>1</v>
      </c>
      <c r="G2116" s="21">
        <v>172.75</v>
      </c>
      <c r="H2116" s="21">
        <v>5888.83</v>
      </c>
      <c r="I2116" s="21">
        <v>340.89</v>
      </c>
    </row>
    <row r="2117" spans="1:9" ht="15" customHeight="1" x14ac:dyDescent="0.3">
      <c r="A2117" s="21" t="s">
        <v>2447</v>
      </c>
      <c r="B2117" s="21">
        <v>2022</v>
      </c>
      <c r="C2117" s="21">
        <v>5</v>
      </c>
      <c r="D2117" s="21">
        <v>8</v>
      </c>
      <c r="E2117" s="21" t="s">
        <v>319</v>
      </c>
      <c r="F2117" s="21">
        <v>1</v>
      </c>
      <c r="G2117" s="21">
        <v>158.09</v>
      </c>
      <c r="H2117" s="21">
        <v>5389.2</v>
      </c>
      <c r="I2117" s="21">
        <v>340.89</v>
      </c>
    </row>
    <row r="2118" spans="1:9" ht="15" customHeight="1" x14ac:dyDescent="0.3">
      <c r="A2118" s="21" t="s">
        <v>2448</v>
      </c>
      <c r="B2118" s="21">
        <v>2022</v>
      </c>
      <c r="C2118" s="21">
        <v>5</v>
      </c>
      <c r="D2118" s="21">
        <v>9</v>
      </c>
      <c r="E2118" s="21" t="s">
        <v>299</v>
      </c>
      <c r="F2118" s="21">
        <v>0</v>
      </c>
      <c r="G2118" s="21">
        <v>205.38</v>
      </c>
      <c r="H2118" s="21">
        <v>7001.22</v>
      </c>
      <c r="I2118" s="21">
        <v>340.89</v>
      </c>
    </row>
    <row r="2119" spans="1:9" ht="15" customHeight="1" x14ac:dyDescent="0.3">
      <c r="A2119" s="21" t="s">
        <v>2449</v>
      </c>
      <c r="B2119" s="21">
        <v>2022</v>
      </c>
      <c r="C2119" s="21">
        <v>5</v>
      </c>
      <c r="D2119" s="21">
        <v>10</v>
      </c>
      <c r="E2119" s="21" t="s">
        <v>303</v>
      </c>
      <c r="F2119" s="21">
        <v>0</v>
      </c>
      <c r="G2119" s="21">
        <v>190.2</v>
      </c>
      <c r="H2119" s="21">
        <v>6483.83</v>
      </c>
      <c r="I2119" s="21">
        <v>340.9</v>
      </c>
    </row>
    <row r="2120" spans="1:9" ht="15" customHeight="1" x14ac:dyDescent="0.3">
      <c r="A2120" s="21" t="s">
        <v>2450</v>
      </c>
      <c r="B2120" s="21">
        <v>2022</v>
      </c>
      <c r="C2120" s="21">
        <v>5</v>
      </c>
      <c r="D2120" s="21">
        <v>11</v>
      </c>
      <c r="E2120" s="21" t="s">
        <v>307</v>
      </c>
      <c r="F2120" s="21">
        <v>0</v>
      </c>
      <c r="G2120" s="21">
        <v>195.57</v>
      </c>
      <c r="H2120" s="21">
        <v>6666.88</v>
      </c>
      <c r="I2120" s="21">
        <v>340.89</v>
      </c>
    </row>
    <row r="2121" spans="1:9" ht="15" customHeight="1" x14ac:dyDescent="0.3">
      <c r="A2121" s="21" t="s">
        <v>2451</v>
      </c>
      <c r="B2121" s="21">
        <v>2022</v>
      </c>
      <c r="C2121" s="21">
        <v>5</v>
      </c>
      <c r="D2121" s="21">
        <v>12</v>
      </c>
      <c r="E2121" s="21" t="s">
        <v>310</v>
      </c>
      <c r="F2121" s="21">
        <v>0</v>
      </c>
      <c r="G2121" s="21">
        <v>188.96</v>
      </c>
      <c r="H2121" s="21">
        <v>6441.5</v>
      </c>
      <c r="I2121" s="21">
        <v>340.89</v>
      </c>
    </row>
    <row r="2122" spans="1:9" ht="15" customHeight="1" x14ac:dyDescent="0.3">
      <c r="A2122" s="21" t="s">
        <v>2452</v>
      </c>
      <c r="B2122" s="21">
        <v>2022</v>
      </c>
      <c r="C2122" s="21">
        <v>5</v>
      </c>
      <c r="D2122" s="21">
        <v>13</v>
      </c>
      <c r="E2122" s="21" t="s">
        <v>313</v>
      </c>
      <c r="F2122" s="21">
        <v>0</v>
      </c>
      <c r="G2122" s="21">
        <v>206.53</v>
      </c>
      <c r="H2122" s="21">
        <v>7040.28</v>
      </c>
      <c r="I2122" s="21">
        <v>340.88</v>
      </c>
    </row>
    <row r="2123" spans="1:9" ht="15" customHeight="1" x14ac:dyDescent="0.3">
      <c r="A2123" s="21" t="s">
        <v>2453</v>
      </c>
      <c r="B2123" s="21">
        <v>2022</v>
      </c>
      <c r="C2123" s="21">
        <v>5</v>
      </c>
      <c r="D2123" s="21">
        <v>14</v>
      </c>
      <c r="E2123" s="21" t="s">
        <v>316</v>
      </c>
      <c r="F2123" s="21">
        <v>1</v>
      </c>
      <c r="G2123" s="21">
        <v>163.52000000000001</v>
      </c>
      <c r="H2123" s="21">
        <v>5574.17</v>
      </c>
      <c r="I2123" s="21">
        <v>340.89</v>
      </c>
    </row>
    <row r="2124" spans="1:9" ht="15" customHeight="1" x14ac:dyDescent="0.3">
      <c r="A2124" s="21" t="s">
        <v>2454</v>
      </c>
      <c r="B2124" s="21">
        <v>2022</v>
      </c>
      <c r="C2124" s="21">
        <v>5</v>
      </c>
      <c r="D2124" s="21">
        <v>15</v>
      </c>
      <c r="E2124" s="21" t="s">
        <v>319</v>
      </c>
      <c r="F2124" s="21">
        <v>1</v>
      </c>
      <c r="G2124" s="21">
        <v>157.51</v>
      </c>
      <c r="H2124" s="21">
        <v>5369.25</v>
      </c>
      <c r="I2124" s="21">
        <v>340.88</v>
      </c>
    </row>
    <row r="2125" spans="1:9" ht="15" customHeight="1" x14ac:dyDescent="0.3">
      <c r="A2125" s="21" t="s">
        <v>2455</v>
      </c>
      <c r="B2125" s="21">
        <v>2022</v>
      </c>
      <c r="C2125" s="21">
        <v>5</v>
      </c>
      <c r="D2125" s="21">
        <v>16</v>
      </c>
      <c r="E2125" s="21" t="s">
        <v>299</v>
      </c>
      <c r="F2125" s="21">
        <v>0</v>
      </c>
      <c r="G2125" s="21">
        <v>205.97</v>
      </c>
      <c r="H2125" s="21">
        <v>7021.34</v>
      </c>
      <c r="I2125" s="21">
        <v>340.89</v>
      </c>
    </row>
    <row r="2126" spans="1:9" ht="15" customHeight="1" x14ac:dyDescent="0.3">
      <c r="A2126" s="21" t="s">
        <v>2456</v>
      </c>
      <c r="B2126" s="21">
        <v>2022</v>
      </c>
      <c r="C2126" s="21">
        <v>5</v>
      </c>
      <c r="D2126" s="21">
        <v>17</v>
      </c>
      <c r="E2126" s="21" t="s">
        <v>303</v>
      </c>
      <c r="F2126" s="21">
        <v>0</v>
      </c>
      <c r="G2126" s="21">
        <v>189.14</v>
      </c>
      <c r="H2126" s="21">
        <v>6447.57</v>
      </c>
      <c r="I2126" s="21">
        <v>340.89</v>
      </c>
    </row>
    <row r="2127" spans="1:9" ht="15" customHeight="1" x14ac:dyDescent="0.3">
      <c r="A2127" s="21" t="s">
        <v>2457</v>
      </c>
      <c r="B2127" s="21">
        <v>2022</v>
      </c>
      <c r="C2127" s="21">
        <v>5</v>
      </c>
      <c r="D2127" s="21">
        <v>18</v>
      </c>
      <c r="E2127" s="21" t="s">
        <v>307</v>
      </c>
      <c r="F2127" s="21">
        <v>0</v>
      </c>
      <c r="G2127" s="21">
        <v>190.78</v>
      </c>
      <c r="H2127" s="21">
        <v>6503.48</v>
      </c>
      <c r="I2127" s="21">
        <v>340.89</v>
      </c>
    </row>
    <row r="2128" spans="1:9" ht="15" customHeight="1" x14ac:dyDescent="0.3">
      <c r="A2128" s="21" t="s">
        <v>2458</v>
      </c>
      <c r="B2128" s="21">
        <v>2022</v>
      </c>
      <c r="C2128" s="21">
        <v>5</v>
      </c>
      <c r="D2128" s="21">
        <v>19</v>
      </c>
      <c r="E2128" s="21" t="s">
        <v>310</v>
      </c>
      <c r="F2128" s="21">
        <v>0</v>
      </c>
      <c r="G2128" s="21">
        <v>186.37</v>
      </c>
      <c r="H2128" s="21">
        <v>6353.05</v>
      </c>
      <c r="I2128" s="21">
        <v>340.88</v>
      </c>
    </row>
    <row r="2129" spans="1:9" ht="15" customHeight="1" x14ac:dyDescent="0.3">
      <c r="A2129" s="21" t="s">
        <v>2459</v>
      </c>
      <c r="B2129" s="21">
        <v>2022</v>
      </c>
      <c r="C2129" s="21">
        <v>5</v>
      </c>
      <c r="D2129" s="21">
        <v>20</v>
      </c>
      <c r="E2129" s="21" t="s">
        <v>313</v>
      </c>
      <c r="F2129" s="21">
        <v>0</v>
      </c>
      <c r="G2129" s="21">
        <v>192.7</v>
      </c>
      <c r="H2129" s="21">
        <v>6568.88</v>
      </c>
      <c r="I2129" s="21">
        <v>340.89</v>
      </c>
    </row>
    <row r="2130" spans="1:9" ht="15" customHeight="1" x14ac:dyDescent="0.3">
      <c r="A2130" s="21" t="s">
        <v>2460</v>
      </c>
      <c r="B2130" s="21">
        <v>2022</v>
      </c>
      <c r="C2130" s="21">
        <v>5</v>
      </c>
      <c r="D2130" s="21">
        <v>21</v>
      </c>
      <c r="E2130" s="21" t="s">
        <v>316</v>
      </c>
      <c r="F2130" s="21">
        <v>1</v>
      </c>
      <c r="G2130" s="21">
        <v>162.18</v>
      </c>
      <c r="H2130" s="21">
        <v>5528.6</v>
      </c>
      <c r="I2130" s="21">
        <v>340.89</v>
      </c>
    </row>
    <row r="2131" spans="1:9" ht="15" customHeight="1" x14ac:dyDescent="0.3">
      <c r="A2131" s="21" t="s">
        <v>2461</v>
      </c>
      <c r="B2131" s="21">
        <v>2022</v>
      </c>
      <c r="C2131" s="21">
        <v>5</v>
      </c>
      <c r="D2131" s="21">
        <v>22</v>
      </c>
      <c r="E2131" s="21" t="s">
        <v>319</v>
      </c>
      <c r="F2131" s="21">
        <v>1</v>
      </c>
      <c r="G2131" s="21">
        <v>177.19</v>
      </c>
      <c r="H2131" s="21">
        <v>6040.09</v>
      </c>
      <c r="I2131" s="21">
        <v>340.88</v>
      </c>
    </row>
    <row r="2132" spans="1:9" ht="15" customHeight="1" x14ac:dyDescent="0.3">
      <c r="A2132" s="21" t="s">
        <v>2462</v>
      </c>
      <c r="B2132" s="21">
        <v>2022</v>
      </c>
      <c r="C2132" s="21">
        <v>5</v>
      </c>
      <c r="D2132" s="21">
        <v>23</v>
      </c>
      <c r="E2132" s="21" t="s">
        <v>299</v>
      </c>
      <c r="F2132" s="21">
        <v>0</v>
      </c>
      <c r="G2132" s="21">
        <v>206.22</v>
      </c>
      <c r="H2132" s="21">
        <v>7029.94</v>
      </c>
      <c r="I2132" s="21">
        <v>340.9</v>
      </c>
    </row>
    <row r="2133" spans="1:9" ht="15" customHeight="1" x14ac:dyDescent="0.3">
      <c r="A2133" s="21" t="s">
        <v>2463</v>
      </c>
      <c r="B2133" s="21">
        <v>2022</v>
      </c>
      <c r="C2133" s="21">
        <v>5</v>
      </c>
      <c r="D2133" s="21">
        <v>24</v>
      </c>
      <c r="E2133" s="21" t="s">
        <v>303</v>
      </c>
      <c r="F2133" s="21">
        <v>0</v>
      </c>
      <c r="G2133" s="21">
        <v>191.99</v>
      </c>
      <c r="H2133" s="21">
        <v>6544.6</v>
      </c>
      <c r="I2133" s="21">
        <v>340.88</v>
      </c>
    </row>
    <row r="2134" spans="1:9" ht="15" customHeight="1" x14ac:dyDescent="0.3">
      <c r="A2134" s="21" t="s">
        <v>2464</v>
      </c>
      <c r="B2134" s="21">
        <v>2022</v>
      </c>
      <c r="C2134" s="21">
        <v>5</v>
      </c>
      <c r="D2134" s="21">
        <v>25</v>
      </c>
      <c r="E2134" s="21" t="s">
        <v>307</v>
      </c>
      <c r="F2134" s="21">
        <v>0</v>
      </c>
      <c r="G2134" s="21">
        <v>190.58</v>
      </c>
      <c r="H2134" s="21">
        <v>6496.74</v>
      </c>
      <c r="I2134" s="21">
        <v>340.89</v>
      </c>
    </row>
    <row r="2135" spans="1:9" ht="15" customHeight="1" x14ac:dyDescent="0.3">
      <c r="A2135" s="21" t="s">
        <v>2465</v>
      </c>
      <c r="B2135" s="21">
        <v>2022</v>
      </c>
      <c r="C2135" s="21">
        <v>5</v>
      </c>
      <c r="D2135" s="21">
        <v>26</v>
      </c>
      <c r="E2135" s="21" t="s">
        <v>310</v>
      </c>
      <c r="F2135" s="21">
        <v>0</v>
      </c>
      <c r="G2135" s="21">
        <v>192.23</v>
      </c>
      <c r="H2135" s="21">
        <v>6552.8</v>
      </c>
      <c r="I2135" s="21">
        <v>340.88</v>
      </c>
    </row>
    <row r="2136" spans="1:9" ht="15" customHeight="1" x14ac:dyDescent="0.3">
      <c r="A2136" s="21" t="s">
        <v>2466</v>
      </c>
      <c r="B2136" s="21">
        <v>2022</v>
      </c>
      <c r="C2136" s="21">
        <v>5</v>
      </c>
      <c r="D2136" s="21">
        <v>27</v>
      </c>
      <c r="E2136" s="21" t="s">
        <v>313</v>
      </c>
      <c r="F2136" s="21">
        <v>0</v>
      </c>
      <c r="G2136" s="21">
        <v>210.62</v>
      </c>
      <c r="H2136" s="21">
        <v>7179.74</v>
      </c>
      <c r="I2136" s="21">
        <v>340.89</v>
      </c>
    </row>
    <row r="2137" spans="1:9" ht="15" customHeight="1" x14ac:dyDescent="0.3">
      <c r="A2137" s="21" t="s">
        <v>2467</v>
      </c>
      <c r="B2137" s="21">
        <v>2022</v>
      </c>
      <c r="C2137" s="21">
        <v>5</v>
      </c>
      <c r="D2137" s="21">
        <v>28</v>
      </c>
      <c r="E2137" s="21" t="s">
        <v>316</v>
      </c>
      <c r="F2137" s="21">
        <v>1</v>
      </c>
      <c r="G2137" s="21">
        <v>156.47999999999999</v>
      </c>
      <c r="H2137" s="21">
        <v>5334.16</v>
      </c>
      <c r="I2137" s="21">
        <v>340.88</v>
      </c>
    </row>
    <row r="2138" spans="1:9" ht="15" customHeight="1" x14ac:dyDescent="0.3">
      <c r="A2138" s="21" t="s">
        <v>2468</v>
      </c>
      <c r="B2138" s="21">
        <v>2022</v>
      </c>
      <c r="C2138" s="21">
        <v>5</v>
      </c>
      <c r="D2138" s="21">
        <v>29</v>
      </c>
      <c r="E2138" s="21" t="s">
        <v>319</v>
      </c>
      <c r="F2138" s="21">
        <v>1</v>
      </c>
      <c r="G2138" s="21">
        <v>169.7</v>
      </c>
      <c r="H2138" s="21">
        <v>5785.04</v>
      </c>
      <c r="I2138" s="21">
        <v>340.9</v>
      </c>
    </row>
    <row r="2139" spans="1:9" ht="15" customHeight="1" x14ac:dyDescent="0.3">
      <c r="A2139" s="21" t="s">
        <v>2469</v>
      </c>
      <c r="B2139" s="21">
        <v>2022</v>
      </c>
      <c r="C2139" s="21">
        <v>5</v>
      </c>
      <c r="D2139" s="21">
        <v>30</v>
      </c>
      <c r="E2139" s="21" t="s">
        <v>299</v>
      </c>
      <c r="F2139" s="21">
        <v>0</v>
      </c>
      <c r="G2139" s="21">
        <v>236.7</v>
      </c>
      <c r="H2139" s="21">
        <v>8068.8</v>
      </c>
      <c r="I2139" s="21">
        <v>340.89</v>
      </c>
    </row>
    <row r="2140" spans="1:9" ht="15" customHeight="1" x14ac:dyDescent="0.3">
      <c r="A2140" s="21" t="s">
        <v>2470</v>
      </c>
      <c r="B2140" s="21">
        <v>2022</v>
      </c>
      <c r="C2140" s="21">
        <v>5</v>
      </c>
      <c r="D2140" s="21">
        <v>31</v>
      </c>
      <c r="E2140" s="21" t="s">
        <v>303</v>
      </c>
      <c r="F2140" s="21">
        <v>0</v>
      </c>
      <c r="G2140" s="21">
        <v>225.67</v>
      </c>
      <c r="H2140" s="21">
        <v>7692.9</v>
      </c>
      <c r="I2140" s="21">
        <v>340.89</v>
      </c>
    </row>
    <row r="2141" spans="1:9" ht="15" customHeight="1" x14ac:dyDescent="0.3">
      <c r="A2141" s="21" t="s">
        <v>168</v>
      </c>
      <c r="B2141" s="21">
        <v>2022</v>
      </c>
      <c r="C2141" s="21">
        <v>6</v>
      </c>
      <c r="D2141" s="21">
        <v>1</v>
      </c>
      <c r="E2141" s="21" t="s">
        <v>307</v>
      </c>
      <c r="F2141" s="21">
        <v>0</v>
      </c>
      <c r="G2141" s="21">
        <v>227.59</v>
      </c>
      <c r="H2141" s="21">
        <v>7689.84</v>
      </c>
      <c r="I2141" s="21">
        <v>337.88</v>
      </c>
    </row>
    <row r="2142" spans="1:9" ht="15" customHeight="1" x14ac:dyDescent="0.3">
      <c r="A2142" s="21" t="s">
        <v>2471</v>
      </c>
      <c r="B2142" s="21">
        <v>2022</v>
      </c>
      <c r="C2142" s="21">
        <v>6</v>
      </c>
      <c r="D2142" s="21">
        <v>2</v>
      </c>
      <c r="E2142" s="21" t="s">
        <v>310</v>
      </c>
      <c r="F2142" s="21">
        <v>0</v>
      </c>
      <c r="G2142" s="21">
        <v>224.77</v>
      </c>
      <c r="H2142" s="21">
        <v>7594.47</v>
      </c>
      <c r="I2142" s="21">
        <v>337.88</v>
      </c>
    </row>
    <row r="2143" spans="1:9" ht="15" customHeight="1" x14ac:dyDescent="0.3">
      <c r="A2143" s="21" t="s">
        <v>2472</v>
      </c>
      <c r="B2143" s="21">
        <v>2022</v>
      </c>
      <c r="C2143" s="21">
        <v>6</v>
      </c>
      <c r="D2143" s="21">
        <v>3</v>
      </c>
      <c r="E2143" s="21" t="s">
        <v>313</v>
      </c>
      <c r="F2143" s="21">
        <v>0</v>
      </c>
      <c r="G2143" s="21">
        <v>214.9</v>
      </c>
      <c r="H2143" s="21">
        <v>7261.23</v>
      </c>
      <c r="I2143" s="21">
        <v>337.89</v>
      </c>
    </row>
    <row r="2144" spans="1:9" ht="15" customHeight="1" x14ac:dyDescent="0.3">
      <c r="A2144" s="21" t="s">
        <v>2473</v>
      </c>
      <c r="B2144" s="21">
        <v>2022</v>
      </c>
      <c r="C2144" s="21">
        <v>6</v>
      </c>
      <c r="D2144" s="21">
        <v>4</v>
      </c>
      <c r="E2144" s="21" t="s">
        <v>316</v>
      </c>
      <c r="F2144" s="21">
        <v>1</v>
      </c>
      <c r="G2144" s="21">
        <v>169.5</v>
      </c>
      <c r="H2144" s="21">
        <v>5727.18</v>
      </c>
      <c r="I2144" s="21">
        <v>337.89</v>
      </c>
    </row>
    <row r="2145" spans="1:9" ht="15" customHeight="1" x14ac:dyDescent="0.3">
      <c r="A2145" s="21" t="s">
        <v>2474</v>
      </c>
      <c r="B2145" s="21">
        <v>2022</v>
      </c>
      <c r="C2145" s="21">
        <v>6</v>
      </c>
      <c r="D2145" s="21">
        <v>5</v>
      </c>
      <c r="E2145" s="21" t="s">
        <v>319</v>
      </c>
      <c r="F2145" s="21">
        <v>1</v>
      </c>
      <c r="G2145" s="21">
        <v>163.96</v>
      </c>
      <c r="H2145" s="21">
        <v>5539.9</v>
      </c>
      <c r="I2145" s="21">
        <v>337.88</v>
      </c>
    </row>
    <row r="2146" spans="1:9" ht="15" customHeight="1" x14ac:dyDescent="0.3">
      <c r="A2146" s="21" t="s">
        <v>2475</v>
      </c>
      <c r="B2146" s="21">
        <v>2022</v>
      </c>
      <c r="C2146" s="21">
        <v>6</v>
      </c>
      <c r="D2146" s="21">
        <v>6</v>
      </c>
      <c r="E2146" s="21" t="s">
        <v>299</v>
      </c>
      <c r="F2146" s="21">
        <v>0</v>
      </c>
      <c r="G2146" s="21">
        <v>201.74</v>
      </c>
      <c r="H2146" s="21">
        <v>6816.43</v>
      </c>
      <c r="I2146" s="21">
        <v>337.88</v>
      </c>
    </row>
    <row r="2147" spans="1:9" ht="15" customHeight="1" x14ac:dyDescent="0.3">
      <c r="A2147" s="21" t="s">
        <v>2476</v>
      </c>
      <c r="B2147" s="21">
        <v>2022</v>
      </c>
      <c r="C2147" s="21">
        <v>6</v>
      </c>
      <c r="D2147" s="21">
        <v>7</v>
      </c>
      <c r="E2147" s="21" t="s">
        <v>303</v>
      </c>
      <c r="F2147" s="21">
        <v>0</v>
      </c>
      <c r="G2147" s="21">
        <v>195.93</v>
      </c>
      <c r="H2147" s="21">
        <v>6620.17</v>
      </c>
      <c r="I2147" s="21">
        <v>337.88</v>
      </c>
    </row>
    <row r="2148" spans="1:9" ht="15" customHeight="1" x14ac:dyDescent="0.3">
      <c r="A2148" s="21" t="s">
        <v>2477</v>
      </c>
      <c r="B2148" s="21">
        <v>2022</v>
      </c>
      <c r="C2148" s="21">
        <v>6</v>
      </c>
      <c r="D2148" s="21">
        <v>8</v>
      </c>
      <c r="E2148" s="21" t="s">
        <v>307</v>
      </c>
      <c r="F2148" s="21">
        <v>0</v>
      </c>
      <c r="G2148" s="21">
        <v>204.41</v>
      </c>
      <c r="H2148" s="21">
        <v>6906.71</v>
      </c>
      <c r="I2148" s="21">
        <v>337.89</v>
      </c>
    </row>
    <row r="2149" spans="1:9" ht="15" customHeight="1" x14ac:dyDescent="0.3">
      <c r="A2149" s="21" t="s">
        <v>2478</v>
      </c>
      <c r="B2149" s="21">
        <v>2022</v>
      </c>
      <c r="C2149" s="21">
        <v>6</v>
      </c>
      <c r="D2149" s="21">
        <v>9</v>
      </c>
      <c r="E2149" s="21" t="s">
        <v>310</v>
      </c>
      <c r="F2149" s="21">
        <v>0</v>
      </c>
      <c r="G2149" s="21">
        <v>188.07</v>
      </c>
      <c r="H2149" s="21">
        <v>6354.66</v>
      </c>
      <c r="I2149" s="21">
        <v>337.89</v>
      </c>
    </row>
    <row r="2150" spans="1:9" ht="15" customHeight="1" x14ac:dyDescent="0.3">
      <c r="A2150" s="21" t="s">
        <v>2479</v>
      </c>
      <c r="B2150" s="21">
        <v>2022</v>
      </c>
      <c r="C2150" s="21">
        <v>6</v>
      </c>
      <c r="D2150" s="21">
        <v>10</v>
      </c>
      <c r="E2150" s="21" t="s">
        <v>313</v>
      </c>
      <c r="F2150" s="21">
        <v>0</v>
      </c>
      <c r="G2150" s="21">
        <v>202.36</v>
      </c>
      <c r="H2150" s="21">
        <v>6837.43</v>
      </c>
      <c r="I2150" s="21">
        <v>337.88</v>
      </c>
    </row>
    <row r="2151" spans="1:9" ht="15" customHeight="1" x14ac:dyDescent="0.3">
      <c r="A2151" s="21" t="s">
        <v>2480</v>
      </c>
      <c r="B2151" s="21">
        <v>2022</v>
      </c>
      <c r="C2151" s="21">
        <v>6</v>
      </c>
      <c r="D2151" s="21">
        <v>11</v>
      </c>
      <c r="E2151" s="21" t="s">
        <v>316</v>
      </c>
      <c r="F2151" s="21">
        <v>1</v>
      </c>
      <c r="G2151" s="21">
        <v>167</v>
      </c>
      <c r="H2151" s="21">
        <v>5642.62</v>
      </c>
      <c r="I2151" s="21">
        <v>337.88</v>
      </c>
    </row>
    <row r="2152" spans="1:9" ht="15" customHeight="1" x14ac:dyDescent="0.3">
      <c r="A2152" s="21" t="s">
        <v>2481</v>
      </c>
      <c r="B2152" s="21">
        <v>2022</v>
      </c>
      <c r="C2152" s="21">
        <v>6</v>
      </c>
      <c r="D2152" s="21">
        <v>12</v>
      </c>
      <c r="E2152" s="21" t="s">
        <v>319</v>
      </c>
      <c r="F2152" s="21">
        <v>1</v>
      </c>
      <c r="G2152" s="21">
        <v>166.33</v>
      </c>
      <c r="H2152" s="21">
        <v>5620.08</v>
      </c>
      <c r="I2152" s="21">
        <v>337.89</v>
      </c>
    </row>
    <row r="2153" spans="1:9" ht="15" customHeight="1" x14ac:dyDescent="0.3">
      <c r="A2153" s="21" t="s">
        <v>2482</v>
      </c>
      <c r="B2153" s="21">
        <v>2022</v>
      </c>
      <c r="C2153" s="21">
        <v>6</v>
      </c>
      <c r="D2153" s="21">
        <v>13</v>
      </c>
      <c r="E2153" s="21" t="s">
        <v>299</v>
      </c>
      <c r="F2153" s="21">
        <v>0</v>
      </c>
      <c r="G2153" s="21">
        <v>206.12</v>
      </c>
      <c r="H2153" s="21">
        <v>6964.32</v>
      </c>
      <c r="I2153" s="21">
        <v>337.88</v>
      </c>
    </row>
    <row r="2154" spans="1:9" ht="15" customHeight="1" x14ac:dyDescent="0.3">
      <c r="A2154" s="21" t="s">
        <v>2483</v>
      </c>
      <c r="B2154" s="21">
        <v>2022</v>
      </c>
      <c r="C2154" s="21">
        <v>6</v>
      </c>
      <c r="D2154" s="21">
        <v>14</v>
      </c>
      <c r="E2154" s="21" t="s">
        <v>303</v>
      </c>
      <c r="F2154" s="21">
        <v>0</v>
      </c>
      <c r="G2154" s="21">
        <v>196.76</v>
      </c>
      <c r="H2154" s="21">
        <v>6648.3</v>
      </c>
      <c r="I2154" s="21">
        <v>337.89</v>
      </c>
    </row>
    <row r="2155" spans="1:9" ht="15" customHeight="1" x14ac:dyDescent="0.3">
      <c r="A2155" s="21" t="s">
        <v>2484</v>
      </c>
      <c r="B2155" s="21">
        <v>2022</v>
      </c>
      <c r="C2155" s="21">
        <v>6</v>
      </c>
      <c r="D2155" s="21">
        <v>15</v>
      </c>
      <c r="E2155" s="21" t="s">
        <v>307</v>
      </c>
      <c r="F2155" s="21">
        <v>0</v>
      </c>
      <c r="G2155" s="21">
        <v>194.03</v>
      </c>
      <c r="H2155" s="21">
        <v>6555.81</v>
      </c>
      <c r="I2155" s="21">
        <v>337.88</v>
      </c>
    </row>
    <row r="2156" spans="1:9" ht="15" customHeight="1" x14ac:dyDescent="0.3">
      <c r="A2156" s="21" t="s">
        <v>2485</v>
      </c>
      <c r="B2156" s="21">
        <v>2022</v>
      </c>
      <c r="C2156" s="21">
        <v>6</v>
      </c>
      <c r="D2156" s="21">
        <v>16</v>
      </c>
      <c r="E2156" s="21" t="s">
        <v>310</v>
      </c>
      <c r="F2156" s="21">
        <v>0</v>
      </c>
      <c r="G2156" s="21">
        <v>204.06</v>
      </c>
      <c r="H2156" s="21">
        <v>6894.99</v>
      </c>
      <c r="I2156" s="21">
        <v>337.89</v>
      </c>
    </row>
    <row r="2157" spans="1:9" ht="15" customHeight="1" x14ac:dyDescent="0.3">
      <c r="A2157" s="21" t="s">
        <v>2486</v>
      </c>
      <c r="B2157" s="21">
        <v>2022</v>
      </c>
      <c r="C2157" s="21">
        <v>6</v>
      </c>
      <c r="D2157" s="21">
        <v>17</v>
      </c>
      <c r="E2157" s="21" t="s">
        <v>313</v>
      </c>
      <c r="F2157" s="21">
        <v>0</v>
      </c>
      <c r="G2157" s="21">
        <v>201.58</v>
      </c>
      <c r="H2157" s="21">
        <v>6811.02</v>
      </c>
      <c r="I2157" s="21">
        <v>337.88</v>
      </c>
    </row>
    <row r="2158" spans="1:9" ht="15" customHeight="1" x14ac:dyDescent="0.3">
      <c r="A2158" s="21" t="s">
        <v>2487</v>
      </c>
      <c r="B2158" s="21">
        <v>2022</v>
      </c>
      <c r="C2158" s="21">
        <v>6</v>
      </c>
      <c r="D2158" s="21">
        <v>18</v>
      </c>
      <c r="E2158" s="21" t="s">
        <v>316</v>
      </c>
      <c r="F2158" s="21">
        <v>1</v>
      </c>
      <c r="G2158" s="21">
        <v>161.18</v>
      </c>
      <c r="H2158" s="21">
        <v>5445.96</v>
      </c>
      <c r="I2158" s="21">
        <v>337.88</v>
      </c>
    </row>
    <row r="2159" spans="1:9" ht="15" customHeight="1" x14ac:dyDescent="0.3">
      <c r="A2159" s="21" t="s">
        <v>2488</v>
      </c>
      <c r="B2159" s="21">
        <v>2022</v>
      </c>
      <c r="C2159" s="21">
        <v>6</v>
      </c>
      <c r="D2159" s="21">
        <v>19</v>
      </c>
      <c r="E2159" s="21" t="s">
        <v>319</v>
      </c>
      <c r="F2159" s="21">
        <v>1</v>
      </c>
      <c r="G2159" s="21">
        <v>165.43</v>
      </c>
      <c r="H2159" s="21">
        <v>5589.56</v>
      </c>
      <c r="I2159" s="21">
        <v>337.88</v>
      </c>
    </row>
    <row r="2160" spans="1:9" ht="15" customHeight="1" x14ac:dyDescent="0.3">
      <c r="A2160" s="21" t="s">
        <v>2489</v>
      </c>
      <c r="B2160" s="21">
        <v>2022</v>
      </c>
      <c r="C2160" s="21">
        <v>6</v>
      </c>
      <c r="D2160" s="21">
        <v>20</v>
      </c>
      <c r="E2160" s="21" t="s">
        <v>299</v>
      </c>
      <c r="F2160" s="21">
        <v>0</v>
      </c>
      <c r="G2160" s="21">
        <v>195.47</v>
      </c>
      <c r="H2160" s="21">
        <v>6604.65</v>
      </c>
      <c r="I2160" s="21">
        <v>337.89</v>
      </c>
    </row>
    <row r="2161" spans="1:9" ht="15" customHeight="1" x14ac:dyDescent="0.3">
      <c r="A2161" s="21" t="s">
        <v>2490</v>
      </c>
      <c r="B2161" s="21">
        <v>2022</v>
      </c>
      <c r="C2161" s="21">
        <v>6</v>
      </c>
      <c r="D2161" s="21">
        <v>21</v>
      </c>
      <c r="E2161" s="21" t="s">
        <v>303</v>
      </c>
      <c r="F2161" s="21">
        <v>0</v>
      </c>
      <c r="G2161" s="21">
        <v>194.3</v>
      </c>
      <c r="H2161" s="21">
        <v>6565.18</v>
      </c>
      <c r="I2161" s="21">
        <v>337.89</v>
      </c>
    </row>
    <row r="2162" spans="1:9" ht="15" customHeight="1" x14ac:dyDescent="0.3">
      <c r="A2162" s="21" t="s">
        <v>2491</v>
      </c>
      <c r="B2162" s="21">
        <v>2022</v>
      </c>
      <c r="C2162" s="21">
        <v>6</v>
      </c>
      <c r="D2162" s="21">
        <v>22</v>
      </c>
      <c r="E2162" s="21" t="s">
        <v>307</v>
      </c>
      <c r="F2162" s="21">
        <v>0</v>
      </c>
      <c r="G2162" s="21">
        <v>205.07</v>
      </c>
      <c r="H2162" s="21">
        <v>6928.97</v>
      </c>
      <c r="I2162" s="21">
        <v>337.88</v>
      </c>
    </row>
    <row r="2163" spans="1:9" ht="15" customHeight="1" x14ac:dyDescent="0.3">
      <c r="A2163" s="21" t="s">
        <v>2492</v>
      </c>
      <c r="B2163" s="21">
        <v>2022</v>
      </c>
      <c r="C2163" s="21">
        <v>6</v>
      </c>
      <c r="D2163" s="21">
        <v>23</v>
      </c>
      <c r="E2163" s="21" t="s">
        <v>310</v>
      </c>
      <c r="F2163" s="21">
        <v>0</v>
      </c>
      <c r="G2163" s="21">
        <v>195.46</v>
      </c>
      <c r="H2163" s="21">
        <v>6604.14</v>
      </c>
      <c r="I2163" s="21">
        <v>337.88</v>
      </c>
    </row>
    <row r="2164" spans="1:9" ht="15" customHeight="1" x14ac:dyDescent="0.3">
      <c r="A2164" s="21" t="s">
        <v>2493</v>
      </c>
      <c r="B2164" s="21">
        <v>2022</v>
      </c>
      <c r="C2164" s="21">
        <v>6</v>
      </c>
      <c r="D2164" s="21">
        <v>24</v>
      </c>
      <c r="E2164" s="21" t="s">
        <v>313</v>
      </c>
      <c r="F2164" s="21">
        <v>0</v>
      </c>
      <c r="G2164" s="21">
        <v>212.31</v>
      </c>
      <c r="H2164" s="21">
        <v>7173.68</v>
      </c>
      <c r="I2164" s="21">
        <v>337.89</v>
      </c>
    </row>
    <row r="2165" spans="1:9" ht="15" customHeight="1" x14ac:dyDescent="0.3">
      <c r="A2165" s="21" t="s">
        <v>2494</v>
      </c>
      <c r="B2165" s="21">
        <v>2022</v>
      </c>
      <c r="C2165" s="21">
        <v>6</v>
      </c>
      <c r="D2165" s="21">
        <v>25</v>
      </c>
      <c r="E2165" s="21" t="s">
        <v>316</v>
      </c>
      <c r="F2165" s="21">
        <v>1</v>
      </c>
      <c r="G2165" s="21">
        <v>158.65</v>
      </c>
      <c r="H2165" s="21">
        <v>5360.49</v>
      </c>
      <c r="I2165" s="21">
        <v>337.88</v>
      </c>
    </row>
    <row r="2166" spans="1:9" ht="15" customHeight="1" x14ac:dyDescent="0.3">
      <c r="A2166" s="21" t="s">
        <v>2495</v>
      </c>
      <c r="B2166" s="21">
        <v>2022</v>
      </c>
      <c r="C2166" s="21">
        <v>6</v>
      </c>
      <c r="D2166" s="21">
        <v>26</v>
      </c>
      <c r="E2166" s="21" t="s">
        <v>319</v>
      </c>
      <c r="F2166" s="21">
        <v>1</v>
      </c>
      <c r="G2166" s="21">
        <v>162.41999999999999</v>
      </c>
      <c r="H2166" s="21">
        <v>5487.96</v>
      </c>
      <c r="I2166" s="21">
        <v>337.89</v>
      </c>
    </row>
    <row r="2167" spans="1:9" ht="15" customHeight="1" x14ac:dyDescent="0.3">
      <c r="A2167" s="21" t="s">
        <v>2496</v>
      </c>
      <c r="B2167" s="21">
        <v>2022</v>
      </c>
      <c r="C2167" s="21">
        <v>6</v>
      </c>
      <c r="D2167" s="21">
        <v>27</v>
      </c>
      <c r="E2167" s="21" t="s">
        <v>299</v>
      </c>
      <c r="F2167" s="21">
        <v>0</v>
      </c>
      <c r="G2167" s="21">
        <v>202.9</v>
      </c>
      <c r="H2167" s="21">
        <v>6855.71</v>
      </c>
      <c r="I2167" s="21">
        <v>337.89</v>
      </c>
    </row>
    <row r="2168" spans="1:9" ht="15" customHeight="1" x14ac:dyDescent="0.3">
      <c r="A2168" s="21" t="s">
        <v>2497</v>
      </c>
      <c r="B2168" s="21">
        <v>2022</v>
      </c>
      <c r="C2168" s="21">
        <v>6</v>
      </c>
      <c r="D2168" s="21">
        <v>28</v>
      </c>
      <c r="E2168" s="21" t="s">
        <v>303</v>
      </c>
      <c r="F2168" s="21">
        <v>0</v>
      </c>
      <c r="G2168" s="21">
        <v>193.47</v>
      </c>
      <c r="H2168" s="21">
        <v>6537.09</v>
      </c>
      <c r="I2168" s="21">
        <v>337.89</v>
      </c>
    </row>
    <row r="2169" spans="1:9" ht="15" customHeight="1" x14ac:dyDescent="0.3">
      <c r="A2169" s="21" t="s">
        <v>2498</v>
      </c>
      <c r="B2169" s="21">
        <v>2022</v>
      </c>
      <c r="C2169" s="21">
        <v>6</v>
      </c>
      <c r="D2169" s="21">
        <v>29</v>
      </c>
      <c r="E2169" s="21" t="s">
        <v>307</v>
      </c>
      <c r="F2169" s="21">
        <v>0</v>
      </c>
      <c r="G2169" s="21">
        <v>233.27</v>
      </c>
      <c r="H2169" s="21">
        <v>7881.83</v>
      </c>
      <c r="I2169" s="21">
        <v>337.88</v>
      </c>
    </row>
    <row r="2170" spans="1:9" ht="15" customHeight="1" x14ac:dyDescent="0.3">
      <c r="A2170" s="21" t="s">
        <v>2499</v>
      </c>
      <c r="B2170" s="21">
        <v>2022</v>
      </c>
      <c r="C2170" s="21">
        <v>6</v>
      </c>
      <c r="D2170" s="21">
        <v>30</v>
      </c>
      <c r="E2170" s="21" t="s">
        <v>310</v>
      </c>
      <c r="F2170" s="21">
        <v>0</v>
      </c>
      <c r="G2170" s="21">
        <v>228.39</v>
      </c>
      <c r="H2170" s="21">
        <v>7716.99</v>
      </c>
      <c r="I2170" s="21">
        <v>337.89</v>
      </c>
    </row>
    <row r="2171" spans="1:9" ht="15" customHeight="1" x14ac:dyDescent="0.3">
      <c r="A2171" s="21" t="s">
        <v>169</v>
      </c>
      <c r="B2171" s="21">
        <v>2022</v>
      </c>
      <c r="C2171" s="21">
        <v>7</v>
      </c>
      <c r="D2171" s="21">
        <v>1</v>
      </c>
      <c r="E2171" s="21" t="s">
        <v>313</v>
      </c>
      <c r="F2171" s="21">
        <v>0</v>
      </c>
      <c r="G2171" s="21">
        <v>243.84</v>
      </c>
      <c r="H2171" s="21">
        <v>8175.53</v>
      </c>
      <c r="I2171" s="21">
        <v>335.28</v>
      </c>
    </row>
    <row r="2172" spans="1:9" ht="15" customHeight="1" x14ac:dyDescent="0.3">
      <c r="A2172" s="21" t="s">
        <v>2500</v>
      </c>
      <c r="B2172" s="21">
        <v>2022</v>
      </c>
      <c r="C2172" s="21">
        <v>7</v>
      </c>
      <c r="D2172" s="21">
        <v>2</v>
      </c>
      <c r="E2172" s="21" t="s">
        <v>316</v>
      </c>
      <c r="F2172" s="21">
        <v>1</v>
      </c>
      <c r="G2172" s="21">
        <v>199.75</v>
      </c>
      <c r="H2172" s="21">
        <v>6697.2</v>
      </c>
      <c r="I2172" s="21">
        <v>335.28</v>
      </c>
    </row>
    <row r="2173" spans="1:9" ht="15" customHeight="1" x14ac:dyDescent="0.3">
      <c r="A2173" s="21" t="s">
        <v>2501</v>
      </c>
      <c r="B2173" s="21">
        <v>2022</v>
      </c>
      <c r="C2173" s="21">
        <v>7</v>
      </c>
      <c r="D2173" s="21">
        <v>3</v>
      </c>
      <c r="E2173" s="21" t="s">
        <v>319</v>
      </c>
      <c r="F2173" s="21">
        <v>1</v>
      </c>
      <c r="G2173" s="21">
        <v>175.22</v>
      </c>
      <c r="H2173" s="21">
        <v>5874.94</v>
      </c>
      <c r="I2173" s="21">
        <v>335.29</v>
      </c>
    </row>
    <row r="2174" spans="1:9" ht="15" customHeight="1" x14ac:dyDescent="0.3">
      <c r="A2174" s="21" t="s">
        <v>2502</v>
      </c>
      <c r="B2174" s="21">
        <v>2022</v>
      </c>
      <c r="C2174" s="21">
        <v>7</v>
      </c>
      <c r="D2174" s="21">
        <v>4</v>
      </c>
      <c r="E2174" s="21" t="s">
        <v>299</v>
      </c>
      <c r="F2174" s="21">
        <v>0</v>
      </c>
      <c r="G2174" s="21">
        <v>219.64</v>
      </c>
      <c r="H2174" s="21">
        <v>7364.2</v>
      </c>
      <c r="I2174" s="21">
        <v>335.29</v>
      </c>
    </row>
    <row r="2175" spans="1:9" ht="15" customHeight="1" x14ac:dyDescent="0.3">
      <c r="A2175" s="21" t="s">
        <v>2503</v>
      </c>
      <c r="B2175" s="21">
        <v>2022</v>
      </c>
      <c r="C2175" s="21">
        <v>7</v>
      </c>
      <c r="D2175" s="21">
        <v>5</v>
      </c>
      <c r="E2175" s="21" t="s">
        <v>303</v>
      </c>
      <c r="F2175" s="21">
        <v>0</v>
      </c>
      <c r="G2175" s="21">
        <v>212.19</v>
      </c>
      <c r="H2175" s="21">
        <v>7114.32</v>
      </c>
      <c r="I2175" s="21">
        <v>335.28</v>
      </c>
    </row>
    <row r="2176" spans="1:9" ht="15" customHeight="1" x14ac:dyDescent="0.3">
      <c r="A2176" s="21" t="s">
        <v>2504</v>
      </c>
      <c r="B2176" s="21">
        <v>2022</v>
      </c>
      <c r="C2176" s="21">
        <v>7</v>
      </c>
      <c r="D2176" s="21">
        <v>6</v>
      </c>
      <c r="E2176" s="21" t="s">
        <v>307</v>
      </c>
      <c r="F2176" s="21">
        <v>0</v>
      </c>
      <c r="G2176" s="21">
        <v>196.41</v>
      </c>
      <c r="H2176" s="21">
        <v>6585.41</v>
      </c>
      <c r="I2176" s="21">
        <v>335.29</v>
      </c>
    </row>
    <row r="2177" spans="1:9" ht="15" customHeight="1" x14ac:dyDescent="0.3">
      <c r="A2177" s="21" t="s">
        <v>2505</v>
      </c>
      <c r="B2177" s="21">
        <v>2022</v>
      </c>
      <c r="C2177" s="21">
        <v>7</v>
      </c>
      <c r="D2177" s="21">
        <v>7</v>
      </c>
      <c r="E2177" s="21" t="s">
        <v>310</v>
      </c>
      <c r="F2177" s="21">
        <v>0</v>
      </c>
      <c r="G2177" s="21">
        <v>197.65</v>
      </c>
      <c r="H2177" s="21">
        <v>6627.03</v>
      </c>
      <c r="I2177" s="21">
        <v>335.29</v>
      </c>
    </row>
    <row r="2178" spans="1:9" ht="15" customHeight="1" x14ac:dyDescent="0.3">
      <c r="A2178" s="21" t="s">
        <v>2506</v>
      </c>
      <c r="B2178" s="21">
        <v>2022</v>
      </c>
      <c r="C2178" s="21">
        <v>7</v>
      </c>
      <c r="D2178" s="21">
        <v>8</v>
      </c>
      <c r="E2178" s="21" t="s">
        <v>313</v>
      </c>
      <c r="F2178" s="21">
        <v>0</v>
      </c>
      <c r="G2178" s="21">
        <v>211.14</v>
      </c>
      <c r="H2178" s="21">
        <v>7079.38</v>
      </c>
      <c r="I2178" s="21">
        <v>335.29</v>
      </c>
    </row>
    <row r="2179" spans="1:9" ht="15" customHeight="1" x14ac:dyDescent="0.3">
      <c r="A2179" s="21" t="s">
        <v>2507</v>
      </c>
      <c r="B2179" s="21">
        <v>2022</v>
      </c>
      <c r="C2179" s="21">
        <v>7</v>
      </c>
      <c r="D2179" s="21">
        <v>9</v>
      </c>
      <c r="E2179" s="21" t="s">
        <v>316</v>
      </c>
      <c r="F2179" s="21">
        <v>1</v>
      </c>
      <c r="G2179" s="21">
        <v>170.77</v>
      </c>
      <c r="H2179" s="21">
        <v>5725.73</v>
      </c>
      <c r="I2179" s="21">
        <v>335.29</v>
      </c>
    </row>
    <row r="2180" spans="1:9" ht="15" customHeight="1" x14ac:dyDescent="0.3">
      <c r="A2180" s="21" t="s">
        <v>2508</v>
      </c>
      <c r="B2180" s="21">
        <v>2022</v>
      </c>
      <c r="C2180" s="21">
        <v>7</v>
      </c>
      <c r="D2180" s="21">
        <v>10</v>
      </c>
      <c r="E2180" s="21" t="s">
        <v>319</v>
      </c>
      <c r="F2180" s="21">
        <v>1</v>
      </c>
      <c r="G2180" s="21">
        <v>175.03</v>
      </c>
      <c r="H2180" s="21">
        <v>5868.45</v>
      </c>
      <c r="I2180" s="21">
        <v>335.28</v>
      </c>
    </row>
    <row r="2181" spans="1:9" ht="15" customHeight="1" x14ac:dyDescent="0.3">
      <c r="A2181" s="21" t="s">
        <v>2509</v>
      </c>
      <c r="B2181" s="21">
        <v>2022</v>
      </c>
      <c r="C2181" s="21">
        <v>7</v>
      </c>
      <c r="D2181" s="21">
        <v>11</v>
      </c>
      <c r="E2181" s="21" t="s">
        <v>299</v>
      </c>
      <c r="F2181" s="21">
        <v>0</v>
      </c>
      <c r="G2181" s="21">
        <v>218.71</v>
      </c>
      <c r="H2181" s="21">
        <v>7333.06</v>
      </c>
      <c r="I2181" s="21">
        <v>335.29</v>
      </c>
    </row>
    <row r="2182" spans="1:9" ht="15" customHeight="1" x14ac:dyDescent="0.3">
      <c r="A2182" s="21" t="s">
        <v>2510</v>
      </c>
      <c r="B2182" s="21">
        <v>2022</v>
      </c>
      <c r="C2182" s="21">
        <v>7</v>
      </c>
      <c r="D2182" s="21">
        <v>12</v>
      </c>
      <c r="E2182" s="21" t="s">
        <v>303</v>
      </c>
      <c r="F2182" s="21">
        <v>0</v>
      </c>
      <c r="G2182" s="21">
        <v>202.12</v>
      </c>
      <c r="H2182" s="21">
        <v>6776.78</v>
      </c>
      <c r="I2182" s="21">
        <v>335.28</v>
      </c>
    </row>
    <row r="2183" spans="1:9" ht="15" customHeight="1" x14ac:dyDescent="0.3">
      <c r="A2183" s="21" t="s">
        <v>2511</v>
      </c>
      <c r="B2183" s="21">
        <v>2022</v>
      </c>
      <c r="C2183" s="21">
        <v>7</v>
      </c>
      <c r="D2183" s="21">
        <v>13</v>
      </c>
      <c r="E2183" s="21" t="s">
        <v>307</v>
      </c>
      <c r="F2183" s="21">
        <v>0</v>
      </c>
      <c r="G2183" s="21">
        <v>200.64</v>
      </c>
      <c r="H2183" s="21">
        <v>6727.08</v>
      </c>
      <c r="I2183" s="21">
        <v>335.28</v>
      </c>
    </row>
    <row r="2184" spans="1:9" ht="15" customHeight="1" x14ac:dyDescent="0.3">
      <c r="A2184" s="21" t="s">
        <v>2512</v>
      </c>
      <c r="B2184" s="21">
        <v>2022</v>
      </c>
      <c r="C2184" s="21">
        <v>7</v>
      </c>
      <c r="D2184" s="21">
        <v>14</v>
      </c>
      <c r="E2184" s="21" t="s">
        <v>310</v>
      </c>
      <c r="F2184" s="21">
        <v>0</v>
      </c>
      <c r="G2184" s="21">
        <v>203.5</v>
      </c>
      <c r="H2184" s="21">
        <v>6823.18</v>
      </c>
      <c r="I2184" s="21">
        <v>335.29</v>
      </c>
    </row>
    <row r="2185" spans="1:9" ht="15" customHeight="1" x14ac:dyDescent="0.3">
      <c r="A2185" s="21" t="s">
        <v>2513</v>
      </c>
      <c r="B2185" s="21">
        <v>2022</v>
      </c>
      <c r="C2185" s="21">
        <v>7</v>
      </c>
      <c r="D2185" s="21">
        <v>15</v>
      </c>
      <c r="E2185" s="21" t="s">
        <v>313</v>
      </c>
      <c r="F2185" s="21">
        <v>0</v>
      </c>
      <c r="G2185" s="21">
        <v>213.71</v>
      </c>
      <c r="H2185" s="21">
        <v>7165.46</v>
      </c>
      <c r="I2185" s="21">
        <v>335.29</v>
      </c>
    </row>
    <row r="2186" spans="1:9" ht="15" customHeight="1" x14ac:dyDescent="0.3">
      <c r="A2186" s="21" t="s">
        <v>2514</v>
      </c>
      <c r="B2186" s="21">
        <v>2022</v>
      </c>
      <c r="C2186" s="21">
        <v>7</v>
      </c>
      <c r="D2186" s="21">
        <v>16</v>
      </c>
      <c r="E2186" s="21" t="s">
        <v>316</v>
      </c>
      <c r="F2186" s="21">
        <v>1</v>
      </c>
      <c r="G2186" s="21">
        <v>184.89</v>
      </c>
      <c r="H2186" s="21">
        <v>6199.2</v>
      </c>
      <c r="I2186" s="21">
        <v>335.29</v>
      </c>
    </row>
    <row r="2187" spans="1:9" ht="15" customHeight="1" x14ac:dyDescent="0.3">
      <c r="A2187" s="21" t="s">
        <v>2515</v>
      </c>
      <c r="B2187" s="21">
        <v>2022</v>
      </c>
      <c r="C2187" s="21">
        <v>7</v>
      </c>
      <c r="D2187" s="21">
        <v>17</v>
      </c>
      <c r="E2187" s="21" t="s">
        <v>319</v>
      </c>
      <c r="F2187" s="21">
        <v>1</v>
      </c>
      <c r="G2187" s="21">
        <v>162.41999999999999</v>
      </c>
      <c r="H2187" s="21">
        <v>5445.83</v>
      </c>
      <c r="I2187" s="21">
        <v>335.29</v>
      </c>
    </row>
    <row r="2188" spans="1:9" ht="15" customHeight="1" x14ac:dyDescent="0.3">
      <c r="A2188" s="21" t="s">
        <v>2516</v>
      </c>
      <c r="B2188" s="21">
        <v>2022</v>
      </c>
      <c r="C2188" s="21">
        <v>7</v>
      </c>
      <c r="D2188" s="21">
        <v>18</v>
      </c>
      <c r="E2188" s="21" t="s">
        <v>299</v>
      </c>
      <c r="F2188" s="21">
        <v>0</v>
      </c>
      <c r="G2188" s="21">
        <v>213.83</v>
      </c>
      <c r="H2188" s="21">
        <v>7169.52</v>
      </c>
      <c r="I2188" s="21">
        <v>335.29</v>
      </c>
    </row>
    <row r="2189" spans="1:9" ht="15" customHeight="1" x14ac:dyDescent="0.3">
      <c r="A2189" s="21" t="s">
        <v>2517</v>
      </c>
      <c r="B2189" s="21">
        <v>2022</v>
      </c>
      <c r="C2189" s="21">
        <v>7</v>
      </c>
      <c r="D2189" s="21">
        <v>19</v>
      </c>
      <c r="E2189" s="21" t="s">
        <v>303</v>
      </c>
      <c r="F2189" s="21">
        <v>0</v>
      </c>
      <c r="G2189" s="21">
        <v>214.88</v>
      </c>
      <c r="H2189" s="21">
        <v>7204.6</v>
      </c>
      <c r="I2189" s="21">
        <v>335.28</v>
      </c>
    </row>
    <row r="2190" spans="1:9" ht="15" customHeight="1" x14ac:dyDescent="0.3">
      <c r="A2190" s="21" t="s">
        <v>2518</v>
      </c>
      <c r="B2190" s="21">
        <v>2022</v>
      </c>
      <c r="C2190" s="21">
        <v>7</v>
      </c>
      <c r="D2190" s="21">
        <v>20</v>
      </c>
      <c r="E2190" s="21" t="s">
        <v>307</v>
      </c>
      <c r="F2190" s="21">
        <v>0</v>
      </c>
      <c r="G2190" s="21">
        <v>202.62</v>
      </c>
      <c r="H2190" s="21">
        <v>6793.64</v>
      </c>
      <c r="I2190" s="21">
        <v>335.29</v>
      </c>
    </row>
    <row r="2191" spans="1:9" ht="15" customHeight="1" x14ac:dyDescent="0.3">
      <c r="A2191" s="21" t="s">
        <v>2519</v>
      </c>
      <c r="B2191" s="21">
        <v>2022</v>
      </c>
      <c r="C2191" s="21">
        <v>7</v>
      </c>
      <c r="D2191" s="21">
        <v>21</v>
      </c>
      <c r="E2191" s="21" t="s">
        <v>310</v>
      </c>
      <c r="F2191" s="21">
        <v>0</v>
      </c>
      <c r="G2191" s="21">
        <v>201.43</v>
      </c>
      <c r="H2191" s="21">
        <v>6753.53</v>
      </c>
      <c r="I2191" s="21">
        <v>335.28</v>
      </c>
    </row>
    <row r="2192" spans="1:9" ht="15" customHeight="1" x14ac:dyDescent="0.3">
      <c r="A2192" s="21" t="s">
        <v>2520</v>
      </c>
      <c r="B2192" s="21">
        <v>2022</v>
      </c>
      <c r="C2192" s="21">
        <v>7</v>
      </c>
      <c r="D2192" s="21">
        <v>22</v>
      </c>
      <c r="E2192" s="21" t="s">
        <v>313</v>
      </c>
      <c r="F2192" s="21">
        <v>0</v>
      </c>
      <c r="G2192" s="21">
        <v>216.61</v>
      </c>
      <c r="H2192" s="21">
        <v>7262.8</v>
      </c>
      <c r="I2192" s="21">
        <v>335.29</v>
      </c>
    </row>
    <row r="2193" spans="1:9" ht="15" customHeight="1" x14ac:dyDescent="0.3">
      <c r="A2193" s="21" t="s">
        <v>2521</v>
      </c>
      <c r="B2193" s="21">
        <v>2022</v>
      </c>
      <c r="C2193" s="21">
        <v>7</v>
      </c>
      <c r="D2193" s="21">
        <v>23</v>
      </c>
      <c r="E2193" s="21" t="s">
        <v>316</v>
      </c>
      <c r="F2193" s="21">
        <v>1</v>
      </c>
      <c r="G2193" s="21">
        <v>171.1</v>
      </c>
      <c r="H2193" s="21">
        <v>5736.66</v>
      </c>
      <c r="I2193" s="21">
        <v>335.28</v>
      </c>
    </row>
    <row r="2194" spans="1:9" ht="15" customHeight="1" x14ac:dyDescent="0.3">
      <c r="A2194" s="21" t="s">
        <v>2522</v>
      </c>
      <c r="B2194" s="21">
        <v>2022</v>
      </c>
      <c r="C2194" s="21">
        <v>7</v>
      </c>
      <c r="D2194" s="21">
        <v>24</v>
      </c>
      <c r="E2194" s="21" t="s">
        <v>319</v>
      </c>
      <c r="F2194" s="21">
        <v>1</v>
      </c>
      <c r="G2194" s="21">
        <v>180.54</v>
      </c>
      <c r="H2194" s="21">
        <v>6053.16</v>
      </c>
      <c r="I2194" s="21">
        <v>335.28</v>
      </c>
    </row>
    <row r="2195" spans="1:9" ht="15" customHeight="1" x14ac:dyDescent="0.3">
      <c r="A2195" s="21" t="s">
        <v>2523</v>
      </c>
      <c r="B2195" s="21">
        <v>2022</v>
      </c>
      <c r="C2195" s="21">
        <v>7</v>
      </c>
      <c r="D2195" s="21">
        <v>25</v>
      </c>
      <c r="E2195" s="21" t="s">
        <v>299</v>
      </c>
      <c r="F2195" s="21">
        <v>0</v>
      </c>
      <c r="G2195" s="21">
        <v>199.27</v>
      </c>
      <c r="H2195" s="21">
        <v>6681.16</v>
      </c>
      <c r="I2195" s="21">
        <v>335.28</v>
      </c>
    </row>
    <row r="2196" spans="1:9" ht="15" customHeight="1" x14ac:dyDescent="0.3">
      <c r="A2196" s="21" t="s">
        <v>2524</v>
      </c>
      <c r="B2196" s="21">
        <v>2022</v>
      </c>
      <c r="C2196" s="21">
        <v>7</v>
      </c>
      <c r="D2196" s="21">
        <v>26</v>
      </c>
      <c r="E2196" s="21" t="s">
        <v>303</v>
      </c>
      <c r="F2196" s="21">
        <v>0</v>
      </c>
      <c r="G2196" s="21">
        <v>211.9</v>
      </c>
      <c r="H2196" s="21">
        <v>7104.72</v>
      </c>
      <c r="I2196" s="21">
        <v>335.29</v>
      </c>
    </row>
    <row r="2197" spans="1:9" ht="15" customHeight="1" x14ac:dyDescent="0.3">
      <c r="A2197" s="21" t="s">
        <v>2525</v>
      </c>
      <c r="B2197" s="21">
        <v>2022</v>
      </c>
      <c r="C2197" s="21">
        <v>7</v>
      </c>
      <c r="D2197" s="21">
        <v>27</v>
      </c>
      <c r="E2197" s="21" t="s">
        <v>307</v>
      </c>
      <c r="F2197" s="21">
        <v>0</v>
      </c>
      <c r="G2197" s="21">
        <v>193.93</v>
      </c>
      <c r="H2197" s="21">
        <v>6502.1</v>
      </c>
      <c r="I2197" s="21">
        <v>335.28</v>
      </c>
    </row>
    <row r="2198" spans="1:9" ht="15" customHeight="1" x14ac:dyDescent="0.3">
      <c r="A2198" s="21" t="s">
        <v>2526</v>
      </c>
      <c r="B2198" s="21">
        <v>2022</v>
      </c>
      <c r="C2198" s="21">
        <v>7</v>
      </c>
      <c r="D2198" s="21">
        <v>28</v>
      </c>
      <c r="E2198" s="21" t="s">
        <v>310</v>
      </c>
      <c r="F2198" s="21">
        <v>0</v>
      </c>
      <c r="G2198" s="21">
        <v>200.96</v>
      </c>
      <c r="H2198" s="21">
        <v>6737.92</v>
      </c>
      <c r="I2198" s="21">
        <v>335.29</v>
      </c>
    </row>
    <row r="2199" spans="1:9" ht="15" customHeight="1" x14ac:dyDescent="0.3">
      <c r="A2199" s="21" t="s">
        <v>2527</v>
      </c>
      <c r="B2199" s="21">
        <v>2022</v>
      </c>
      <c r="C2199" s="21">
        <v>7</v>
      </c>
      <c r="D2199" s="21">
        <v>29</v>
      </c>
      <c r="E2199" s="21" t="s">
        <v>313</v>
      </c>
      <c r="F2199" s="21">
        <v>0</v>
      </c>
      <c r="G2199" s="21">
        <v>216.18</v>
      </c>
      <c r="H2199" s="21">
        <v>7248.17</v>
      </c>
      <c r="I2199" s="21">
        <v>335.28</v>
      </c>
    </row>
    <row r="2200" spans="1:9" ht="15" customHeight="1" x14ac:dyDescent="0.3">
      <c r="A2200" s="21" t="s">
        <v>2528</v>
      </c>
      <c r="B2200" s="21">
        <v>2022</v>
      </c>
      <c r="C2200" s="21">
        <v>7</v>
      </c>
      <c r="D2200" s="21">
        <v>30</v>
      </c>
      <c r="E2200" s="21" t="s">
        <v>316</v>
      </c>
      <c r="F2200" s="21">
        <v>1</v>
      </c>
      <c r="G2200" s="21">
        <v>202.14</v>
      </c>
      <c r="H2200" s="21">
        <v>6777.35</v>
      </c>
      <c r="I2200" s="21">
        <v>335.28</v>
      </c>
    </row>
    <row r="2201" spans="1:9" ht="15" customHeight="1" x14ac:dyDescent="0.3">
      <c r="A2201" s="21" t="s">
        <v>2529</v>
      </c>
      <c r="B2201" s="21">
        <v>2022</v>
      </c>
      <c r="C2201" s="21">
        <v>7</v>
      </c>
      <c r="D2201" s="21">
        <v>31</v>
      </c>
      <c r="E2201" s="21" t="s">
        <v>319</v>
      </c>
      <c r="F2201" s="21">
        <v>1</v>
      </c>
      <c r="G2201" s="21">
        <v>186.85</v>
      </c>
      <c r="H2201" s="21">
        <v>6264.94</v>
      </c>
      <c r="I2201" s="21">
        <v>335.29</v>
      </c>
    </row>
    <row r="2202" spans="1:9" ht="15" customHeight="1" x14ac:dyDescent="0.3">
      <c r="A2202" s="21" t="s">
        <v>170</v>
      </c>
      <c r="B2202" s="21">
        <v>2022</v>
      </c>
      <c r="C2202" s="21">
        <v>8</v>
      </c>
      <c r="D2202" s="21">
        <v>1</v>
      </c>
      <c r="E2202" s="21" t="s">
        <v>299</v>
      </c>
      <c r="F2202" s="21">
        <v>0</v>
      </c>
      <c r="G2202" s="21">
        <v>259.64999999999998</v>
      </c>
      <c r="H2202" s="21">
        <v>8903.92</v>
      </c>
      <c r="I2202" s="21">
        <v>342.92</v>
      </c>
    </row>
    <row r="2203" spans="1:9" ht="15" customHeight="1" x14ac:dyDescent="0.3">
      <c r="A2203" s="21" t="s">
        <v>2530</v>
      </c>
      <c r="B2203" s="21">
        <v>2022</v>
      </c>
      <c r="C2203" s="21">
        <v>8</v>
      </c>
      <c r="D2203" s="21">
        <v>2</v>
      </c>
      <c r="E2203" s="21" t="s">
        <v>303</v>
      </c>
      <c r="F2203" s="21">
        <v>0</v>
      </c>
      <c r="G2203" s="21">
        <v>258.88</v>
      </c>
      <c r="H2203" s="21">
        <v>8877.67</v>
      </c>
      <c r="I2203" s="21">
        <v>342.93</v>
      </c>
    </row>
    <row r="2204" spans="1:9" ht="15" customHeight="1" x14ac:dyDescent="0.3">
      <c r="A2204" s="21" t="s">
        <v>2531</v>
      </c>
      <c r="B2204" s="21">
        <v>2022</v>
      </c>
      <c r="C2204" s="21">
        <v>8</v>
      </c>
      <c r="D2204" s="21">
        <v>3</v>
      </c>
      <c r="E2204" s="21" t="s">
        <v>307</v>
      </c>
      <c r="F2204" s="21">
        <v>0</v>
      </c>
      <c r="G2204" s="21">
        <v>203.55</v>
      </c>
      <c r="H2204" s="21">
        <v>6980.12</v>
      </c>
      <c r="I2204" s="21">
        <v>342.92</v>
      </c>
    </row>
    <row r="2205" spans="1:9" ht="15" customHeight="1" x14ac:dyDescent="0.3">
      <c r="A2205" s="21" t="s">
        <v>2532</v>
      </c>
      <c r="B2205" s="21">
        <v>2022</v>
      </c>
      <c r="C2205" s="21">
        <v>8</v>
      </c>
      <c r="D2205" s="21">
        <v>4</v>
      </c>
      <c r="E2205" s="21" t="s">
        <v>310</v>
      </c>
      <c r="F2205" s="21">
        <v>0</v>
      </c>
      <c r="G2205" s="21">
        <v>213.43</v>
      </c>
      <c r="H2205" s="21">
        <v>7319.16</v>
      </c>
      <c r="I2205" s="21">
        <v>342.93</v>
      </c>
    </row>
    <row r="2206" spans="1:9" ht="15" customHeight="1" x14ac:dyDescent="0.3">
      <c r="A2206" s="21" t="s">
        <v>2533</v>
      </c>
      <c r="B2206" s="21">
        <v>2022</v>
      </c>
      <c r="C2206" s="21">
        <v>8</v>
      </c>
      <c r="D2206" s="21">
        <v>5</v>
      </c>
      <c r="E2206" s="21" t="s">
        <v>313</v>
      </c>
      <c r="F2206" s="21">
        <v>0</v>
      </c>
      <c r="G2206" s="21">
        <v>224.99</v>
      </c>
      <c r="H2206" s="21">
        <v>7715.43</v>
      </c>
      <c r="I2206" s="21">
        <v>342.92</v>
      </c>
    </row>
    <row r="2207" spans="1:9" ht="15" customHeight="1" x14ac:dyDescent="0.3">
      <c r="A2207" s="21" t="s">
        <v>2534</v>
      </c>
      <c r="B2207" s="21">
        <v>2022</v>
      </c>
      <c r="C2207" s="21">
        <v>8</v>
      </c>
      <c r="D2207" s="21">
        <v>6</v>
      </c>
      <c r="E2207" s="21" t="s">
        <v>316</v>
      </c>
      <c r="F2207" s="21">
        <v>1</v>
      </c>
      <c r="G2207" s="21">
        <v>183.1</v>
      </c>
      <c r="H2207" s="21">
        <v>6279.07</v>
      </c>
      <c r="I2207" s="21">
        <v>342.93</v>
      </c>
    </row>
    <row r="2208" spans="1:9" ht="15" customHeight="1" x14ac:dyDescent="0.3">
      <c r="A2208" s="21" t="s">
        <v>2535</v>
      </c>
      <c r="B2208" s="21">
        <v>2022</v>
      </c>
      <c r="C2208" s="21">
        <v>8</v>
      </c>
      <c r="D2208" s="21">
        <v>7</v>
      </c>
      <c r="E2208" s="21" t="s">
        <v>319</v>
      </c>
      <c r="F2208" s="21">
        <v>1</v>
      </c>
      <c r="G2208" s="21">
        <v>180.51</v>
      </c>
      <c r="H2208" s="21">
        <v>6190.26</v>
      </c>
      <c r="I2208" s="21">
        <v>342.93</v>
      </c>
    </row>
    <row r="2209" spans="1:9" ht="15" customHeight="1" x14ac:dyDescent="0.3">
      <c r="A2209" s="21" t="s">
        <v>2536</v>
      </c>
      <c r="B2209" s="21">
        <v>2022</v>
      </c>
      <c r="C2209" s="21">
        <v>8</v>
      </c>
      <c r="D2209" s="21">
        <v>8</v>
      </c>
      <c r="E2209" s="21" t="s">
        <v>299</v>
      </c>
      <c r="F2209" s="21">
        <v>0</v>
      </c>
      <c r="G2209" s="21">
        <v>218.75</v>
      </c>
      <c r="H2209" s="21">
        <v>7501.57</v>
      </c>
      <c r="I2209" s="21">
        <v>342.93</v>
      </c>
    </row>
    <row r="2210" spans="1:9" ht="15" customHeight="1" x14ac:dyDescent="0.3">
      <c r="A2210" s="21" t="s">
        <v>2537</v>
      </c>
      <c r="B2210" s="21">
        <v>2022</v>
      </c>
      <c r="C2210" s="21">
        <v>8</v>
      </c>
      <c r="D2210" s="21">
        <v>9</v>
      </c>
      <c r="E2210" s="21" t="s">
        <v>303</v>
      </c>
      <c r="F2210" s="21">
        <v>0</v>
      </c>
      <c r="G2210" s="21">
        <v>215.33</v>
      </c>
      <c r="H2210" s="21">
        <v>7384.26</v>
      </c>
      <c r="I2210" s="21">
        <v>342.93</v>
      </c>
    </row>
    <row r="2211" spans="1:9" ht="15" customHeight="1" x14ac:dyDescent="0.3">
      <c r="A2211" s="21" t="s">
        <v>2538</v>
      </c>
      <c r="B2211" s="21">
        <v>2022</v>
      </c>
      <c r="C2211" s="21">
        <v>8</v>
      </c>
      <c r="D2211" s="21">
        <v>10</v>
      </c>
      <c r="E2211" s="21" t="s">
        <v>307</v>
      </c>
      <c r="F2211" s="21">
        <v>0</v>
      </c>
      <c r="G2211" s="21">
        <v>223.71</v>
      </c>
      <c r="H2211" s="21">
        <v>7671.69</v>
      </c>
      <c r="I2211" s="21">
        <v>342.93</v>
      </c>
    </row>
    <row r="2212" spans="1:9" ht="15" customHeight="1" x14ac:dyDescent="0.3">
      <c r="A2212" s="21" t="s">
        <v>2539</v>
      </c>
      <c r="B2212" s="21">
        <v>2022</v>
      </c>
      <c r="C2212" s="21">
        <v>8</v>
      </c>
      <c r="D2212" s="21">
        <v>11</v>
      </c>
      <c r="E2212" s="21" t="s">
        <v>310</v>
      </c>
      <c r="F2212" s="21">
        <v>0</v>
      </c>
      <c r="G2212" s="21">
        <v>211.01</v>
      </c>
      <c r="H2212" s="21">
        <v>7236.06</v>
      </c>
      <c r="I2212" s="21">
        <v>342.92</v>
      </c>
    </row>
    <row r="2213" spans="1:9" ht="15" customHeight="1" x14ac:dyDescent="0.3">
      <c r="A2213" s="21" t="s">
        <v>2540</v>
      </c>
      <c r="B2213" s="21">
        <v>2022</v>
      </c>
      <c r="C2213" s="21">
        <v>8</v>
      </c>
      <c r="D2213" s="21">
        <v>12</v>
      </c>
      <c r="E2213" s="21" t="s">
        <v>313</v>
      </c>
      <c r="F2213" s="21">
        <v>0</v>
      </c>
      <c r="G2213" s="21">
        <v>233.79</v>
      </c>
      <c r="H2213" s="21">
        <v>8017.11</v>
      </c>
      <c r="I2213" s="21">
        <v>342.92</v>
      </c>
    </row>
    <row r="2214" spans="1:9" ht="15" customHeight="1" x14ac:dyDescent="0.3">
      <c r="A2214" s="21" t="s">
        <v>2541</v>
      </c>
      <c r="B2214" s="21">
        <v>2022</v>
      </c>
      <c r="C2214" s="21">
        <v>8</v>
      </c>
      <c r="D2214" s="21">
        <v>13</v>
      </c>
      <c r="E2214" s="21" t="s">
        <v>316</v>
      </c>
      <c r="F2214" s="21">
        <v>1</v>
      </c>
      <c r="G2214" s="21">
        <v>172.16</v>
      </c>
      <c r="H2214" s="21">
        <v>5903.72</v>
      </c>
      <c r="I2214" s="21">
        <v>342.92</v>
      </c>
    </row>
    <row r="2215" spans="1:9" ht="15" customHeight="1" x14ac:dyDescent="0.3">
      <c r="A2215" s="21" t="s">
        <v>2542</v>
      </c>
      <c r="B2215" s="21">
        <v>2022</v>
      </c>
      <c r="C2215" s="21">
        <v>8</v>
      </c>
      <c r="D2215" s="21">
        <v>14</v>
      </c>
      <c r="E2215" s="21" t="s">
        <v>319</v>
      </c>
      <c r="F2215" s="21">
        <v>1</v>
      </c>
      <c r="G2215" s="21">
        <v>174.3</v>
      </c>
      <c r="H2215" s="21">
        <v>5977.26</v>
      </c>
      <c r="I2215" s="21">
        <v>342.93</v>
      </c>
    </row>
    <row r="2216" spans="1:9" ht="15" customHeight="1" x14ac:dyDescent="0.3">
      <c r="A2216" s="21" t="s">
        <v>2543</v>
      </c>
      <c r="B2216" s="21">
        <v>2022</v>
      </c>
      <c r="C2216" s="21">
        <v>8</v>
      </c>
      <c r="D2216" s="21">
        <v>15</v>
      </c>
      <c r="E2216" s="21" t="s">
        <v>299</v>
      </c>
      <c r="F2216" s="21">
        <v>0</v>
      </c>
      <c r="G2216" s="21">
        <v>225.84</v>
      </c>
      <c r="H2216" s="21">
        <v>7744.77</v>
      </c>
      <c r="I2216" s="21">
        <v>342.93</v>
      </c>
    </row>
    <row r="2217" spans="1:9" ht="15" customHeight="1" x14ac:dyDescent="0.3">
      <c r="A2217" s="21" t="s">
        <v>2544</v>
      </c>
      <c r="B2217" s="21">
        <v>2022</v>
      </c>
      <c r="C2217" s="21">
        <v>8</v>
      </c>
      <c r="D2217" s="21">
        <v>16</v>
      </c>
      <c r="E2217" s="21" t="s">
        <v>303</v>
      </c>
      <c r="F2217" s="21">
        <v>0</v>
      </c>
      <c r="G2217" s="21">
        <v>221.67</v>
      </c>
      <c r="H2217" s="21">
        <v>7601.77</v>
      </c>
      <c r="I2217" s="21">
        <v>342.93</v>
      </c>
    </row>
    <row r="2218" spans="1:9" ht="15" customHeight="1" x14ac:dyDescent="0.3">
      <c r="A2218" s="21" t="s">
        <v>2545</v>
      </c>
      <c r="B2218" s="21">
        <v>2022</v>
      </c>
      <c r="C2218" s="21">
        <v>8</v>
      </c>
      <c r="D2218" s="21">
        <v>17</v>
      </c>
      <c r="E2218" s="21" t="s">
        <v>307</v>
      </c>
      <c r="F2218" s="21">
        <v>0</v>
      </c>
      <c r="G2218" s="21">
        <v>214.49</v>
      </c>
      <c r="H2218" s="21">
        <v>7355.38</v>
      </c>
      <c r="I2218" s="21">
        <v>342.92</v>
      </c>
    </row>
    <row r="2219" spans="1:9" ht="15" customHeight="1" x14ac:dyDescent="0.3">
      <c r="A2219" s="21" t="s">
        <v>2546</v>
      </c>
      <c r="B2219" s="21">
        <v>2022</v>
      </c>
      <c r="C2219" s="21">
        <v>8</v>
      </c>
      <c r="D2219" s="21">
        <v>18</v>
      </c>
      <c r="E2219" s="21" t="s">
        <v>310</v>
      </c>
      <c r="F2219" s="21">
        <v>0</v>
      </c>
      <c r="G2219" s="21">
        <v>210.23</v>
      </c>
      <c r="H2219" s="21">
        <v>7209.39</v>
      </c>
      <c r="I2219" s="21">
        <v>342.93</v>
      </c>
    </row>
    <row r="2220" spans="1:9" ht="15" customHeight="1" x14ac:dyDescent="0.3">
      <c r="A2220" s="21" t="s">
        <v>2547</v>
      </c>
      <c r="B2220" s="21">
        <v>2022</v>
      </c>
      <c r="C2220" s="21">
        <v>8</v>
      </c>
      <c r="D2220" s="21">
        <v>19</v>
      </c>
      <c r="E2220" s="21" t="s">
        <v>313</v>
      </c>
      <c r="F2220" s="21">
        <v>0</v>
      </c>
      <c r="G2220" s="21">
        <v>229.2</v>
      </c>
      <c r="H2220" s="21">
        <v>7859.81</v>
      </c>
      <c r="I2220" s="21">
        <v>342.92</v>
      </c>
    </row>
    <row r="2221" spans="1:9" ht="15" customHeight="1" x14ac:dyDescent="0.3">
      <c r="A2221" s="21" t="s">
        <v>2548</v>
      </c>
      <c r="B2221" s="21">
        <v>2022</v>
      </c>
      <c r="C2221" s="21">
        <v>8</v>
      </c>
      <c r="D2221" s="21">
        <v>20</v>
      </c>
      <c r="E2221" s="21" t="s">
        <v>316</v>
      </c>
      <c r="F2221" s="21">
        <v>1</v>
      </c>
      <c r="G2221" s="21">
        <v>172.43</v>
      </c>
      <c r="H2221" s="21">
        <v>5913.08</v>
      </c>
      <c r="I2221" s="21">
        <v>342.93</v>
      </c>
    </row>
    <row r="2222" spans="1:9" ht="15" customHeight="1" x14ac:dyDescent="0.3">
      <c r="A2222" s="21" t="s">
        <v>2549</v>
      </c>
      <c r="B2222" s="21">
        <v>2022</v>
      </c>
      <c r="C2222" s="21">
        <v>8</v>
      </c>
      <c r="D2222" s="21">
        <v>21</v>
      </c>
      <c r="E2222" s="21" t="s">
        <v>319</v>
      </c>
      <c r="F2222" s="21">
        <v>1</v>
      </c>
      <c r="G2222" s="21">
        <v>184.24</v>
      </c>
      <c r="H2222" s="21">
        <v>6318.07</v>
      </c>
      <c r="I2222" s="21">
        <v>342.93</v>
      </c>
    </row>
    <row r="2223" spans="1:9" ht="15" customHeight="1" x14ac:dyDescent="0.3">
      <c r="A2223" s="21" t="s">
        <v>2550</v>
      </c>
      <c r="B2223" s="21">
        <v>2022</v>
      </c>
      <c r="C2223" s="21">
        <v>8</v>
      </c>
      <c r="D2223" s="21">
        <v>22</v>
      </c>
      <c r="E2223" s="21" t="s">
        <v>299</v>
      </c>
      <c r="F2223" s="21">
        <v>0</v>
      </c>
      <c r="G2223" s="21">
        <v>228.45</v>
      </c>
      <c r="H2223" s="21">
        <v>7834.27</v>
      </c>
      <c r="I2223" s="21">
        <v>342.93</v>
      </c>
    </row>
    <row r="2224" spans="1:9" ht="15" customHeight="1" x14ac:dyDescent="0.3">
      <c r="A2224" s="21" t="s">
        <v>2551</v>
      </c>
      <c r="B2224" s="21">
        <v>2022</v>
      </c>
      <c r="C2224" s="21">
        <v>8</v>
      </c>
      <c r="D2224" s="21">
        <v>23</v>
      </c>
      <c r="E2224" s="21" t="s">
        <v>303</v>
      </c>
      <c r="F2224" s="21">
        <v>0</v>
      </c>
      <c r="G2224" s="21">
        <v>209.35</v>
      </c>
      <c r="H2224" s="21">
        <v>7179.04</v>
      </c>
      <c r="I2224" s="21">
        <v>342.92</v>
      </c>
    </row>
    <row r="2225" spans="1:9" ht="15" customHeight="1" x14ac:dyDescent="0.3">
      <c r="A2225" s="21" t="s">
        <v>2552</v>
      </c>
      <c r="B2225" s="21">
        <v>2022</v>
      </c>
      <c r="C2225" s="21">
        <v>8</v>
      </c>
      <c r="D2225" s="21">
        <v>24</v>
      </c>
      <c r="E2225" s="21" t="s">
        <v>307</v>
      </c>
      <c r="F2225" s="21">
        <v>0</v>
      </c>
      <c r="G2225" s="21">
        <v>209.23</v>
      </c>
      <c r="H2225" s="21">
        <v>7175.12</v>
      </c>
      <c r="I2225" s="21">
        <v>342.93</v>
      </c>
    </row>
    <row r="2226" spans="1:9" ht="15" customHeight="1" x14ac:dyDescent="0.3">
      <c r="A2226" s="21" t="s">
        <v>2553</v>
      </c>
      <c r="B2226" s="21">
        <v>2022</v>
      </c>
      <c r="C2226" s="21">
        <v>8</v>
      </c>
      <c r="D2226" s="21">
        <v>25</v>
      </c>
      <c r="E2226" s="21" t="s">
        <v>310</v>
      </c>
      <c r="F2226" s="21">
        <v>0</v>
      </c>
      <c r="G2226" s="21">
        <v>213.92</v>
      </c>
      <c r="H2226" s="21">
        <v>7335.79</v>
      </c>
      <c r="I2226" s="21">
        <v>342.92</v>
      </c>
    </row>
    <row r="2227" spans="1:9" ht="15" customHeight="1" x14ac:dyDescent="0.3">
      <c r="A2227" s="21" t="s">
        <v>2554</v>
      </c>
      <c r="B2227" s="21">
        <v>2022</v>
      </c>
      <c r="C2227" s="21">
        <v>8</v>
      </c>
      <c r="D2227" s="21">
        <v>26</v>
      </c>
      <c r="E2227" s="21" t="s">
        <v>313</v>
      </c>
      <c r="F2227" s="21">
        <v>0</v>
      </c>
      <c r="G2227" s="21">
        <v>226.42</v>
      </c>
      <c r="H2227" s="21">
        <v>7764.61</v>
      </c>
      <c r="I2227" s="21">
        <v>342.93</v>
      </c>
    </row>
    <row r="2228" spans="1:9" ht="15" customHeight="1" x14ac:dyDescent="0.3">
      <c r="A2228" s="21" t="s">
        <v>2555</v>
      </c>
      <c r="B2228" s="21">
        <v>2022</v>
      </c>
      <c r="C2228" s="21">
        <v>8</v>
      </c>
      <c r="D2228" s="21">
        <v>27</v>
      </c>
      <c r="E2228" s="21" t="s">
        <v>316</v>
      </c>
      <c r="F2228" s="21">
        <v>1</v>
      </c>
      <c r="G2228" s="21">
        <v>179.97</v>
      </c>
      <c r="H2228" s="21">
        <v>6171.64</v>
      </c>
      <c r="I2228" s="21">
        <v>342.93</v>
      </c>
    </row>
    <row r="2229" spans="1:9" ht="15" customHeight="1" x14ac:dyDescent="0.3">
      <c r="A2229" s="21" t="s">
        <v>2556</v>
      </c>
      <c r="B2229" s="21">
        <v>2022</v>
      </c>
      <c r="C2229" s="21">
        <v>8</v>
      </c>
      <c r="D2229" s="21">
        <v>28</v>
      </c>
      <c r="E2229" s="21" t="s">
        <v>319</v>
      </c>
      <c r="F2229" s="21">
        <v>1</v>
      </c>
      <c r="G2229" s="21">
        <v>193.76</v>
      </c>
      <c r="H2229" s="21">
        <v>6644.52</v>
      </c>
      <c r="I2229" s="21">
        <v>342.93</v>
      </c>
    </row>
    <row r="2230" spans="1:9" ht="15" customHeight="1" x14ac:dyDescent="0.3">
      <c r="A2230" s="21" t="s">
        <v>2557</v>
      </c>
      <c r="B2230" s="21">
        <v>2022</v>
      </c>
      <c r="C2230" s="21">
        <v>8</v>
      </c>
      <c r="D2230" s="21">
        <v>29</v>
      </c>
      <c r="E2230" s="21" t="s">
        <v>299</v>
      </c>
      <c r="F2230" s="21">
        <v>0</v>
      </c>
      <c r="G2230" s="21">
        <v>221.26</v>
      </c>
      <c r="H2230" s="21">
        <v>7587.7</v>
      </c>
      <c r="I2230" s="21">
        <v>342.93</v>
      </c>
    </row>
    <row r="2231" spans="1:9" ht="15" customHeight="1" x14ac:dyDescent="0.3">
      <c r="A2231" s="21" t="s">
        <v>2558</v>
      </c>
      <c r="B2231" s="21">
        <v>2022</v>
      </c>
      <c r="C2231" s="21">
        <v>8</v>
      </c>
      <c r="D2231" s="21">
        <v>30</v>
      </c>
      <c r="E2231" s="21" t="s">
        <v>303</v>
      </c>
      <c r="F2231" s="21">
        <v>0</v>
      </c>
      <c r="G2231" s="21">
        <v>241.44</v>
      </c>
      <c r="H2231" s="21">
        <v>8279.43</v>
      </c>
      <c r="I2231" s="21">
        <v>342.92</v>
      </c>
    </row>
    <row r="2232" spans="1:9" ht="15" customHeight="1" x14ac:dyDescent="0.3">
      <c r="A2232" s="21" t="s">
        <v>2559</v>
      </c>
      <c r="B2232" s="21">
        <v>2022</v>
      </c>
      <c r="C2232" s="21">
        <v>8</v>
      </c>
      <c r="D2232" s="21">
        <v>31</v>
      </c>
      <c r="E2232" s="21" t="s">
        <v>307</v>
      </c>
      <c r="F2232" s="21">
        <v>0</v>
      </c>
      <c r="G2232" s="21">
        <v>239.32</v>
      </c>
      <c r="H2232" s="21">
        <v>8206.82</v>
      </c>
      <c r="I2232" s="21">
        <v>342.92</v>
      </c>
    </row>
    <row r="2233" spans="1:9" ht="15" customHeight="1" x14ac:dyDescent="0.3">
      <c r="A2233" s="21" t="s">
        <v>171</v>
      </c>
      <c r="B2233" s="21">
        <v>2022</v>
      </c>
      <c r="C2233" s="21">
        <v>9</v>
      </c>
      <c r="D2233" s="21">
        <v>1</v>
      </c>
      <c r="E2233" s="21" t="s">
        <v>310</v>
      </c>
      <c r="F2233" s="21">
        <v>0</v>
      </c>
      <c r="G2233" s="21">
        <v>265.74</v>
      </c>
      <c r="H2233" s="21">
        <v>9182.02</v>
      </c>
      <c r="I2233" s="21">
        <v>345.53</v>
      </c>
    </row>
    <row r="2234" spans="1:9" ht="15" customHeight="1" x14ac:dyDescent="0.3">
      <c r="A2234" s="21" t="s">
        <v>2560</v>
      </c>
      <c r="B2234" s="21">
        <v>2022</v>
      </c>
      <c r="C2234" s="21">
        <v>9</v>
      </c>
      <c r="D2234" s="21">
        <v>2</v>
      </c>
      <c r="E2234" s="21" t="s">
        <v>313</v>
      </c>
      <c r="F2234" s="21">
        <v>0</v>
      </c>
      <c r="G2234" s="21">
        <v>279.32</v>
      </c>
      <c r="H2234" s="21">
        <v>9651.19</v>
      </c>
      <c r="I2234" s="21">
        <v>345.52</v>
      </c>
    </row>
    <row r="2235" spans="1:9" ht="15" customHeight="1" x14ac:dyDescent="0.3">
      <c r="A2235" s="21" t="s">
        <v>2561</v>
      </c>
      <c r="B2235" s="21">
        <v>2022</v>
      </c>
      <c r="C2235" s="21">
        <v>9</v>
      </c>
      <c r="D2235" s="21">
        <v>3</v>
      </c>
      <c r="E2235" s="21" t="s">
        <v>316</v>
      </c>
      <c r="F2235" s="21">
        <v>1</v>
      </c>
      <c r="G2235" s="21">
        <v>187.72</v>
      </c>
      <c r="H2235" s="21">
        <v>6486.35</v>
      </c>
      <c r="I2235" s="21">
        <v>345.53</v>
      </c>
    </row>
    <row r="2236" spans="1:9" ht="15" customHeight="1" x14ac:dyDescent="0.3">
      <c r="A2236" s="21" t="s">
        <v>2562</v>
      </c>
      <c r="B2236" s="21">
        <v>2022</v>
      </c>
      <c r="C2236" s="21">
        <v>9</v>
      </c>
      <c r="D2236" s="21">
        <v>4</v>
      </c>
      <c r="E2236" s="21" t="s">
        <v>319</v>
      </c>
      <c r="F2236" s="21">
        <v>1</v>
      </c>
      <c r="G2236" s="21">
        <v>201.09</v>
      </c>
      <c r="H2236" s="21">
        <v>6948.08</v>
      </c>
      <c r="I2236" s="21">
        <v>345.52</v>
      </c>
    </row>
    <row r="2237" spans="1:9" ht="15" customHeight="1" x14ac:dyDescent="0.3">
      <c r="A2237" s="21" t="s">
        <v>2563</v>
      </c>
      <c r="B2237" s="21">
        <v>2022</v>
      </c>
      <c r="C2237" s="21">
        <v>9</v>
      </c>
      <c r="D2237" s="21">
        <v>5</v>
      </c>
      <c r="E2237" s="21" t="s">
        <v>299</v>
      </c>
      <c r="F2237" s="21">
        <v>0</v>
      </c>
      <c r="G2237" s="21">
        <v>246.96</v>
      </c>
      <c r="H2237" s="21">
        <v>8533.11</v>
      </c>
      <c r="I2237" s="21">
        <v>345.53</v>
      </c>
    </row>
    <row r="2238" spans="1:9" ht="15" customHeight="1" x14ac:dyDescent="0.3">
      <c r="A2238" s="21" t="s">
        <v>2564</v>
      </c>
      <c r="B2238" s="21">
        <v>2022</v>
      </c>
      <c r="C2238" s="21">
        <v>9</v>
      </c>
      <c r="D2238" s="21">
        <v>6</v>
      </c>
      <c r="E2238" s="21" t="s">
        <v>303</v>
      </c>
      <c r="F2238" s="21">
        <v>0</v>
      </c>
      <c r="G2238" s="21">
        <v>221.96</v>
      </c>
      <c r="H2238" s="21">
        <v>7669.32</v>
      </c>
      <c r="I2238" s="21">
        <v>345.53</v>
      </c>
    </row>
    <row r="2239" spans="1:9" ht="15" customHeight="1" x14ac:dyDescent="0.3">
      <c r="A2239" s="21" t="s">
        <v>2565</v>
      </c>
      <c r="B2239" s="21">
        <v>2022</v>
      </c>
      <c r="C2239" s="21">
        <v>9</v>
      </c>
      <c r="D2239" s="21">
        <v>7</v>
      </c>
      <c r="E2239" s="21" t="s">
        <v>307</v>
      </c>
      <c r="F2239" s="21">
        <v>0</v>
      </c>
      <c r="G2239" s="21">
        <v>213.38</v>
      </c>
      <c r="H2239" s="21">
        <v>7372.67</v>
      </c>
      <c r="I2239" s="21">
        <v>345.52</v>
      </c>
    </row>
    <row r="2240" spans="1:9" ht="15" customHeight="1" x14ac:dyDescent="0.3">
      <c r="A2240" s="21" t="s">
        <v>2566</v>
      </c>
      <c r="B2240" s="21">
        <v>2022</v>
      </c>
      <c r="C2240" s="21">
        <v>9</v>
      </c>
      <c r="D2240" s="21">
        <v>8</v>
      </c>
      <c r="E2240" s="21" t="s">
        <v>310</v>
      </c>
      <c r="F2240" s="21">
        <v>0</v>
      </c>
      <c r="G2240" s="21">
        <v>232.87</v>
      </c>
      <c r="H2240" s="21">
        <v>8046.06</v>
      </c>
      <c r="I2240" s="21">
        <v>345.52</v>
      </c>
    </row>
    <row r="2241" spans="1:9" ht="15" customHeight="1" x14ac:dyDescent="0.3">
      <c r="A2241" s="21" t="s">
        <v>2567</v>
      </c>
      <c r="B2241" s="21">
        <v>2022</v>
      </c>
      <c r="C2241" s="21">
        <v>9</v>
      </c>
      <c r="D2241" s="21">
        <v>9</v>
      </c>
      <c r="E2241" s="21" t="s">
        <v>313</v>
      </c>
      <c r="F2241" s="21">
        <v>0</v>
      </c>
      <c r="G2241" s="21">
        <v>239.47</v>
      </c>
      <c r="H2241" s="21">
        <v>8274.39</v>
      </c>
      <c r="I2241" s="21">
        <v>345.53</v>
      </c>
    </row>
    <row r="2242" spans="1:9" ht="15" customHeight="1" x14ac:dyDescent="0.3">
      <c r="A2242" s="21" t="s">
        <v>2568</v>
      </c>
      <c r="B2242" s="21">
        <v>2022</v>
      </c>
      <c r="C2242" s="21">
        <v>9</v>
      </c>
      <c r="D2242" s="21">
        <v>10</v>
      </c>
      <c r="E2242" s="21" t="s">
        <v>316</v>
      </c>
      <c r="F2242" s="21">
        <v>1</v>
      </c>
      <c r="G2242" s="21">
        <v>197.49</v>
      </c>
      <c r="H2242" s="21">
        <v>6823.74</v>
      </c>
      <c r="I2242" s="21">
        <v>345.52</v>
      </c>
    </row>
    <row r="2243" spans="1:9" ht="15" customHeight="1" x14ac:dyDescent="0.3">
      <c r="A2243" s="21" t="s">
        <v>2569</v>
      </c>
      <c r="B2243" s="21">
        <v>2022</v>
      </c>
      <c r="C2243" s="21">
        <v>9</v>
      </c>
      <c r="D2243" s="21">
        <v>11</v>
      </c>
      <c r="E2243" s="21" t="s">
        <v>319</v>
      </c>
      <c r="F2243" s="21">
        <v>1</v>
      </c>
      <c r="G2243" s="21">
        <v>178.77</v>
      </c>
      <c r="H2243" s="21">
        <v>6176.9</v>
      </c>
      <c r="I2243" s="21">
        <v>345.52</v>
      </c>
    </row>
    <row r="2244" spans="1:9" ht="15" customHeight="1" x14ac:dyDescent="0.3">
      <c r="A2244" s="21" t="s">
        <v>2570</v>
      </c>
      <c r="B2244" s="21">
        <v>2022</v>
      </c>
      <c r="C2244" s="21">
        <v>9</v>
      </c>
      <c r="D2244" s="21">
        <v>12</v>
      </c>
      <c r="E2244" s="21" t="s">
        <v>299</v>
      </c>
      <c r="F2244" s="21">
        <v>0</v>
      </c>
      <c r="G2244" s="21">
        <v>243.39</v>
      </c>
      <c r="H2244" s="21">
        <v>8409.64</v>
      </c>
      <c r="I2244" s="21">
        <v>345.52</v>
      </c>
    </row>
    <row r="2245" spans="1:9" ht="15" customHeight="1" x14ac:dyDescent="0.3">
      <c r="A2245" s="21" t="s">
        <v>2571</v>
      </c>
      <c r="B2245" s="21">
        <v>2022</v>
      </c>
      <c r="C2245" s="21">
        <v>9</v>
      </c>
      <c r="D2245" s="21">
        <v>13</v>
      </c>
      <c r="E2245" s="21" t="s">
        <v>303</v>
      </c>
      <c r="F2245" s="21">
        <v>0</v>
      </c>
      <c r="G2245" s="21">
        <v>217.82</v>
      </c>
      <c r="H2245" s="21">
        <v>7526.22</v>
      </c>
      <c r="I2245" s="21">
        <v>345.52</v>
      </c>
    </row>
    <row r="2246" spans="1:9" ht="15" customHeight="1" x14ac:dyDescent="0.3">
      <c r="A2246" s="21" t="s">
        <v>2572</v>
      </c>
      <c r="B2246" s="21">
        <v>2022</v>
      </c>
      <c r="C2246" s="21">
        <v>9</v>
      </c>
      <c r="D2246" s="21">
        <v>14</v>
      </c>
      <c r="E2246" s="21" t="s">
        <v>307</v>
      </c>
      <c r="F2246" s="21">
        <v>0</v>
      </c>
      <c r="G2246" s="21">
        <v>230.99</v>
      </c>
      <c r="H2246" s="21">
        <v>7981.22</v>
      </c>
      <c r="I2246" s="21">
        <v>345.52</v>
      </c>
    </row>
    <row r="2247" spans="1:9" ht="15" customHeight="1" x14ac:dyDescent="0.3">
      <c r="A2247" s="21" t="s">
        <v>2573</v>
      </c>
      <c r="B2247" s="21">
        <v>2022</v>
      </c>
      <c r="C2247" s="21">
        <v>9</v>
      </c>
      <c r="D2247" s="21">
        <v>15</v>
      </c>
      <c r="E2247" s="21" t="s">
        <v>310</v>
      </c>
      <c r="F2247" s="21">
        <v>0</v>
      </c>
      <c r="G2247" s="21">
        <v>226.13</v>
      </c>
      <c r="H2247" s="21">
        <v>7813.34</v>
      </c>
      <c r="I2247" s="21">
        <v>345.52</v>
      </c>
    </row>
    <row r="2248" spans="1:9" ht="15" customHeight="1" x14ac:dyDescent="0.3">
      <c r="A2248" s="21" t="s">
        <v>2574</v>
      </c>
      <c r="B2248" s="21">
        <v>2022</v>
      </c>
      <c r="C2248" s="21">
        <v>9</v>
      </c>
      <c r="D2248" s="21">
        <v>16</v>
      </c>
      <c r="E2248" s="21" t="s">
        <v>313</v>
      </c>
      <c r="F2248" s="21">
        <v>0</v>
      </c>
      <c r="G2248" s="21">
        <v>237.65</v>
      </c>
      <c r="H2248" s="21">
        <v>8211.2900000000009</v>
      </c>
      <c r="I2248" s="21">
        <v>345.52</v>
      </c>
    </row>
    <row r="2249" spans="1:9" ht="15" customHeight="1" x14ac:dyDescent="0.3">
      <c r="A2249" s="21" t="s">
        <v>2575</v>
      </c>
      <c r="B2249" s="21">
        <v>2022</v>
      </c>
      <c r="C2249" s="21">
        <v>9</v>
      </c>
      <c r="D2249" s="21">
        <v>17</v>
      </c>
      <c r="E2249" s="21" t="s">
        <v>316</v>
      </c>
      <c r="F2249" s="21">
        <v>1</v>
      </c>
      <c r="G2249" s="21">
        <v>189.37</v>
      </c>
      <c r="H2249" s="21">
        <v>6543.13</v>
      </c>
      <c r="I2249" s="21">
        <v>345.52</v>
      </c>
    </row>
    <row r="2250" spans="1:9" ht="15" customHeight="1" x14ac:dyDescent="0.3">
      <c r="A2250" s="21" t="s">
        <v>2576</v>
      </c>
      <c r="B2250" s="21">
        <v>2022</v>
      </c>
      <c r="C2250" s="21">
        <v>9</v>
      </c>
      <c r="D2250" s="21">
        <v>18</v>
      </c>
      <c r="E2250" s="21" t="s">
        <v>319</v>
      </c>
      <c r="F2250" s="21">
        <v>1</v>
      </c>
      <c r="G2250" s="21">
        <v>196.78</v>
      </c>
      <c r="H2250" s="21">
        <v>6799.3</v>
      </c>
      <c r="I2250" s="21">
        <v>345.53</v>
      </c>
    </row>
    <row r="2251" spans="1:9" ht="15" customHeight="1" x14ac:dyDescent="0.3">
      <c r="A2251" s="21" t="s">
        <v>2577</v>
      </c>
      <c r="B2251" s="21">
        <v>2022</v>
      </c>
      <c r="C2251" s="21">
        <v>9</v>
      </c>
      <c r="D2251" s="21">
        <v>19</v>
      </c>
      <c r="E2251" s="21" t="s">
        <v>299</v>
      </c>
      <c r="F2251" s="21">
        <v>0</v>
      </c>
      <c r="G2251" s="21">
        <v>238.05</v>
      </c>
      <c r="H2251" s="21">
        <v>8225.31</v>
      </c>
      <c r="I2251" s="21">
        <v>345.53</v>
      </c>
    </row>
    <row r="2252" spans="1:9" ht="15" customHeight="1" x14ac:dyDescent="0.3">
      <c r="A2252" s="21" t="s">
        <v>2578</v>
      </c>
      <c r="B2252" s="21">
        <v>2022</v>
      </c>
      <c r="C2252" s="21">
        <v>9</v>
      </c>
      <c r="D2252" s="21">
        <v>20</v>
      </c>
      <c r="E2252" s="21" t="s">
        <v>303</v>
      </c>
      <c r="F2252" s="21">
        <v>0</v>
      </c>
      <c r="G2252" s="21">
        <v>230</v>
      </c>
      <c r="H2252" s="21">
        <v>7946.93</v>
      </c>
      <c r="I2252" s="21">
        <v>345.52</v>
      </c>
    </row>
    <row r="2253" spans="1:9" ht="15" customHeight="1" x14ac:dyDescent="0.3">
      <c r="A2253" s="21" t="s">
        <v>2579</v>
      </c>
      <c r="B2253" s="21">
        <v>2022</v>
      </c>
      <c r="C2253" s="21">
        <v>9</v>
      </c>
      <c r="D2253" s="21">
        <v>21</v>
      </c>
      <c r="E2253" s="21" t="s">
        <v>307</v>
      </c>
      <c r="F2253" s="21">
        <v>0</v>
      </c>
      <c r="G2253" s="21">
        <v>239.44</v>
      </c>
      <c r="H2253" s="21">
        <v>8273.08</v>
      </c>
      <c r="I2253" s="21">
        <v>345.52</v>
      </c>
    </row>
    <row r="2254" spans="1:9" ht="15" customHeight="1" x14ac:dyDescent="0.3">
      <c r="A2254" s="21" t="s">
        <v>2580</v>
      </c>
      <c r="B2254" s="21">
        <v>2022</v>
      </c>
      <c r="C2254" s="21">
        <v>9</v>
      </c>
      <c r="D2254" s="21">
        <v>22</v>
      </c>
      <c r="E2254" s="21" t="s">
        <v>310</v>
      </c>
      <c r="F2254" s="21">
        <v>0</v>
      </c>
      <c r="G2254" s="21">
        <v>215.43</v>
      </c>
      <c r="H2254" s="21">
        <v>7443.5</v>
      </c>
      <c r="I2254" s="21">
        <v>345.52</v>
      </c>
    </row>
    <row r="2255" spans="1:9" ht="15" customHeight="1" x14ac:dyDescent="0.3">
      <c r="A2255" s="21" t="s">
        <v>2581</v>
      </c>
      <c r="B2255" s="21">
        <v>2022</v>
      </c>
      <c r="C2255" s="21">
        <v>9</v>
      </c>
      <c r="D2255" s="21">
        <v>23</v>
      </c>
      <c r="E2255" s="21" t="s">
        <v>313</v>
      </c>
      <c r="F2255" s="21">
        <v>0</v>
      </c>
      <c r="G2255" s="21">
        <v>255.08</v>
      </c>
      <c r="H2255" s="21">
        <v>8813.7099999999991</v>
      </c>
      <c r="I2255" s="21">
        <v>345.53</v>
      </c>
    </row>
    <row r="2256" spans="1:9" ht="15" customHeight="1" x14ac:dyDescent="0.3">
      <c r="A2256" s="21" t="s">
        <v>2582</v>
      </c>
      <c r="B2256" s="21">
        <v>2022</v>
      </c>
      <c r="C2256" s="21">
        <v>9</v>
      </c>
      <c r="D2256" s="21">
        <v>24</v>
      </c>
      <c r="E2256" s="21" t="s">
        <v>316</v>
      </c>
      <c r="F2256" s="21">
        <v>1</v>
      </c>
      <c r="G2256" s="21">
        <v>192.84</v>
      </c>
      <c r="H2256" s="21">
        <v>6662.95</v>
      </c>
      <c r="I2256" s="21">
        <v>345.52</v>
      </c>
    </row>
    <row r="2257" spans="1:9" ht="15" customHeight="1" x14ac:dyDescent="0.3">
      <c r="A2257" s="21" t="s">
        <v>2583</v>
      </c>
      <c r="B2257" s="21">
        <v>2022</v>
      </c>
      <c r="C2257" s="21">
        <v>9</v>
      </c>
      <c r="D2257" s="21">
        <v>25</v>
      </c>
      <c r="E2257" s="21" t="s">
        <v>319</v>
      </c>
      <c r="F2257" s="21">
        <v>1</v>
      </c>
      <c r="G2257" s="21">
        <v>186.03</v>
      </c>
      <c r="H2257" s="21">
        <v>6427.91</v>
      </c>
      <c r="I2257" s="21">
        <v>345.53</v>
      </c>
    </row>
    <row r="2258" spans="1:9" ht="15" customHeight="1" x14ac:dyDescent="0.3">
      <c r="A2258" s="21" t="s">
        <v>2584</v>
      </c>
      <c r="B2258" s="21">
        <v>2022</v>
      </c>
      <c r="C2258" s="21">
        <v>9</v>
      </c>
      <c r="D2258" s="21">
        <v>26</v>
      </c>
      <c r="E2258" s="21" t="s">
        <v>299</v>
      </c>
      <c r="F2258" s="21">
        <v>0</v>
      </c>
      <c r="G2258" s="21">
        <v>228.31</v>
      </c>
      <c r="H2258" s="21">
        <v>7888.81</v>
      </c>
      <c r="I2258" s="21">
        <v>345.53</v>
      </c>
    </row>
    <row r="2259" spans="1:9" ht="15" customHeight="1" x14ac:dyDescent="0.3">
      <c r="A2259" s="21" t="s">
        <v>2585</v>
      </c>
      <c r="B2259" s="21">
        <v>2022</v>
      </c>
      <c r="C2259" s="21">
        <v>9</v>
      </c>
      <c r="D2259" s="21">
        <v>27</v>
      </c>
      <c r="E2259" s="21" t="s">
        <v>303</v>
      </c>
      <c r="F2259" s="21">
        <v>0</v>
      </c>
      <c r="G2259" s="21">
        <v>224.75</v>
      </c>
      <c r="H2259" s="21">
        <v>7765.69</v>
      </c>
      <c r="I2259" s="21">
        <v>345.53</v>
      </c>
    </row>
    <row r="2260" spans="1:9" ht="15" customHeight="1" x14ac:dyDescent="0.3">
      <c r="A2260" s="21" t="s">
        <v>2586</v>
      </c>
      <c r="B2260" s="21">
        <v>2022</v>
      </c>
      <c r="C2260" s="21">
        <v>9</v>
      </c>
      <c r="D2260" s="21">
        <v>28</v>
      </c>
      <c r="E2260" s="21" t="s">
        <v>307</v>
      </c>
      <c r="F2260" s="21">
        <v>0</v>
      </c>
      <c r="G2260" s="21">
        <v>232.28</v>
      </c>
      <c r="H2260" s="21">
        <v>8025.94</v>
      </c>
      <c r="I2260" s="21">
        <v>345.53</v>
      </c>
    </row>
    <row r="2261" spans="1:9" ht="15" customHeight="1" x14ac:dyDescent="0.3">
      <c r="A2261" s="21" t="s">
        <v>2587</v>
      </c>
      <c r="B2261" s="21">
        <v>2022</v>
      </c>
      <c r="C2261" s="21">
        <v>9</v>
      </c>
      <c r="D2261" s="21">
        <v>29</v>
      </c>
      <c r="E2261" s="21" t="s">
        <v>310</v>
      </c>
      <c r="F2261" s="21">
        <v>0</v>
      </c>
      <c r="G2261" s="21">
        <v>258.94</v>
      </c>
      <c r="H2261" s="21">
        <v>8947.1299999999992</v>
      </c>
      <c r="I2261" s="21">
        <v>345.53</v>
      </c>
    </row>
    <row r="2262" spans="1:9" ht="15" customHeight="1" x14ac:dyDescent="0.3">
      <c r="A2262" s="21" t="s">
        <v>2588</v>
      </c>
      <c r="B2262" s="21">
        <v>2022</v>
      </c>
      <c r="C2262" s="21">
        <v>9</v>
      </c>
      <c r="D2262" s="21">
        <v>30</v>
      </c>
      <c r="E2262" s="21" t="s">
        <v>313</v>
      </c>
      <c r="F2262" s="21">
        <v>0</v>
      </c>
      <c r="G2262" s="21">
        <v>292.52</v>
      </c>
      <c r="H2262" s="21">
        <v>10107.19</v>
      </c>
      <c r="I2262" s="21">
        <v>345.52</v>
      </c>
    </row>
    <row r="2263" spans="1:9" ht="15" customHeight="1" x14ac:dyDescent="0.3">
      <c r="A2263" s="21" t="s">
        <v>172</v>
      </c>
      <c r="B2263" s="21">
        <v>2022</v>
      </c>
      <c r="C2263" s="21">
        <v>10</v>
      </c>
      <c r="D2263" s="21">
        <v>1</v>
      </c>
      <c r="E2263" s="21" t="s">
        <v>316</v>
      </c>
      <c r="F2263" s="21">
        <v>1</v>
      </c>
      <c r="G2263" s="21">
        <v>218.55</v>
      </c>
      <c r="H2263" s="21">
        <v>7526.58</v>
      </c>
      <c r="I2263" s="21">
        <v>344.39</v>
      </c>
    </row>
    <row r="2264" spans="1:9" ht="15" customHeight="1" x14ac:dyDescent="0.3">
      <c r="A2264" s="21" t="s">
        <v>2589</v>
      </c>
      <c r="B2264" s="21">
        <v>2022</v>
      </c>
      <c r="C2264" s="21">
        <v>10</v>
      </c>
      <c r="D2264" s="21">
        <v>2</v>
      </c>
      <c r="E2264" s="21" t="s">
        <v>319</v>
      </c>
      <c r="F2264" s="21">
        <v>1</v>
      </c>
      <c r="G2264" s="21">
        <v>230.24</v>
      </c>
      <c r="H2264" s="21">
        <v>7929.5</v>
      </c>
      <c r="I2264" s="21">
        <v>344.4</v>
      </c>
    </row>
    <row r="2265" spans="1:9" ht="15" customHeight="1" x14ac:dyDescent="0.3">
      <c r="A2265" s="21" t="s">
        <v>2590</v>
      </c>
      <c r="B2265" s="21">
        <v>2022</v>
      </c>
      <c r="C2265" s="21">
        <v>10</v>
      </c>
      <c r="D2265" s="21">
        <v>3</v>
      </c>
      <c r="E2265" s="21" t="s">
        <v>299</v>
      </c>
      <c r="F2265" s="21">
        <v>0</v>
      </c>
      <c r="G2265" s="21">
        <v>238.57</v>
      </c>
      <c r="H2265" s="21">
        <v>8216.34</v>
      </c>
      <c r="I2265" s="21">
        <v>344.4</v>
      </c>
    </row>
    <row r="2266" spans="1:9" ht="15" customHeight="1" x14ac:dyDescent="0.3">
      <c r="A2266" s="21" t="s">
        <v>2591</v>
      </c>
      <c r="B2266" s="21">
        <v>2022</v>
      </c>
      <c r="C2266" s="21">
        <v>10</v>
      </c>
      <c r="D2266" s="21">
        <v>4</v>
      </c>
      <c r="E2266" s="21" t="s">
        <v>303</v>
      </c>
      <c r="F2266" s="21">
        <v>0</v>
      </c>
      <c r="G2266" s="21">
        <v>238.22</v>
      </c>
      <c r="H2266" s="21">
        <v>8204.02</v>
      </c>
      <c r="I2266" s="21">
        <v>344.39</v>
      </c>
    </row>
    <row r="2267" spans="1:9" ht="15" customHeight="1" x14ac:dyDescent="0.3">
      <c r="A2267" s="21" t="s">
        <v>2592</v>
      </c>
      <c r="B2267" s="21">
        <v>2022</v>
      </c>
      <c r="C2267" s="21">
        <v>10</v>
      </c>
      <c r="D2267" s="21">
        <v>5</v>
      </c>
      <c r="E2267" s="21" t="s">
        <v>307</v>
      </c>
      <c r="F2267" s="21">
        <v>0</v>
      </c>
      <c r="G2267" s="21">
        <v>241.91</v>
      </c>
      <c r="H2267" s="21">
        <v>8331.41</v>
      </c>
      <c r="I2267" s="21">
        <v>344.4</v>
      </c>
    </row>
    <row r="2268" spans="1:9" ht="15" customHeight="1" x14ac:dyDescent="0.3">
      <c r="A2268" s="21" t="s">
        <v>2593</v>
      </c>
      <c r="B2268" s="21">
        <v>2022</v>
      </c>
      <c r="C2268" s="21">
        <v>10</v>
      </c>
      <c r="D2268" s="21">
        <v>6</v>
      </c>
      <c r="E2268" s="21" t="s">
        <v>310</v>
      </c>
      <c r="F2268" s="21">
        <v>0</v>
      </c>
      <c r="G2268" s="21">
        <v>232.67</v>
      </c>
      <c r="H2268" s="21">
        <v>8013.04</v>
      </c>
      <c r="I2268" s="21">
        <v>344.4</v>
      </c>
    </row>
    <row r="2269" spans="1:9" ht="15" customHeight="1" x14ac:dyDescent="0.3">
      <c r="A2269" s="21" t="s">
        <v>2594</v>
      </c>
      <c r="B2269" s="21">
        <v>2022</v>
      </c>
      <c r="C2269" s="21">
        <v>10</v>
      </c>
      <c r="D2269" s="21">
        <v>7</v>
      </c>
      <c r="E2269" s="21" t="s">
        <v>313</v>
      </c>
      <c r="F2269" s="21">
        <v>0</v>
      </c>
      <c r="G2269" s="21">
        <v>236.09</v>
      </c>
      <c r="H2269" s="21">
        <v>8130.69</v>
      </c>
      <c r="I2269" s="21">
        <v>344.39</v>
      </c>
    </row>
    <row r="2270" spans="1:9" ht="15" customHeight="1" x14ac:dyDescent="0.3">
      <c r="A2270" s="21" t="s">
        <v>2595</v>
      </c>
      <c r="B2270" s="21">
        <v>2022</v>
      </c>
      <c r="C2270" s="21">
        <v>10</v>
      </c>
      <c r="D2270" s="21">
        <v>8</v>
      </c>
      <c r="E2270" s="21" t="s">
        <v>316</v>
      </c>
      <c r="F2270" s="21">
        <v>1</v>
      </c>
      <c r="G2270" s="21">
        <v>201.7</v>
      </c>
      <c r="H2270" s="21">
        <v>6946.6</v>
      </c>
      <c r="I2270" s="21">
        <v>344.4</v>
      </c>
    </row>
    <row r="2271" spans="1:9" ht="15" customHeight="1" x14ac:dyDescent="0.3">
      <c r="A2271" s="21" t="s">
        <v>2596</v>
      </c>
      <c r="B2271" s="21">
        <v>2022</v>
      </c>
      <c r="C2271" s="21">
        <v>10</v>
      </c>
      <c r="D2271" s="21">
        <v>9</v>
      </c>
      <c r="E2271" s="21" t="s">
        <v>319</v>
      </c>
      <c r="F2271" s="21">
        <v>1</v>
      </c>
      <c r="G2271" s="21">
        <v>203.39</v>
      </c>
      <c r="H2271" s="21">
        <v>7004.49</v>
      </c>
      <c r="I2271" s="21">
        <v>344.39</v>
      </c>
    </row>
    <row r="2272" spans="1:9" ht="15" customHeight="1" x14ac:dyDescent="0.3">
      <c r="A2272" s="21" t="s">
        <v>2597</v>
      </c>
      <c r="B2272" s="21">
        <v>2022</v>
      </c>
      <c r="C2272" s="21">
        <v>10</v>
      </c>
      <c r="D2272" s="21">
        <v>10</v>
      </c>
      <c r="E2272" s="21" t="s">
        <v>299</v>
      </c>
      <c r="F2272" s="21">
        <v>0</v>
      </c>
      <c r="G2272" s="21">
        <v>250.29</v>
      </c>
      <c r="H2272" s="21">
        <v>8619.69</v>
      </c>
      <c r="I2272" s="21">
        <v>344.39</v>
      </c>
    </row>
    <row r="2273" spans="1:9" ht="15" customHeight="1" x14ac:dyDescent="0.3">
      <c r="A2273" s="21" t="s">
        <v>2598</v>
      </c>
      <c r="B2273" s="21">
        <v>2022</v>
      </c>
      <c r="C2273" s="21">
        <v>10</v>
      </c>
      <c r="D2273" s="21">
        <v>11</v>
      </c>
      <c r="E2273" s="21" t="s">
        <v>303</v>
      </c>
      <c r="F2273" s="21">
        <v>0</v>
      </c>
      <c r="G2273" s="21">
        <v>244.38</v>
      </c>
      <c r="H2273" s="21">
        <v>8416.35</v>
      </c>
      <c r="I2273" s="21">
        <v>344.4</v>
      </c>
    </row>
    <row r="2274" spans="1:9" ht="15" customHeight="1" x14ac:dyDescent="0.3">
      <c r="A2274" s="21" t="s">
        <v>2599</v>
      </c>
      <c r="B2274" s="21">
        <v>2022</v>
      </c>
      <c r="C2274" s="21">
        <v>10</v>
      </c>
      <c r="D2274" s="21">
        <v>12</v>
      </c>
      <c r="E2274" s="21" t="s">
        <v>307</v>
      </c>
      <c r="F2274" s="21">
        <v>0</v>
      </c>
      <c r="G2274" s="21">
        <v>228.07</v>
      </c>
      <c r="H2274" s="21">
        <v>7854.72</v>
      </c>
      <c r="I2274" s="21">
        <v>344.4</v>
      </c>
    </row>
    <row r="2275" spans="1:9" ht="15" customHeight="1" x14ac:dyDescent="0.3">
      <c r="A2275" s="21" t="s">
        <v>2600</v>
      </c>
      <c r="B2275" s="21">
        <v>2022</v>
      </c>
      <c r="C2275" s="21">
        <v>10</v>
      </c>
      <c r="D2275" s="21">
        <v>13</v>
      </c>
      <c r="E2275" s="21" t="s">
        <v>310</v>
      </c>
      <c r="F2275" s="21">
        <v>0</v>
      </c>
      <c r="G2275" s="21">
        <v>240.45</v>
      </c>
      <c r="H2275" s="21">
        <v>8281.09</v>
      </c>
      <c r="I2275" s="21">
        <v>344.4</v>
      </c>
    </row>
    <row r="2276" spans="1:9" ht="15" customHeight="1" x14ac:dyDescent="0.3">
      <c r="A2276" s="21" t="s">
        <v>2601</v>
      </c>
      <c r="B2276" s="21">
        <v>2022</v>
      </c>
      <c r="C2276" s="21">
        <v>10</v>
      </c>
      <c r="D2276" s="21">
        <v>14</v>
      </c>
      <c r="E2276" s="21" t="s">
        <v>313</v>
      </c>
      <c r="F2276" s="21">
        <v>0</v>
      </c>
      <c r="G2276" s="21">
        <v>262.93</v>
      </c>
      <c r="H2276" s="21">
        <v>9055.06</v>
      </c>
      <c r="I2276" s="21">
        <v>344.39</v>
      </c>
    </row>
    <row r="2277" spans="1:9" ht="15" customHeight="1" x14ac:dyDescent="0.3">
      <c r="A2277" s="21" t="s">
        <v>2602</v>
      </c>
      <c r="B2277" s="21">
        <v>2022</v>
      </c>
      <c r="C2277" s="21">
        <v>10</v>
      </c>
      <c r="D2277" s="21">
        <v>15</v>
      </c>
      <c r="E2277" s="21" t="s">
        <v>316</v>
      </c>
      <c r="F2277" s="21">
        <v>1</v>
      </c>
      <c r="G2277" s="21">
        <v>206.5</v>
      </c>
      <c r="H2277" s="21">
        <v>7111.65</v>
      </c>
      <c r="I2277" s="21">
        <v>344.39</v>
      </c>
    </row>
    <row r="2278" spans="1:9" ht="15" customHeight="1" x14ac:dyDescent="0.3">
      <c r="A2278" s="21" t="s">
        <v>2603</v>
      </c>
      <c r="B2278" s="21">
        <v>2022</v>
      </c>
      <c r="C2278" s="21">
        <v>10</v>
      </c>
      <c r="D2278" s="21">
        <v>16</v>
      </c>
      <c r="E2278" s="21" t="s">
        <v>319</v>
      </c>
      <c r="F2278" s="21">
        <v>1</v>
      </c>
      <c r="G2278" s="21">
        <v>222.81</v>
      </c>
      <c r="H2278" s="21">
        <v>7673.58</v>
      </c>
      <c r="I2278" s="21">
        <v>344.4</v>
      </c>
    </row>
    <row r="2279" spans="1:9" ht="15" customHeight="1" x14ac:dyDescent="0.3">
      <c r="A2279" s="21" t="s">
        <v>2604</v>
      </c>
      <c r="B2279" s="21">
        <v>2022</v>
      </c>
      <c r="C2279" s="21">
        <v>10</v>
      </c>
      <c r="D2279" s="21">
        <v>17</v>
      </c>
      <c r="E2279" s="21" t="s">
        <v>299</v>
      </c>
      <c r="F2279" s="21">
        <v>0</v>
      </c>
      <c r="G2279" s="21">
        <v>268.25</v>
      </c>
      <c r="H2279" s="21">
        <v>9238.36</v>
      </c>
      <c r="I2279" s="21">
        <v>344.39</v>
      </c>
    </row>
    <row r="2280" spans="1:9" ht="15" customHeight="1" x14ac:dyDescent="0.3">
      <c r="A2280" s="21" t="s">
        <v>2605</v>
      </c>
      <c r="B2280" s="21">
        <v>2022</v>
      </c>
      <c r="C2280" s="21">
        <v>10</v>
      </c>
      <c r="D2280" s="21">
        <v>18</v>
      </c>
      <c r="E2280" s="21" t="s">
        <v>303</v>
      </c>
      <c r="F2280" s="21">
        <v>0</v>
      </c>
      <c r="G2280" s="21">
        <v>258.58</v>
      </c>
      <c r="H2280" s="21">
        <v>8905.2000000000007</v>
      </c>
      <c r="I2280" s="21">
        <v>344.39</v>
      </c>
    </row>
    <row r="2281" spans="1:9" ht="15" customHeight="1" x14ac:dyDescent="0.3">
      <c r="A2281" s="21" t="s">
        <v>2606</v>
      </c>
      <c r="B2281" s="21">
        <v>2022</v>
      </c>
      <c r="C2281" s="21">
        <v>10</v>
      </c>
      <c r="D2281" s="21">
        <v>19</v>
      </c>
      <c r="E2281" s="21" t="s">
        <v>307</v>
      </c>
      <c r="F2281" s="21">
        <v>0</v>
      </c>
      <c r="G2281" s="21">
        <v>261.91000000000003</v>
      </c>
      <c r="H2281" s="21">
        <v>9020.14</v>
      </c>
      <c r="I2281" s="21">
        <v>344.4</v>
      </c>
    </row>
    <row r="2282" spans="1:9" ht="15" customHeight="1" x14ac:dyDescent="0.3">
      <c r="A2282" s="21" t="s">
        <v>2607</v>
      </c>
      <c r="B2282" s="21">
        <v>2022</v>
      </c>
      <c r="C2282" s="21">
        <v>10</v>
      </c>
      <c r="D2282" s="21">
        <v>20</v>
      </c>
      <c r="E2282" s="21" t="s">
        <v>310</v>
      </c>
      <c r="F2282" s="21">
        <v>0</v>
      </c>
      <c r="G2282" s="21">
        <v>255.42</v>
      </c>
      <c r="H2282" s="21">
        <v>8796.5499999999993</v>
      </c>
      <c r="I2282" s="21">
        <v>344.4</v>
      </c>
    </row>
    <row r="2283" spans="1:9" ht="15" customHeight="1" x14ac:dyDescent="0.3">
      <c r="A2283" s="21" t="s">
        <v>2608</v>
      </c>
      <c r="B2283" s="21">
        <v>2022</v>
      </c>
      <c r="C2283" s="21">
        <v>10</v>
      </c>
      <c r="D2283" s="21">
        <v>21</v>
      </c>
      <c r="E2283" s="21" t="s">
        <v>313</v>
      </c>
      <c r="F2283" s="21">
        <v>0</v>
      </c>
      <c r="G2283" s="21">
        <v>274.69</v>
      </c>
      <c r="H2283" s="21">
        <v>9460.23</v>
      </c>
      <c r="I2283" s="21">
        <v>344.4</v>
      </c>
    </row>
    <row r="2284" spans="1:9" ht="15" customHeight="1" x14ac:dyDescent="0.3">
      <c r="A2284" s="21" t="s">
        <v>2609</v>
      </c>
      <c r="B2284" s="21">
        <v>2022</v>
      </c>
      <c r="C2284" s="21">
        <v>10</v>
      </c>
      <c r="D2284" s="21">
        <v>22</v>
      </c>
      <c r="E2284" s="21" t="s">
        <v>316</v>
      </c>
      <c r="F2284" s="21">
        <v>1</v>
      </c>
      <c r="G2284" s="21">
        <v>220.59</v>
      </c>
      <c r="H2284" s="21">
        <v>7597.12</v>
      </c>
      <c r="I2284" s="21">
        <v>344.4</v>
      </c>
    </row>
    <row r="2285" spans="1:9" ht="15" customHeight="1" x14ac:dyDescent="0.3">
      <c r="A2285" s="21" t="s">
        <v>2610</v>
      </c>
      <c r="B2285" s="21">
        <v>2022</v>
      </c>
      <c r="C2285" s="21">
        <v>10</v>
      </c>
      <c r="D2285" s="21">
        <v>23</v>
      </c>
      <c r="E2285" s="21" t="s">
        <v>319</v>
      </c>
      <c r="F2285" s="21">
        <v>1</v>
      </c>
      <c r="G2285" s="21">
        <v>211.87</v>
      </c>
      <c r="H2285" s="21">
        <v>7296.8</v>
      </c>
      <c r="I2285" s="21">
        <v>344.4</v>
      </c>
    </row>
    <row r="2286" spans="1:9" ht="15" customHeight="1" x14ac:dyDescent="0.3">
      <c r="A2286" s="21" t="s">
        <v>2611</v>
      </c>
      <c r="B2286" s="21">
        <v>2022</v>
      </c>
      <c r="C2286" s="21">
        <v>10</v>
      </c>
      <c r="D2286" s="21">
        <v>24</v>
      </c>
      <c r="E2286" s="21" t="s">
        <v>299</v>
      </c>
      <c r="F2286" s="21">
        <v>0</v>
      </c>
      <c r="G2286" s="21">
        <v>263.73</v>
      </c>
      <c r="H2286" s="21">
        <v>9082.59</v>
      </c>
      <c r="I2286" s="21">
        <v>344.39</v>
      </c>
    </row>
    <row r="2287" spans="1:9" ht="15" customHeight="1" x14ac:dyDescent="0.3">
      <c r="A2287" s="21" t="s">
        <v>2612</v>
      </c>
      <c r="B2287" s="21">
        <v>2022</v>
      </c>
      <c r="C2287" s="21">
        <v>10</v>
      </c>
      <c r="D2287" s="21">
        <v>25</v>
      </c>
      <c r="E2287" s="21" t="s">
        <v>303</v>
      </c>
      <c r="F2287" s="21">
        <v>0</v>
      </c>
      <c r="G2287" s="21">
        <v>264.49</v>
      </c>
      <c r="H2287" s="21">
        <v>9108.98</v>
      </c>
      <c r="I2287" s="21">
        <v>344.4</v>
      </c>
    </row>
    <row r="2288" spans="1:9" ht="15" customHeight="1" x14ac:dyDescent="0.3">
      <c r="A2288" s="21" t="s">
        <v>2613</v>
      </c>
      <c r="B2288" s="21">
        <v>2022</v>
      </c>
      <c r="C2288" s="21">
        <v>10</v>
      </c>
      <c r="D2288" s="21">
        <v>26</v>
      </c>
      <c r="E2288" s="21" t="s">
        <v>307</v>
      </c>
      <c r="F2288" s="21">
        <v>0</v>
      </c>
      <c r="G2288" s="21">
        <v>227.52</v>
      </c>
      <c r="H2288" s="21">
        <v>7835.79</v>
      </c>
      <c r="I2288" s="21">
        <v>344.4</v>
      </c>
    </row>
    <row r="2289" spans="1:9" ht="15" customHeight="1" x14ac:dyDescent="0.3">
      <c r="A2289" s="21" t="s">
        <v>2614</v>
      </c>
      <c r="B2289" s="21">
        <v>2022</v>
      </c>
      <c r="C2289" s="21">
        <v>10</v>
      </c>
      <c r="D2289" s="21">
        <v>27</v>
      </c>
      <c r="E2289" s="21" t="s">
        <v>310</v>
      </c>
      <c r="F2289" s="21">
        <v>0</v>
      </c>
      <c r="G2289" s="21">
        <v>240.36</v>
      </c>
      <c r="H2289" s="21">
        <v>8277.7099999999991</v>
      </c>
      <c r="I2289" s="21">
        <v>344.39</v>
      </c>
    </row>
    <row r="2290" spans="1:9" ht="15" customHeight="1" x14ac:dyDescent="0.3">
      <c r="A2290" s="21" t="s">
        <v>2615</v>
      </c>
      <c r="B2290" s="21">
        <v>2022</v>
      </c>
      <c r="C2290" s="21">
        <v>10</v>
      </c>
      <c r="D2290" s="21">
        <v>28</v>
      </c>
      <c r="E2290" s="21" t="s">
        <v>313</v>
      </c>
      <c r="F2290" s="21">
        <v>0</v>
      </c>
      <c r="G2290" s="21">
        <v>257.77</v>
      </c>
      <c r="H2290" s="21">
        <v>8877.35</v>
      </c>
      <c r="I2290" s="21">
        <v>344.39</v>
      </c>
    </row>
    <row r="2291" spans="1:9" ht="15" customHeight="1" x14ac:dyDescent="0.3">
      <c r="A2291" s="21" t="s">
        <v>2616</v>
      </c>
      <c r="B2291" s="21">
        <v>2022</v>
      </c>
      <c r="C2291" s="21">
        <v>10</v>
      </c>
      <c r="D2291" s="21">
        <v>29</v>
      </c>
      <c r="E2291" s="21" t="s">
        <v>316</v>
      </c>
      <c r="F2291" s="21">
        <v>1</v>
      </c>
      <c r="G2291" s="21">
        <v>188.1</v>
      </c>
      <c r="H2291" s="21">
        <v>6477.99</v>
      </c>
      <c r="I2291" s="21">
        <v>344.39</v>
      </c>
    </row>
    <row r="2292" spans="1:9" ht="15" customHeight="1" x14ac:dyDescent="0.3">
      <c r="A2292" s="21" t="s">
        <v>2617</v>
      </c>
      <c r="B2292" s="21">
        <v>2022</v>
      </c>
      <c r="C2292" s="21">
        <v>10</v>
      </c>
      <c r="D2292" s="21">
        <v>30</v>
      </c>
      <c r="E2292" s="21" t="s">
        <v>319</v>
      </c>
      <c r="F2292" s="21">
        <v>1</v>
      </c>
      <c r="G2292" s="21">
        <v>224.83</v>
      </c>
      <c r="H2292" s="21">
        <v>7743.18</v>
      </c>
      <c r="I2292" s="21">
        <v>344.4</v>
      </c>
    </row>
    <row r="2293" spans="1:9" ht="15" customHeight="1" x14ac:dyDescent="0.3">
      <c r="A2293" s="21" t="s">
        <v>2618</v>
      </c>
      <c r="B2293" s="21">
        <v>2022</v>
      </c>
      <c r="C2293" s="21">
        <v>10</v>
      </c>
      <c r="D2293" s="21">
        <v>31</v>
      </c>
      <c r="E2293" s="21" t="s">
        <v>299</v>
      </c>
      <c r="F2293" s="21">
        <v>0</v>
      </c>
      <c r="G2293" s="21">
        <v>294.25</v>
      </c>
      <c r="H2293" s="21">
        <v>10133.780000000001</v>
      </c>
      <c r="I2293" s="21">
        <v>344.39</v>
      </c>
    </row>
    <row r="2294" spans="1:9" ht="15" customHeight="1" x14ac:dyDescent="0.3">
      <c r="A2294" s="21" t="s">
        <v>173</v>
      </c>
      <c r="B2294" s="21">
        <v>2022</v>
      </c>
      <c r="C2294" s="21">
        <v>11</v>
      </c>
      <c r="D2294" s="21">
        <v>1</v>
      </c>
      <c r="E2294" s="21" t="s">
        <v>303</v>
      </c>
      <c r="F2294" s="21">
        <v>0</v>
      </c>
      <c r="G2294" s="21">
        <v>271.97000000000003</v>
      </c>
      <c r="H2294" s="21">
        <v>9246.56</v>
      </c>
      <c r="I2294" s="21">
        <v>339.98</v>
      </c>
    </row>
    <row r="2295" spans="1:9" ht="15" customHeight="1" x14ac:dyDescent="0.3">
      <c r="A2295" s="21" t="s">
        <v>2619</v>
      </c>
      <c r="B2295" s="21">
        <v>2022</v>
      </c>
      <c r="C2295" s="21">
        <v>11</v>
      </c>
      <c r="D2295" s="21">
        <v>2</v>
      </c>
      <c r="E2295" s="21" t="s">
        <v>307</v>
      </c>
      <c r="F2295" s="21">
        <v>0</v>
      </c>
      <c r="G2295" s="21">
        <v>276.31</v>
      </c>
      <c r="H2295" s="21">
        <v>9394.25</v>
      </c>
      <c r="I2295" s="21">
        <v>339.99</v>
      </c>
    </row>
    <row r="2296" spans="1:9" ht="15" customHeight="1" x14ac:dyDescent="0.3">
      <c r="A2296" s="21" t="s">
        <v>2620</v>
      </c>
      <c r="B2296" s="21">
        <v>2022</v>
      </c>
      <c r="C2296" s="21">
        <v>11</v>
      </c>
      <c r="D2296" s="21">
        <v>3</v>
      </c>
      <c r="E2296" s="21" t="s">
        <v>310</v>
      </c>
      <c r="F2296" s="21">
        <v>0</v>
      </c>
      <c r="G2296" s="21">
        <v>247.04</v>
      </c>
      <c r="H2296" s="21">
        <v>8399.17</v>
      </c>
      <c r="I2296" s="21">
        <v>339.99</v>
      </c>
    </row>
    <row r="2297" spans="1:9" ht="15" customHeight="1" x14ac:dyDescent="0.3">
      <c r="A2297" s="21" t="s">
        <v>2621</v>
      </c>
      <c r="B2297" s="21">
        <v>2022</v>
      </c>
      <c r="C2297" s="21">
        <v>11</v>
      </c>
      <c r="D2297" s="21">
        <v>4</v>
      </c>
      <c r="E2297" s="21" t="s">
        <v>313</v>
      </c>
      <c r="F2297" s="21">
        <v>0</v>
      </c>
      <c r="G2297" s="21">
        <v>268.89</v>
      </c>
      <c r="H2297" s="21">
        <v>9141.7800000000007</v>
      </c>
      <c r="I2297" s="21">
        <v>339.98</v>
      </c>
    </row>
    <row r="2298" spans="1:9" ht="15" customHeight="1" x14ac:dyDescent="0.3">
      <c r="A2298" s="21" t="s">
        <v>2622</v>
      </c>
      <c r="B2298" s="21">
        <v>2022</v>
      </c>
      <c r="C2298" s="21">
        <v>11</v>
      </c>
      <c r="D2298" s="21">
        <v>5</v>
      </c>
      <c r="E2298" s="21" t="s">
        <v>316</v>
      </c>
      <c r="F2298" s="21">
        <v>1</v>
      </c>
      <c r="G2298" s="21">
        <v>205.28</v>
      </c>
      <c r="H2298" s="21">
        <v>6979.17</v>
      </c>
      <c r="I2298" s="21">
        <v>339.98</v>
      </c>
    </row>
    <row r="2299" spans="1:9" ht="15" customHeight="1" x14ac:dyDescent="0.3">
      <c r="A2299" s="21" t="s">
        <v>2623</v>
      </c>
      <c r="B2299" s="21">
        <v>2022</v>
      </c>
      <c r="C2299" s="21">
        <v>11</v>
      </c>
      <c r="D2299" s="21">
        <v>6</v>
      </c>
      <c r="E2299" s="21" t="s">
        <v>319</v>
      </c>
      <c r="F2299" s="21">
        <v>1</v>
      </c>
      <c r="G2299" s="21">
        <v>202.75</v>
      </c>
      <c r="H2299" s="21">
        <v>6893.18</v>
      </c>
      <c r="I2299" s="21">
        <v>339.98</v>
      </c>
    </row>
    <row r="2300" spans="1:9" ht="15" customHeight="1" x14ac:dyDescent="0.3">
      <c r="A2300" s="21" t="s">
        <v>2624</v>
      </c>
      <c r="B2300" s="21">
        <v>2022</v>
      </c>
      <c r="C2300" s="21">
        <v>11</v>
      </c>
      <c r="D2300" s="21">
        <v>7</v>
      </c>
      <c r="E2300" s="21" t="s">
        <v>299</v>
      </c>
      <c r="F2300" s="21">
        <v>0</v>
      </c>
      <c r="G2300" s="21">
        <v>266.25</v>
      </c>
      <c r="H2300" s="21">
        <v>9052.0499999999993</v>
      </c>
      <c r="I2300" s="21">
        <v>339.98</v>
      </c>
    </row>
    <row r="2301" spans="1:9" ht="15" customHeight="1" x14ac:dyDescent="0.3">
      <c r="A2301" s="21" t="s">
        <v>2625</v>
      </c>
      <c r="B2301" s="21">
        <v>2022</v>
      </c>
      <c r="C2301" s="21">
        <v>11</v>
      </c>
      <c r="D2301" s="21">
        <v>8</v>
      </c>
      <c r="E2301" s="21" t="s">
        <v>303</v>
      </c>
      <c r="F2301" s="21">
        <v>0</v>
      </c>
      <c r="G2301" s="21">
        <v>256.38</v>
      </c>
      <c r="H2301" s="21">
        <v>8716.5</v>
      </c>
      <c r="I2301" s="21">
        <v>339.98</v>
      </c>
    </row>
    <row r="2302" spans="1:9" ht="15" customHeight="1" x14ac:dyDescent="0.3">
      <c r="A2302" s="21" t="s">
        <v>2626</v>
      </c>
      <c r="B2302" s="21">
        <v>2022</v>
      </c>
      <c r="C2302" s="21">
        <v>11</v>
      </c>
      <c r="D2302" s="21">
        <v>9</v>
      </c>
      <c r="E2302" s="21" t="s">
        <v>307</v>
      </c>
      <c r="F2302" s="21">
        <v>0</v>
      </c>
      <c r="G2302" s="21">
        <v>250.82</v>
      </c>
      <c r="H2302" s="21">
        <v>8527.61</v>
      </c>
      <c r="I2302" s="21">
        <v>339.99</v>
      </c>
    </row>
    <row r="2303" spans="1:9" ht="15" customHeight="1" x14ac:dyDescent="0.3">
      <c r="A2303" s="21" t="s">
        <v>2627</v>
      </c>
      <c r="B2303" s="21">
        <v>2022</v>
      </c>
      <c r="C2303" s="21">
        <v>11</v>
      </c>
      <c r="D2303" s="21">
        <v>10</v>
      </c>
      <c r="E2303" s="21" t="s">
        <v>310</v>
      </c>
      <c r="F2303" s="21">
        <v>0</v>
      </c>
      <c r="G2303" s="21">
        <v>244.29</v>
      </c>
      <c r="H2303" s="21">
        <v>8305.5400000000009</v>
      </c>
      <c r="I2303" s="21">
        <v>339.99</v>
      </c>
    </row>
    <row r="2304" spans="1:9" ht="15" customHeight="1" x14ac:dyDescent="0.3">
      <c r="A2304" s="21" t="s">
        <v>2628</v>
      </c>
      <c r="B2304" s="21">
        <v>2022</v>
      </c>
      <c r="C2304" s="21">
        <v>11</v>
      </c>
      <c r="D2304" s="21">
        <v>11</v>
      </c>
      <c r="E2304" s="21" t="s">
        <v>313</v>
      </c>
      <c r="F2304" s="21">
        <v>0</v>
      </c>
      <c r="G2304" s="21">
        <v>257.25</v>
      </c>
      <c r="H2304" s="21">
        <v>8746.2000000000007</v>
      </c>
      <c r="I2304" s="21">
        <v>339.99</v>
      </c>
    </row>
    <row r="2305" spans="1:9" ht="15" customHeight="1" x14ac:dyDescent="0.3">
      <c r="A2305" s="21" t="s">
        <v>2629</v>
      </c>
      <c r="B2305" s="21">
        <v>2022</v>
      </c>
      <c r="C2305" s="21">
        <v>11</v>
      </c>
      <c r="D2305" s="21">
        <v>12</v>
      </c>
      <c r="E2305" s="21" t="s">
        <v>316</v>
      </c>
      <c r="F2305" s="21">
        <v>1</v>
      </c>
      <c r="G2305" s="21">
        <v>201.05</v>
      </c>
      <c r="H2305" s="21">
        <v>6835.29</v>
      </c>
      <c r="I2305" s="21">
        <v>339.98</v>
      </c>
    </row>
    <row r="2306" spans="1:9" ht="15" customHeight="1" x14ac:dyDescent="0.3">
      <c r="A2306" s="21" t="s">
        <v>2630</v>
      </c>
      <c r="B2306" s="21">
        <v>2022</v>
      </c>
      <c r="C2306" s="21">
        <v>11</v>
      </c>
      <c r="D2306" s="21">
        <v>13</v>
      </c>
      <c r="E2306" s="21" t="s">
        <v>319</v>
      </c>
      <c r="F2306" s="21">
        <v>1</v>
      </c>
      <c r="G2306" s="21">
        <v>210.94</v>
      </c>
      <c r="H2306" s="21">
        <v>7171.54</v>
      </c>
      <c r="I2306" s="21">
        <v>339.98</v>
      </c>
    </row>
    <row r="2307" spans="1:9" ht="15" customHeight="1" x14ac:dyDescent="0.3">
      <c r="A2307" s="21" t="s">
        <v>2631</v>
      </c>
      <c r="B2307" s="21">
        <v>2022</v>
      </c>
      <c r="C2307" s="21">
        <v>11</v>
      </c>
      <c r="D2307" s="21">
        <v>14</v>
      </c>
      <c r="E2307" s="21" t="s">
        <v>299</v>
      </c>
      <c r="F2307" s="21">
        <v>0</v>
      </c>
      <c r="G2307" s="21">
        <v>258.91000000000003</v>
      </c>
      <c r="H2307" s="21">
        <v>8802.5300000000007</v>
      </c>
      <c r="I2307" s="21">
        <v>339.98</v>
      </c>
    </row>
    <row r="2308" spans="1:9" ht="15" customHeight="1" x14ac:dyDescent="0.3">
      <c r="A2308" s="21" t="s">
        <v>2632</v>
      </c>
      <c r="B2308" s="21">
        <v>2022</v>
      </c>
      <c r="C2308" s="21">
        <v>11</v>
      </c>
      <c r="D2308" s="21">
        <v>15</v>
      </c>
      <c r="E2308" s="21" t="s">
        <v>303</v>
      </c>
      <c r="F2308" s="21">
        <v>0</v>
      </c>
      <c r="G2308" s="21">
        <v>279.3</v>
      </c>
      <c r="H2308" s="21">
        <v>9495.94</v>
      </c>
      <c r="I2308" s="21">
        <v>339.99</v>
      </c>
    </row>
    <row r="2309" spans="1:9" ht="15" customHeight="1" x14ac:dyDescent="0.3">
      <c r="A2309" s="21" t="s">
        <v>2633</v>
      </c>
      <c r="B2309" s="21">
        <v>2022</v>
      </c>
      <c r="C2309" s="21">
        <v>11</v>
      </c>
      <c r="D2309" s="21">
        <v>16</v>
      </c>
      <c r="E2309" s="21" t="s">
        <v>307</v>
      </c>
      <c r="F2309" s="21">
        <v>0</v>
      </c>
      <c r="G2309" s="21">
        <v>273.26</v>
      </c>
      <c r="H2309" s="21">
        <v>9290.59</v>
      </c>
      <c r="I2309" s="21">
        <v>339.99</v>
      </c>
    </row>
    <row r="2310" spans="1:9" ht="15" customHeight="1" x14ac:dyDescent="0.3">
      <c r="A2310" s="21" t="s">
        <v>2634</v>
      </c>
      <c r="B2310" s="21">
        <v>2022</v>
      </c>
      <c r="C2310" s="21">
        <v>11</v>
      </c>
      <c r="D2310" s="21">
        <v>17</v>
      </c>
      <c r="E2310" s="21" t="s">
        <v>310</v>
      </c>
      <c r="F2310" s="21">
        <v>0</v>
      </c>
      <c r="G2310" s="21">
        <v>255.95</v>
      </c>
      <c r="H2310" s="21">
        <v>8701.85</v>
      </c>
      <c r="I2310" s="21">
        <v>339.98</v>
      </c>
    </row>
    <row r="2311" spans="1:9" ht="15" customHeight="1" x14ac:dyDescent="0.3">
      <c r="A2311" s="21" t="s">
        <v>2635</v>
      </c>
      <c r="B2311" s="21">
        <v>2022</v>
      </c>
      <c r="C2311" s="21">
        <v>11</v>
      </c>
      <c r="D2311" s="21">
        <v>18</v>
      </c>
      <c r="E2311" s="21" t="s">
        <v>313</v>
      </c>
      <c r="F2311" s="21">
        <v>0</v>
      </c>
      <c r="G2311" s="21">
        <v>297.93</v>
      </c>
      <c r="H2311" s="21">
        <v>10129.370000000001</v>
      </c>
      <c r="I2311" s="21">
        <v>339.99</v>
      </c>
    </row>
    <row r="2312" spans="1:9" ht="15" customHeight="1" x14ac:dyDescent="0.3">
      <c r="A2312" s="21" t="s">
        <v>2636</v>
      </c>
      <c r="B2312" s="21">
        <v>2022</v>
      </c>
      <c r="C2312" s="21">
        <v>11</v>
      </c>
      <c r="D2312" s="21">
        <v>19</v>
      </c>
      <c r="E2312" s="21" t="s">
        <v>316</v>
      </c>
      <c r="F2312" s="21">
        <v>1</v>
      </c>
      <c r="G2312" s="21">
        <v>219.8</v>
      </c>
      <c r="H2312" s="21">
        <v>7473</v>
      </c>
      <c r="I2312" s="21">
        <v>339.99</v>
      </c>
    </row>
    <row r="2313" spans="1:9" ht="15" customHeight="1" x14ac:dyDescent="0.3">
      <c r="A2313" s="21" t="s">
        <v>2637</v>
      </c>
      <c r="B2313" s="21">
        <v>2022</v>
      </c>
      <c r="C2313" s="21">
        <v>11</v>
      </c>
      <c r="D2313" s="21">
        <v>20</v>
      </c>
      <c r="E2313" s="21" t="s">
        <v>319</v>
      </c>
      <c r="F2313" s="21">
        <v>1</v>
      </c>
      <c r="G2313" s="21">
        <v>224.74</v>
      </c>
      <c r="H2313" s="21">
        <v>7640.88</v>
      </c>
      <c r="I2313" s="21">
        <v>339.99</v>
      </c>
    </row>
    <row r="2314" spans="1:9" ht="15" customHeight="1" x14ac:dyDescent="0.3">
      <c r="A2314" s="21" t="s">
        <v>2638</v>
      </c>
      <c r="B2314" s="21">
        <v>2022</v>
      </c>
      <c r="C2314" s="21">
        <v>11</v>
      </c>
      <c r="D2314" s="21">
        <v>21</v>
      </c>
      <c r="E2314" s="21" t="s">
        <v>299</v>
      </c>
      <c r="F2314" s="21">
        <v>0</v>
      </c>
      <c r="G2314" s="21">
        <v>283.45</v>
      </c>
      <c r="H2314" s="21">
        <v>9636.81</v>
      </c>
      <c r="I2314" s="21">
        <v>339.98</v>
      </c>
    </row>
    <row r="2315" spans="1:9" ht="15" customHeight="1" x14ac:dyDescent="0.3">
      <c r="A2315" s="21" t="s">
        <v>2639</v>
      </c>
      <c r="B2315" s="21">
        <v>2022</v>
      </c>
      <c r="C2315" s="21">
        <v>11</v>
      </c>
      <c r="D2315" s="21">
        <v>22</v>
      </c>
      <c r="E2315" s="21" t="s">
        <v>303</v>
      </c>
      <c r="F2315" s="21">
        <v>0</v>
      </c>
      <c r="G2315" s="21">
        <v>284.08</v>
      </c>
      <c r="H2315" s="21">
        <v>9658.35</v>
      </c>
      <c r="I2315" s="21">
        <v>339.99</v>
      </c>
    </row>
    <row r="2316" spans="1:9" ht="15" customHeight="1" x14ac:dyDescent="0.3">
      <c r="A2316" s="21" t="s">
        <v>2640</v>
      </c>
      <c r="B2316" s="21">
        <v>2022</v>
      </c>
      <c r="C2316" s="21">
        <v>11</v>
      </c>
      <c r="D2316" s="21">
        <v>23</v>
      </c>
      <c r="E2316" s="21" t="s">
        <v>307</v>
      </c>
      <c r="F2316" s="21">
        <v>0</v>
      </c>
      <c r="G2316" s="21">
        <v>293.04000000000002</v>
      </c>
      <c r="H2316" s="21">
        <v>9962.9699999999993</v>
      </c>
      <c r="I2316" s="21">
        <v>339.99</v>
      </c>
    </row>
    <row r="2317" spans="1:9" ht="15" customHeight="1" x14ac:dyDescent="0.3">
      <c r="A2317" s="21" t="s">
        <v>2641</v>
      </c>
      <c r="B2317" s="21">
        <v>2022</v>
      </c>
      <c r="C2317" s="21">
        <v>11</v>
      </c>
      <c r="D2317" s="21">
        <v>24</v>
      </c>
      <c r="E2317" s="21" t="s">
        <v>310</v>
      </c>
      <c r="F2317" s="21">
        <v>0</v>
      </c>
      <c r="G2317" s="21">
        <v>272.91000000000003</v>
      </c>
      <c r="H2317" s="21">
        <v>9278.6299999999992</v>
      </c>
      <c r="I2317" s="21">
        <v>339.99</v>
      </c>
    </row>
    <row r="2318" spans="1:9" ht="15" customHeight="1" x14ac:dyDescent="0.3">
      <c r="A2318" s="21" t="s">
        <v>2642</v>
      </c>
      <c r="B2318" s="21">
        <v>2022</v>
      </c>
      <c r="C2318" s="21">
        <v>11</v>
      </c>
      <c r="D2318" s="21">
        <v>25</v>
      </c>
      <c r="E2318" s="21" t="s">
        <v>313</v>
      </c>
      <c r="F2318" s="21">
        <v>0</v>
      </c>
      <c r="G2318" s="21">
        <v>288</v>
      </c>
      <c r="H2318" s="21">
        <v>9791.7099999999991</v>
      </c>
      <c r="I2318" s="21">
        <v>339.99</v>
      </c>
    </row>
    <row r="2319" spans="1:9" ht="15" customHeight="1" x14ac:dyDescent="0.3">
      <c r="A2319" s="21" t="s">
        <v>2643</v>
      </c>
      <c r="B2319" s="21">
        <v>2022</v>
      </c>
      <c r="C2319" s="21">
        <v>11</v>
      </c>
      <c r="D2319" s="21">
        <v>26</v>
      </c>
      <c r="E2319" s="21" t="s">
        <v>316</v>
      </c>
      <c r="F2319" s="21">
        <v>1</v>
      </c>
      <c r="G2319" s="21">
        <v>211.02</v>
      </c>
      <c r="H2319" s="21">
        <v>7174.52</v>
      </c>
      <c r="I2319" s="21">
        <v>339.99</v>
      </c>
    </row>
    <row r="2320" spans="1:9" ht="15" customHeight="1" x14ac:dyDescent="0.3">
      <c r="A2320" s="21" t="s">
        <v>2644</v>
      </c>
      <c r="B2320" s="21">
        <v>2022</v>
      </c>
      <c r="C2320" s="21">
        <v>11</v>
      </c>
      <c r="D2320" s="21">
        <v>27</v>
      </c>
      <c r="E2320" s="21" t="s">
        <v>319</v>
      </c>
      <c r="F2320" s="21">
        <v>1</v>
      </c>
      <c r="G2320" s="21">
        <v>213.61</v>
      </c>
      <c r="H2320" s="21">
        <v>7262.29</v>
      </c>
      <c r="I2320" s="21">
        <v>339.98</v>
      </c>
    </row>
    <row r="2321" spans="1:9" ht="15" customHeight="1" x14ac:dyDescent="0.3">
      <c r="A2321" s="21" t="s">
        <v>2645</v>
      </c>
      <c r="B2321" s="21">
        <v>2022</v>
      </c>
      <c r="C2321" s="21">
        <v>11</v>
      </c>
      <c r="D2321" s="21">
        <v>28</v>
      </c>
      <c r="E2321" s="21" t="s">
        <v>299</v>
      </c>
      <c r="F2321" s="21">
        <v>0</v>
      </c>
      <c r="G2321" s="21">
        <v>253.51</v>
      </c>
      <c r="H2321" s="21">
        <v>8618.85</v>
      </c>
      <c r="I2321" s="21">
        <v>339.98</v>
      </c>
    </row>
    <row r="2322" spans="1:9" ht="15" customHeight="1" x14ac:dyDescent="0.3">
      <c r="A2322" s="21" t="s">
        <v>2646</v>
      </c>
      <c r="B2322" s="21">
        <v>2022</v>
      </c>
      <c r="C2322" s="21">
        <v>11</v>
      </c>
      <c r="D2322" s="21">
        <v>29</v>
      </c>
      <c r="E2322" s="21" t="s">
        <v>303</v>
      </c>
      <c r="F2322" s="21">
        <v>0</v>
      </c>
      <c r="G2322" s="21">
        <v>295.31</v>
      </c>
      <c r="H2322" s="21">
        <v>10040.07</v>
      </c>
      <c r="I2322" s="21">
        <v>339.98</v>
      </c>
    </row>
    <row r="2323" spans="1:9" ht="15" customHeight="1" x14ac:dyDescent="0.3">
      <c r="A2323" s="21" t="s">
        <v>2647</v>
      </c>
      <c r="B2323" s="21">
        <v>2022</v>
      </c>
      <c r="C2323" s="21">
        <v>11</v>
      </c>
      <c r="D2323" s="21">
        <v>30</v>
      </c>
      <c r="E2323" s="21" t="s">
        <v>307</v>
      </c>
      <c r="F2323" s="21">
        <v>0</v>
      </c>
      <c r="G2323" s="21">
        <v>282.14999999999998</v>
      </c>
      <c r="H2323" s="21">
        <v>9592.74</v>
      </c>
      <c r="I2323" s="21">
        <v>339.99</v>
      </c>
    </row>
    <row r="2324" spans="1:9" ht="15" customHeight="1" x14ac:dyDescent="0.3">
      <c r="A2324" s="21" t="s">
        <v>174</v>
      </c>
      <c r="B2324" s="21">
        <v>2022</v>
      </c>
      <c r="C2324" s="21">
        <v>12</v>
      </c>
      <c r="D2324" s="21">
        <v>1</v>
      </c>
      <c r="E2324" s="21" t="s">
        <v>310</v>
      </c>
      <c r="F2324" s="21">
        <v>0</v>
      </c>
      <c r="G2324" s="21">
        <v>294.77</v>
      </c>
      <c r="H2324" s="21">
        <v>10097.17</v>
      </c>
      <c r="I2324" s="21">
        <v>342.54</v>
      </c>
    </row>
    <row r="2325" spans="1:9" ht="15" customHeight="1" x14ac:dyDescent="0.3">
      <c r="A2325" s="21" t="s">
        <v>2648</v>
      </c>
      <c r="B2325" s="21">
        <v>2022</v>
      </c>
      <c r="C2325" s="21">
        <v>12</v>
      </c>
      <c r="D2325" s="21">
        <v>2</v>
      </c>
      <c r="E2325" s="21" t="s">
        <v>313</v>
      </c>
      <c r="F2325" s="21">
        <v>0</v>
      </c>
      <c r="G2325" s="21">
        <v>319.47000000000003</v>
      </c>
      <c r="H2325" s="21">
        <v>10943.25</v>
      </c>
      <c r="I2325" s="21">
        <v>342.54</v>
      </c>
    </row>
    <row r="2326" spans="1:9" ht="15" customHeight="1" x14ac:dyDescent="0.3">
      <c r="A2326" s="21" t="s">
        <v>2649</v>
      </c>
      <c r="B2326" s="21">
        <v>2022</v>
      </c>
      <c r="C2326" s="21">
        <v>12</v>
      </c>
      <c r="D2326" s="21">
        <v>3</v>
      </c>
      <c r="E2326" s="21" t="s">
        <v>316</v>
      </c>
      <c r="F2326" s="21">
        <v>1</v>
      </c>
      <c r="G2326" s="21">
        <v>217.86</v>
      </c>
      <c r="H2326" s="21">
        <v>7462.74</v>
      </c>
      <c r="I2326" s="21">
        <v>342.55</v>
      </c>
    </row>
    <row r="2327" spans="1:9" ht="15" customHeight="1" x14ac:dyDescent="0.3">
      <c r="A2327" s="21" t="s">
        <v>2650</v>
      </c>
      <c r="B2327" s="21">
        <v>2022</v>
      </c>
      <c r="C2327" s="21">
        <v>12</v>
      </c>
      <c r="D2327" s="21">
        <v>4</v>
      </c>
      <c r="E2327" s="21" t="s">
        <v>319</v>
      </c>
      <c r="F2327" s="21">
        <v>1</v>
      </c>
      <c r="G2327" s="21">
        <v>221.02</v>
      </c>
      <c r="H2327" s="21">
        <v>7571.05</v>
      </c>
      <c r="I2327" s="21">
        <v>342.55</v>
      </c>
    </row>
    <row r="2328" spans="1:9" ht="15" customHeight="1" x14ac:dyDescent="0.3">
      <c r="A2328" s="21" t="s">
        <v>2651</v>
      </c>
      <c r="B2328" s="21">
        <v>2022</v>
      </c>
      <c r="C2328" s="21">
        <v>12</v>
      </c>
      <c r="D2328" s="21">
        <v>5</v>
      </c>
      <c r="E2328" s="21" t="s">
        <v>299</v>
      </c>
      <c r="F2328" s="21">
        <v>0</v>
      </c>
      <c r="G2328" s="21">
        <v>260.5</v>
      </c>
      <c r="H2328" s="21">
        <v>8923.32</v>
      </c>
      <c r="I2328" s="21">
        <v>342.55</v>
      </c>
    </row>
    <row r="2329" spans="1:9" ht="15" customHeight="1" x14ac:dyDescent="0.3">
      <c r="A2329" s="21" t="s">
        <v>2652</v>
      </c>
      <c r="B2329" s="21">
        <v>2022</v>
      </c>
      <c r="C2329" s="21">
        <v>12</v>
      </c>
      <c r="D2329" s="21">
        <v>6</v>
      </c>
      <c r="E2329" s="21" t="s">
        <v>303</v>
      </c>
      <c r="F2329" s="21">
        <v>0</v>
      </c>
      <c r="G2329" s="21">
        <v>248.32</v>
      </c>
      <c r="H2329" s="21">
        <v>8506.07</v>
      </c>
      <c r="I2329" s="21">
        <v>342.54</v>
      </c>
    </row>
    <row r="2330" spans="1:9" ht="15" customHeight="1" x14ac:dyDescent="0.3">
      <c r="A2330" s="21" t="s">
        <v>2653</v>
      </c>
      <c r="B2330" s="21">
        <v>2022</v>
      </c>
      <c r="C2330" s="21">
        <v>12</v>
      </c>
      <c r="D2330" s="21">
        <v>7</v>
      </c>
      <c r="E2330" s="21" t="s">
        <v>307</v>
      </c>
      <c r="F2330" s="21">
        <v>0</v>
      </c>
      <c r="G2330" s="21">
        <v>244.21</v>
      </c>
      <c r="H2330" s="21">
        <v>8365.4500000000007</v>
      </c>
      <c r="I2330" s="21">
        <v>342.55</v>
      </c>
    </row>
    <row r="2331" spans="1:9" ht="15" customHeight="1" x14ac:dyDescent="0.3">
      <c r="A2331" s="21" t="s">
        <v>2654</v>
      </c>
      <c r="B2331" s="21">
        <v>2022</v>
      </c>
      <c r="C2331" s="21">
        <v>12</v>
      </c>
      <c r="D2331" s="21">
        <v>8</v>
      </c>
      <c r="E2331" s="21" t="s">
        <v>310</v>
      </c>
      <c r="F2331" s="21">
        <v>0</v>
      </c>
      <c r="G2331" s="21">
        <v>255.88</v>
      </c>
      <c r="H2331" s="21">
        <v>8765.0300000000007</v>
      </c>
      <c r="I2331" s="21">
        <v>342.54</v>
      </c>
    </row>
    <row r="2332" spans="1:9" ht="15" customHeight="1" x14ac:dyDescent="0.3">
      <c r="A2332" s="21" t="s">
        <v>2655</v>
      </c>
      <c r="B2332" s="21">
        <v>2022</v>
      </c>
      <c r="C2332" s="21">
        <v>12</v>
      </c>
      <c r="D2332" s="21">
        <v>9</v>
      </c>
      <c r="E2332" s="21" t="s">
        <v>313</v>
      </c>
      <c r="F2332" s="21">
        <v>0</v>
      </c>
      <c r="G2332" s="21">
        <v>278.64999999999998</v>
      </c>
      <c r="H2332" s="21">
        <v>9545.2000000000007</v>
      </c>
      <c r="I2332" s="21">
        <v>342.55</v>
      </c>
    </row>
    <row r="2333" spans="1:9" ht="15" customHeight="1" x14ac:dyDescent="0.3">
      <c r="A2333" s="21" t="s">
        <v>2656</v>
      </c>
      <c r="B2333" s="21">
        <v>2022</v>
      </c>
      <c r="C2333" s="21">
        <v>12</v>
      </c>
      <c r="D2333" s="21">
        <v>10</v>
      </c>
      <c r="E2333" s="21" t="s">
        <v>316</v>
      </c>
      <c r="F2333" s="21">
        <v>1</v>
      </c>
      <c r="G2333" s="21">
        <v>218.13</v>
      </c>
      <c r="H2333" s="21">
        <v>7472.13</v>
      </c>
      <c r="I2333" s="21">
        <v>342.55</v>
      </c>
    </row>
    <row r="2334" spans="1:9" ht="15" customHeight="1" x14ac:dyDescent="0.3">
      <c r="A2334" s="21" t="s">
        <v>2657</v>
      </c>
      <c r="B2334" s="21">
        <v>2022</v>
      </c>
      <c r="C2334" s="21">
        <v>12</v>
      </c>
      <c r="D2334" s="21">
        <v>11</v>
      </c>
      <c r="E2334" s="21" t="s">
        <v>319</v>
      </c>
      <c r="F2334" s="21">
        <v>1</v>
      </c>
      <c r="G2334" s="21">
        <v>227.35</v>
      </c>
      <c r="H2334" s="21">
        <v>7787.9</v>
      </c>
      <c r="I2334" s="21">
        <v>342.55</v>
      </c>
    </row>
    <row r="2335" spans="1:9" ht="15" customHeight="1" x14ac:dyDescent="0.3">
      <c r="A2335" s="21" t="s">
        <v>2658</v>
      </c>
      <c r="B2335" s="21">
        <v>2022</v>
      </c>
      <c r="C2335" s="21">
        <v>12</v>
      </c>
      <c r="D2335" s="21">
        <v>12</v>
      </c>
      <c r="E2335" s="21" t="s">
        <v>299</v>
      </c>
      <c r="F2335" s="21">
        <v>0</v>
      </c>
      <c r="G2335" s="21">
        <v>265.13</v>
      </c>
      <c r="H2335" s="21">
        <v>9082.06</v>
      </c>
      <c r="I2335" s="21">
        <v>342.55</v>
      </c>
    </row>
    <row r="2336" spans="1:9" ht="15" customHeight="1" x14ac:dyDescent="0.3">
      <c r="A2336" s="21" t="s">
        <v>2659</v>
      </c>
      <c r="B2336" s="21">
        <v>2022</v>
      </c>
      <c r="C2336" s="21">
        <v>12</v>
      </c>
      <c r="D2336" s="21">
        <v>13</v>
      </c>
      <c r="E2336" s="21" t="s">
        <v>303</v>
      </c>
      <c r="F2336" s="21">
        <v>0</v>
      </c>
      <c r="G2336" s="21">
        <v>257.62</v>
      </c>
      <c r="H2336" s="21">
        <v>8824.5300000000007</v>
      </c>
      <c r="I2336" s="21">
        <v>342.54</v>
      </c>
    </row>
    <row r="2337" spans="1:9" ht="15" customHeight="1" x14ac:dyDescent="0.3">
      <c r="A2337" s="21" t="s">
        <v>2660</v>
      </c>
      <c r="B2337" s="21">
        <v>2022</v>
      </c>
      <c r="C2337" s="21">
        <v>12</v>
      </c>
      <c r="D2337" s="21">
        <v>14</v>
      </c>
      <c r="E2337" s="21" t="s">
        <v>307</v>
      </c>
      <c r="F2337" s="21">
        <v>0</v>
      </c>
      <c r="G2337" s="21">
        <v>244.28</v>
      </c>
      <c r="H2337" s="21">
        <v>8367.64</v>
      </c>
      <c r="I2337" s="21">
        <v>342.54</v>
      </c>
    </row>
    <row r="2338" spans="1:9" ht="15" customHeight="1" x14ac:dyDescent="0.3">
      <c r="A2338" s="21" t="s">
        <v>2661</v>
      </c>
      <c r="B2338" s="21">
        <v>2022</v>
      </c>
      <c r="C2338" s="21">
        <v>12</v>
      </c>
      <c r="D2338" s="21">
        <v>15</v>
      </c>
      <c r="E2338" s="21" t="s">
        <v>310</v>
      </c>
      <c r="F2338" s="21">
        <v>0</v>
      </c>
      <c r="G2338" s="21">
        <v>249.62</v>
      </c>
      <c r="H2338" s="21">
        <v>8550.5</v>
      </c>
      <c r="I2338" s="21">
        <v>342.54</v>
      </c>
    </row>
    <row r="2339" spans="1:9" ht="15" customHeight="1" x14ac:dyDescent="0.3">
      <c r="A2339" s="21" t="s">
        <v>2662</v>
      </c>
      <c r="B2339" s="21">
        <v>2022</v>
      </c>
      <c r="C2339" s="21">
        <v>12</v>
      </c>
      <c r="D2339" s="21">
        <v>16</v>
      </c>
      <c r="E2339" s="21" t="s">
        <v>313</v>
      </c>
      <c r="F2339" s="21">
        <v>0</v>
      </c>
      <c r="G2339" s="21">
        <v>278.02</v>
      </c>
      <c r="H2339" s="21">
        <v>9523.56</v>
      </c>
      <c r="I2339" s="21">
        <v>342.55</v>
      </c>
    </row>
    <row r="2340" spans="1:9" ht="15" customHeight="1" x14ac:dyDescent="0.3">
      <c r="A2340" s="21" t="s">
        <v>2663</v>
      </c>
      <c r="B2340" s="21">
        <v>2022</v>
      </c>
      <c r="C2340" s="21">
        <v>12</v>
      </c>
      <c r="D2340" s="21">
        <v>17</v>
      </c>
      <c r="E2340" s="21" t="s">
        <v>316</v>
      </c>
      <c r="F2340" s="21">
        <v>1</v>
      </c>
      <c r="G2340" s="21">
        <v>221.1</v>
      </c>
      <c r="H2340" s="21">
        <v>7573.69</v>
      </c>
      <c r="I2340" s="21">
        <v>342.55</v>
      </c>
    </row>
    <row r="2341" spans="1:9" ht="15" customHeight="1" x14ac:dyDescent="0.3">
      <c r="A2341" s="21" t="s">
        <v>2664</v>
      </c>
      <c r="B2341" s="21">
        <v>2022</v>
      </c>
      <c r="C2341" s="21">
        <v>12</v>
      </c>
      <c r="D2341" s="21">
        <v>18</v>
      </c>
      <c r="E2341" s="21" t="s">
        <v>319</v>
      </c>
      <c r="F2341" s="21">
        <v>1</v>
      </c>
      <c r="G2341" s="21">
        <v>212.44</v>
      </c>
      <c r="H2341" s="21">
        <v>7277.03</v>
      </c>
      <c r="I2341" s="21">
        <v>342.55</v>
      </c>
    </row>
    <row r="2342" spans="1:9" ht="15" customHeight="1" x14ac:dyDescent="0.3">
      <c r="A2342" s="21" t="s">
        <v>2665</v>
      </c>
      <c r="B2342" s="21">
        <v>2022</v>
      </c>
      <c r="C2342" s="21">
        <v>12</v>
      </c>
      <c r="D2342" s="21">
        <v>19</v>
      </c>
      <c r="E2342" s="21" t="s">
        <v>299</v>
      </c>
      <c r="F2342" s="21">
        <v>0</v>
      </c>
      <c r="G2342" s="21">
        <v>264.63</v>
      </c>
      <c r="H2342" s="21">
        <v>9064.93</v>
      </c>
      <c r="I2342" s="21">
        <v>342.55</v>
      </c>
    </row>
    <row r="2343" spans="1:9" ht="15" customHeight="1" x14ac:dyDescent="0.3">
      <c r="A2343" s="21" t="s">
        <v>2666</v>
      </c>
      <c r="B2343" s="21">
        <v>2022</v>
      </c>
      <c r="C2343" s="21">
        <v>12</v>
      </c>
      <c r="D2343" s="21">
        <v>20</v>
      </c>
      <c r="E2343" s="21" t="s">
        <v>303</v>
      </c>
      <c r="F2343" s="21">
        <v>0</v>
      </c>
      <c r="G2343" s="21">
        <v>241.05</v>
      </c>
      <c r="H2343" s="21">
        <v>8257.0400000000009</v>
      </c>
      <c r="I2343" s="21">
        <v>342.54</v>
      </c>
    </row>
    <row r="2344" spans="1:9" ht="15" customHeight="1" x14ac:dyDescent="0.3">
      <c r="A2344" s="21" t="s">
        <v>2667</v>
      </c>
      <c r="B2344" s="21">
        <v>2022</v>
      </c>
      <c r="C2344" s="21">
        <v>12</v>
      </c>
      <c r="D2344" s="21">
        <v>21</v>
      </c>
      <c r="E2344" s="21" t="s">
        <v>307</v>
      </c>
      <c r="F2344" s="21">
        <v>0</v>
      </c>
      <c r="G2344" s="21">
        <v>249.84</v>
      </c>
      <c r="H2344" s="21">
        <v>8558.31</v>
      </c>
      <c r="I2344" s="21">
        <v>342.55</v>
      </c>
    </row>
    <row r="2345" spans="1:9" ht="15" customHeight="1" x14ac:dyDescent="0.3">
      <c r="A2345" s="21" t="s">
        <v>2668</v>
      </c>
      <c r="B2345" s="21">
        <v>2022</v>
      </c>
      <c r="C2345" s="21">
        <v>12</v>
      </c>
      <c r="D2345" s="21">
        <v>22</v>
      </c>
      <c r="E2345" s="21" t="s">
        <v>310</v>
      </c>
      <c r="F2345" s="21">
        <v>0</v>
      </c>
      <c r="G2345" s="21">
        <v>259.29000000000002</v>
      </c>
      <c r="H2345" s="21">
        <v>8882.0499999999993</v>
      </c>
      <c r="I2345" s="21">
        <v>342.55</v>
      </c>
    </row>
    <row r="2346" spans="1:9" ht="15" customHeight="1" x14ac:dyDescent="0.3">
      <c r="A2346" s="21" t="s">
        <v>2669</v>
      </c>
      <c r="B2346" s="21">
        <v>2022</v>
      </c>
      <c r="C2346" s="21">
        <v>12</v>
      </c>
      <c r="D2346" s="21">
        <v>23</v>
      </c>
      <c r="E2346" s="21" t="s">
        <v>313</v>
      </c>
      <c r="F2346" s="21">
        <v>0</v>
      </c>
      <c r="G2346" s="21">
        <v>277.11</v>
      </c>
      <c r="H2346" s="21">
        <v>9492.33</v>
      </c>
      <c r="I2346" s="21">
        <v>342.55</v>
      </c>
    </row>
    <row r="2347" spans="1:9" ht="15" customHeight="1" x14ac:dyDescent="0.3">
      <c r="A2347" s="21" t="s">
        <v>2670</v>
      </c>
      <c r="B2347" s="21">
        <v>2022</v>
      </c>
      <c r="C2347" s="21">
        <v>12</v>
      </c>
      <c r="D2347" s="21">
        <v>24</v>
      </c>
      <c r="E2347" s="21" t="s">
        <v>316</v>
      </c>
      <c r="F2347" s="21">
        <v>1</v>
      </c>
      <c r="G2347" s="21">
        <v>218.46</v>
      </c>
      <c r="H2347" s="21">
        <v>7483.26</v>
      </c>
      <c r="I2347" s="21">
        <v>342.55</v>
      </c>
    </row>
    <row r="2348" spans="1:9" ht="15" customHeight="1" x14ac:dyDescent="0.3">
      <c r="A2348" s="21" t="s">
        <v>2671</v>
      </c>
      <c r="B2348" s="21">
        <v>2022</v>
      </c>
      <c r="C2348" s="21">
        <v>12</v>
      </c>
      <c r="D2348" s="21">
        <v>25</v>
      </c>
      <c r="E2348" s="21" t="s">
        <v>319</v>
      </c>
      <c r="F2348" s="21">
        <v>1</v>
      </c>
      <c r="G2348" s="21">
        <v>215.04</v>
      </c>
      <c r="H2348" s="21">
        <v>7366.24</v>
      </c>
      <c r="I2348" s="21">
        <v>342.55</v>
      </c>
    </row>
    <row r="2349" spans="1:9" ht="15" customHeight="1" x14ac:dyDescent="0.3">
      <c r="A2349" s="21" t="s">
        <v>2672</v>
      </c>
      <c r="B2349" s="21">
        <v>2022</v>
      </c>
      <c r="C2349" s="21">
        <v>12</v>
      </c>
      <c r="D2349" s="21">
        <v>26</v>
      </c>
      <c r="E2349" s="21" t="s">
        <v>299</v>
      </c>
      <c r="F2349" s="21">
        <v>0</v>
      </c>
      <c r="G2349" s="21">
        <v>265.23</v>
      </c>
      <c r="H2349" s="21">
        <v>9085.35</v>
      </c>
      <c r="I2349" s="21">
        <v>342.55</v>
      </c>
    </row>
    <row r="2350" spans="1:9" ht="15" customHeight="1" x14ac:dyDescent="0.3">
      <c r="A2350" s="21" t="s">
        <v>2673</v>
      </c>
      <c r="B2350" s="21">
        <v>2022</v>
      </c>
      <c r="C2350" s="21">
        <v>12</v>
      </c>
      <c r="D2350" s="21">
        <v>27</v>
      </c>
      <c r="E2350" s="21" t="s">
        <v>303</v>
      </c>
      <c r="F2350" s="21">
        <v>0</v>
      </c>
      <c r="G2350" s="21">
        <v>247.55</v>
      </c>
      <c r="H2350" s="21">
        <v>8479.6</v>
      </c>
      <c r="I2350" s="21">
        <v>342.54</v>
      </c>
    </row>
    <row r="2351" spans="1:9" ht="15" customHeight="1" x14ac:dyDescent="0.3">
      <c r="A2351" s="21" t="s">
        <v>2674</v>
      </c>
      <c r="B2351" s="21">
        <v>2022</v>
      </c>
      <c r="C2351" s="21">
        <v>12</v>
      </c>
      <c r="D2351" s="21">
        <v>28</v>
      </c>
      <c r="E2351" s="21" t="s">
        <v>307</v>
      </c>
      <c r="F2351" s="21">
        <v>0</v>
      </c>
      <c r="G2351" s="21">
        <v>257.83999999999997</v>
      </c>
      <c r="H2351" s="21">
        <v>8832.33</v>
      </c>
      <c r="I2351" s="21">
        <v>342.55</v>
      </c>
    </row>
    <row r="2352" spans="1:9" ht="15" customHeight="1" x14ac:dyDescent="0.3">
      <c r="A2352" s="21" t="s">
        <v>2675</v>
      </c>
      <c r="B2352" s="21">
        <v>2022</v>
      </c>
      <c r="C2352" s="21">
        <v>12</v>
      </c>
      <c r="D2352" s="21">
        <v>29</v>
      </c>
      <c r="E2352" s="21" t="s">
        <v>310</v>
      </c>
      <c r="F2352" s="21">
        <v>0</v>
      </c>
      <c r="G2352" s="21">
        <v>255.74</v>
      </c>
      <c r="H2352" s="21">
        <v>8760.2199999999993</v>
      </c>
      <c r="I2352" s="21">
        <v>342.54</v>
      </c>
    </row>
    <row r="2353" spans="1:9" ht="15" customHeight="1" x14ac:dyDescent="0.3">
      <c r="A2353" s="21" t="s">
        <v>2676</v>
      </c>
      <c r="B2353" s="21">
        <v>2022</v>
      </c>
      <c r="C2353" s="21">
        <v>12</v>
      </c>
      <c r="D2353" s="21">
        <v>30</v>
      </c>
      <c r="E2353" s="21" t="s">
        <v>313</v>
      </c>
      <c r="F2353" s="21">
        <v>0</v>
      </c>
      <c r="G2353" s="21">
        <v>317.95</v>
      </c>
      <c r="H2353" s="21">
        <v>10891.35</v>
      </c>
      <c r="I2353" s="21">
        <v>342.55</v>
      </c>
    </row>
    <row r="2354" spans="1:9" ht="15" customHeight="1" x14ac:dyDescent="0.3">
      <c r="A2354" s="21" t="s">
        <v>2677</v>
      </c>
      <c r="B2354" s="21">
        <v>2022</v>
      </c>
      <c r="C2354" s="21">
        <v>12</v>
      </c>
      <c r="D2354" s="21">
        <v>31</v>
      </c>
      <c r="E2354" s="21" t="s">
        <v>316</v>
      </c>
      <c r="F2354" s="21">
        <v>1</v>
      </c>
      <c r="G2354" s="21">
        <v>242.28</v>
      </c>
      <c r="H2354" s="21">
        <v>8299.32</v>
      </c>
      <c r="I2354" s="21">
        <v>342.55</v>
      </c>
    </row>
    <row r="2355" spans="1:9" ht="15" customHeight="1" x14ac:dyDescent="0.3">
      <c r="A2355" s="21" t="s">
        <v>175</v>
      </c>
      <c r="B2355" s="21">
        <v>2023</v>
      </c>
      <c r="C2355" s="21">
        <v>1</v>
      </c>
      <c r="D2355" s="21">
        <v>1</v>
      </c>
      <c r="E2355" s="21" t="s">
        <v>319</v>
      </c>
      <c r="F2355" s="21">
        <v>1</v>
      </c>
      <c r="G2355" s="21">
        <v>234.19</v>
      </c>
      <c r="H2355" s="21">
        <v>8014.09</v>
      </c>
      <c r="I2355" s="21">
        <v>342.2</v>
      </c>
    </row>
    <row r="2356" spans="1:9" ht="15" customHeight="1" x14ac:dyDescent="0.3">
      <c r="A2356" s="21" t="s">
        <v>2678</v>
      </c>
      <c r="B2356" s="21">
        <v>2023</v>
      </c>
      <c r="C2356" s="21">
        <v>1</v>
      </c>
      <c r="D2356" s="21">
        <v>2</v>
      </c>
      <c r="E2356" s="21" t="s">
        <v>299</v>
      </c>
      <c r="F2356" s="21">
        <v>0</v>
      </c>
      <c r="G2356" s="21">
        <v>322.91000000000003</v>
      </c>
      <c r="H2356" s="21">
        <v>11049.89</v>
      </c>
      <c r="I2356" s="21">
        <v>342.2</v>
      </c>
    </row>
    <row r="2357" spans="1:9" ht="15" customHeight="1" x14ac:dyDescent="0.3">
      <c r="A2357" s="21" t="s">
        <v>2679</v>
      </c>
      <c r="B2357" s="21">
        <v>2023</v>
      </c>
      <c r="C2357" s="21">
        <v>1</v>
      </c>
      <c r="D2357" s="21">
        <v>3</v>
      </c>
      <c r="E2357" s="21" t="s">
        <v>303</v>
      </c>
      <c r="F2357" s="21">
        <v>0</v>
      </c>
      <c r="G2357" s="21">
        <v>255.57</v>
      </c>
      <c r="H2357" s="21">
        <v>8745.44</v>
      </c>
      <c r="I2357" s="21">
        <v>342.19</v>
      </c>
    </row>
    <row r="2358" spans="1:9" ht="15" customHeight="1" x14ac:dyDescent="0.3">
      <c r="A2358" s="21" t="s">
        <v>2680</v>
      </c>
      <c r="B2358" s="21">
        <v>2023</v>
      </c>
      <c r="C2358" s="21">
        <v>1</v>
      </c>
      <c r="D2358" s="21">
        <v>4</v>
      </c>
      <c r="E2358" s="21" t="s">
        <v>307</v>
      </c>
      <c r="F2358" s="21">
        <v>0</v>
      </c>
      <c r="G2358" s="21">
        <v>252.58</v>
      </c>
      <c r="H2358" s="21">
        <v>8643.24</v>
      </c>
      <c r="I2358" s="21">
        <v>342.2</v>
      </c>
    </row>
    <row r="2359" spans="1:9" ht="15" customHeight="1" x14ac:dyDescent="0.3">
      <c r="A2359" s="21" t="s">
        <v>2681</v>
      </c>
      <c r="B2359" s="21">
        <v>2023</v>
      </c>
      <c r="C2359" s="21">
        <v>1</v>
      </c>
      <c r="D2359" s="21">
        <v>5</v>
      </c>
      <c r="E2359" s="21" t="s">
        <v>310</v>
      </c>
      <c r="F2359" s="21">
        <v>0</v>
      </c>
      <c r="G2359" s="21">
        <v>264.68</v>
      </c>
      <c r="H2359" s="21">
        <v>9057.5</v>
      </c>
      <c r="I2359" s="21">
        <v>342.21</v>
      </c>
    </row>
    <row r="2360" spans="1:9" ht="15" customHeight="1" x14ac:dyDescent="0.3">
      <c r="A2360" s="21" t="s">
        <v>2682</v>
      </c>
      <c r="B2360" s="21">
        <v>2023</v>
      </c>
      <c r="C2360" s="21">
        <v>1</v>
      </c>
      <c r="D2360" s="21">
        <v>6</v>
      </c>
      <c r="E2360" s="21" t="s">
        <v>313</v>
      </c>
      <c r="F2360" s="21">
        <v>0</v>
      </c>
      <c r="G2360" s="21">
        <v>276.98</v>
      </c>
      <c r="H2360" s="21">
        <v>9478.39</v>
      </c>
      <c r="I2360" s="21">
        <v>342.2</v>
      </c>
    </row>
    <row r="2361" spans="1:9" ht="15" customHeight="1" x14ac:dyDescent="0.3">
      <c r="A2361" s="21" t="s">
        <v>2683</v>
      </c>
      <c r="B2361" s="21">
        <v>2023</v>
      </c>
      <c r="C2361" s="21">
        <v>1</v>
      </c>
      <c r="D2361" s="21">
        <v>7</v>
      </c>
      <c r="E2361" s="21" t="s">
        <v>316</v>
      </c>
      <c r="F2361" s="21">
        <v>1</v>
      </c>
      <c r="G2361" s="21">
        <v>228.64</v>
      </c>
      <c r="H2361" s="21">
        <v>7824.11</v>
      </c>
      <c r="I2361" s="21">
        <v>342.2</v>
      </c>
    </row>
    <row r="2362" spans="1:9" ht="15" customHeight="1" x14ac:dyDescent="0.3">
      <c r="A2362" s="21" t="s">
        <v>2684</v>
      </c>
      <c r="B2362" s="21">
        <v>2023</v>
      </c>
      <c r="C2362" s="21">
        <v>1</v>
      </c>
      <c r="D2362" s="21">
        <v>8</v>
      </c>
      <c r="E2362" s="21" t="s">
        <v>319</v>
      </c>
      <c r="F2362" s="21">
        <v>1</v>
      </c>
      <c r="G2362" s="21">
        <v>225.2</v>
      </c>
      <c r="H2362" s="21">
        <v>7706.21</v>
      </c>
      <c r="I2362" s="21">
        <v>342.19</v>
      </c>
    </row>
    <row r="2363" spans="1:9" ht="15" customHeight="1" x14ac:dyDescent="0.3">
      <c r="A2363" s="21" t="s">
        <v>2685</v>
      </c>
      <c r="B2363" s="21">
        <v>2023</v>
      </c>
      <c r="C2363" s="21">
        <v>1</v>
      </c>
      <c r="D2363" s="21">
        <v>9</v>
      </c>
      <c r="E2363" s="21" t="s">
        <v>299</v>
      </c>
      <c r="F2363" s="21">
        <v>0</v>
      </c>
      <c r="G2363" s="21">
        <v>277.57</v>
      </c>
      <c r="H2363" s="21">
        <v>9498.51</v>
      </c>
      <c r="I2363" s="21">
        <v>342.2</v>
      </c>
    </row>
    <row r="2364" spans="1:9" ht="15" customHeight="1" x14ac:dyDescent="0.3">
      <c r="A2364" s="21" t="s">
        <v>2686</v>
      </c>
      <c r="B2364" s="21">
        <v>2023</v>
      </c>
      <c r="C2364" s="21">
        <v>1</v>
      </c>
      <c r="D2364" s="21">
        <v>10</v>
      </c>
      <c r="E2364" s="21" t="s">
        <v>303</v>
      </c>
      <c r="F2364" s="21">
        <v>0</v>
      </c>
      <c r="G2364" s="21">
        <v>248.66</v>
      </c>
      <c r="H2364" s="21">
        <v>8509.2999999999993</v>
      </c>
      <c r="I2364" s="21">
        <v>342.21</v>
      </c>
    </row>
    <row r="2365" spans="1:9" ht="15" customHeight="1" x14ac:dyDescent="0.3">
      <c r="A2365" s="21" t="s">
        <v>2687</v>
      </c>
      <c r="B2365" s="21">
        <v>2023</v>
      </c>
      <c r="C2365" s="21">
        <v>1</v>
      </c>
      <c r="D2365" s="21">
        <v>11</v>
      </c>
      <c r="E2365" s="21" t="s">
        <v>307</v>
      </c>
      <c r="F2365" s="21">
        <v>0</v>
      </c>
      <c r="G2365" s="21">
        <v>268.72000000000003</v>
      </c>
      <c r="H2365" s="21">
        <v>9195.51</v>
      </c>
      <c r="I2365" s="21">
        <v>342.2</v>
      </c>
    </row>
    <row r="2366" spans="1:9" ht="15" customHeight="1" x14ac:dyDescent="0.3">
      <c r="A2366" s="21" t="s">
        <v>2688</v>
      </c>
      <c r="B2366" s="21">
        <v>2023</v>
      </c>
      <c r="C2366" s="21">
        <v>1</v>
      </c>
      <c r="D2366" s="21">
        <v>12</v>
      </c>
      <c r="E2366" s="21" t="s">
        <v>310</v>
      </c>
      <c r="F2366" s="21">
        <v>0</v>
      </c>
      <c r="G2366" s="21">
        <v>261.32</v>
      </c>
      <c r="H2366" s="21">
        <v>8942.44</v>
      </c>
      <c r="I2366" s="21">
        <v>342.2</v>
      </c>
    </row>
    <row r="2367" spans="1:9" ht="15" customHeight="1" x14ac:dyDescent="0.3">
      <c r="A2367" s="21" t="s">
        <v>2689</v>
      </c>
      <c r="B2367" s="21">
        <v>2023</v>
      </c>
      <c r="C2367" s="21">
        <v>1</v>
      </c>
      <c r="D2367" s="21">
        <v>13</v>
      </c>
      <c r="E2367" s="21" t="s">
        <v>313</v>
      </c>
      <c r="F2367" s="21">
        <v>0</v>
      </c>
      <c r="G2367" s="21">
        <v>277.16000000000003</v>
      </c>
      <c r="H2367" s="21">
        <v>9484.44</v>
      </c>
      <c r="I2367" s="21">
        <v>342.2</v>
      </c>
    </row>
    <row r="2368" spans="1:9" ht="15" customHeight="1" x14ac:dyDescent="0.3">
      <c r="A2368" s="21" t="s">
        <v>2690</v>
      </c>
      <c r="B2368" s="21">
        <v>2023</v>
      </c>
      <c r="C2368" s="21">
        <v>1</v>
      </c>
      <c r="D2368" s="21">
        <v>14</v>
      </c>
      <c r="E2368" s="21" t="s">
        <v>316</v>
      </c>
      <c r="F2368" s="21">
        <v>1</v>
      </c>
      <c r="G2368" s="21">
        <v>221.51</v>
      </c>
      <c r="H2368" s="21">
        <v>7580.14</v>
      </c>
      <c r="I2368" s="21">
        <v>342.2</v>
      </c>
    </row>
    <row r="2369" spans="1:9" ht="15" customHeight="1" x14ac:dyDescent="0.3">
      <c r="A2369" s="21" t="s">
        <v>2691</v>
      </c>
      <c r="B2369" s="21">
        <v>2023</v>
      </c>
      <c r="C2369" s="21">
        <v>1</v>
      </c>
      <c r="D2369" s="21">
        <v>15</v>
      </c>
      <c r="E2369" s="21" t="s">
        <v>319</v>
      </c>
      <c r="F2369" s="21">
        <v>1</v>
      </c>
      <c r="G2369" s="21">
        <v>206.58</v>
      </c>
      <c r="H2369" s="21">
        <v>7069.16</v>
      </c>
      <c r="I2369" s="21">
        <v>342.2</v>
      </c>
    </row>
    <row r="2370" spans="1:9" ht="15" customHeight="1" x14ac:dyDescent="0.3">
      <c r="A2370" s="21" t="s">
        <v>2692</v>
      </c>
      <c r="B2370" s="21">
        <v>2023</v>
      </c>
      <c r="C2370" s="21">
        <v>1</v>
      </c>
      <c r="D2370" s="21">
        <v>16</v>
      </c>
      <c r="E2370" s="21" t="s">
        <v>299</v>
      </c>
      <c r="F2370" s="21">
        <v>0</v>
      </c>
      <c r="G2370" s="21">
        <v>275.43</v>
      </c>
      <c r="H2370" s="21">
        <v>9425.33</v>
      </c>
      <c r="I2370" s="21">
        <v>342.2</v>
      </c>
    </row>
    <row r="2371" spans="1:9" ht="15" customHeight="1" x14ac:dyDescent="0.3">
      <c r="A2371" s="21" t="s">
        <v>2693</v>
      </c>
      <c r="B2371" s="21">
        <v>2023</v>
      </c>
      <c r="C2371" s="21">
        <v>1</v>
      </c>
      <c r="D2371" s="21">
        <v>17</v>
      </c>
      <c r="E2371" s="21" t="s">
        <v>303</v>
      </c>
      <c r="F2371" s="21">
        <v>0</v>
      </c>
      <c r="G2371" s="21">
        <v>251.28</v>
      </c>
      <c r="H2371" s="21">
        <v>8598.9</v>
      </c>
      <c r="I2371" s="21">
        <v>342.2</v>
      </c>
    </row>
    <row r="2372" spans="1:9" ht="15" customHeight="1" x14ac:dyDescent="0.3">
      <c r="A2372" s="21" t="s">
        <v>2694</v>
      </c>
      <c r="B2372" s="21">
        <v>2023</v>
      </c>
      <c r="C2372" s="21">
        <v>1</v>
      </c>
      <c r="D2372" s="21">
        <v>18</v>
      </c>
      <c r="E2372" s="21" t="s">
        <v>307</v>
      </c>
      <c r="F2372" s="21">
        <v>0</v>
      </c>
      <c r="G2372" s="21">
        <v>248.77</v>
      </c>
      <c r="H2372" s="21">
        <v>8512.84</v>
      </c>
      <c r="I2372" s="21">
        <v>342.2</v>
      </c>
    </row>
    <row r="2373" spans="1:9" ht="15" customHeight="1" x14ac:dyDescent="0.3">
      <c r="A2373" s="21" t="s">
        <v>2695</v>
      </c>
      <c r="B2373" s="21">
        <v>2023</v>
      </c>
      <c r="C2373" s="21">
        <v>1</v>
      </c>
      <c r="D2373" s="21">
        <v>19</v>
      </c>
      <c r="E2373" s="21" t="s">
        <v>310</v>
      </c>
      <c r="F2373" s="21">
        <v>0</v>
      </c>
      <c r="G2373" s="21">
        <v>247.45</v>
      </c>
      <c r="H2373" s="21">
        <v>8467.67</v>
      </c>
      <c r="I2373" s="21">
        <v>342.2</v>
      </c>
    </row>
    <row r="2374" spans="1:9" ht="15" customHeight="1" x14ac:dyDescent="0.3">
      <c r="A2374" s="21" t="s">
        <v>2696</v>
      </c>
      <c r="B2374" s="21">
        <v>2023</v>
      </c>
      <c r="C2374" s="21">
        <v>1</v>
      </c>
      <c r="D2374" s="21">
        <v>20</v>
      </c>
      <c r="E2374" s="21" t="s">
        <v>313</v>
      </c>
      <c r="F2374" s="21">
        <v>0</v>
      </c>
      <c r="G2374" s="21">
        <v>288.69</v>
      </c>
      <c r="H2374" s="21">
        <v>9878.92</v>
      </c>
      <c r="I2374" s="21">
        <v>342.2</v>
      </c>
    </row>
    <row r="2375" spans="1:9" ht="15" customHeight="1" x14ac:dyDescent="0.3">
      <c r="A2375" s="21" t="s">
        <v>2697</v>
      </c>
      <c r="B2375" s="21">
        <v>2023</v>
      </c>
      <c r="C2375" s="21">
        <v>1</v>
      </c>
      <c r="D2375" s="21">
        <v>21</v>
      </c>
      <c r="E2375" s="21" t="s">
        <v>316</v>
      </c>
      <c r="F2375" s="21">
        <v>1</v>
      </c>
      <c r="G2375" s="21">
        <v>215.5</v>
      </c>
      <c r="H2375" s="21">
        <v>7374.47</v>
      </c>
      <c r="I2375" s="21">
        <v>342.2</v>
      </c>
    </row>
    <row r="2376" spans="1:9" ht="15" customHeight="1" x14ac:dyDescent="0.3">
      <c r="A2376" s="21" t="s">
        <v>2698</v>
      </c>
      <c r="B2376" s="21">
        <v>2023</v>
      </c>
      <c r="C2376" s="21">
        <v>1</v>
      </c>
      <c r="D2376" s="21">
        <v>22</v>
      </c>
      <c r="E2376" s="21" t="s">
        <v>319</v>
      </c>
      <c r="F2376" s="21">
        <v>1</v>
      </c>
      <c r="G2376" s="21">
        <v>232.33</v>
      </c>
      <c r="H2376" s="21">
        <v>7950.23</v>
      </c>
      <c r="I2376" s="21">
        <v>342.2</v>
      </c>
    </row>
    <row r="2377" spans="1:9" ht="15" customHeight="1" x14ac:dyDescent="0.3">
      <c r="A2377" s="21" t="s">
        <v>2699</v>
      </c>
      <c r="B2377" s="21">
        <v>2023</v>
      </c>
      <c r="C2377" s="21">
        <v>1</v>
      </c>
      <c r="D2377" s="21">
        <v>23</v>
      </c>
      <c r="E2377" s="21" t="s">
        <v>299</v>
      </c>
      <c r="F2377" s="21">
        <v>0</v>
      </c>
      <c r="G2377" s="21">
        <v>268.08999999999997</v>
      </c>
      <c r="H2377" s="21">
        <v>9173.92</v>
      </c>
      <c r="I2377" s="21">
        <v>342.2</v>
      </c>
    </row>
    <row r="2378" spans="1:9" ht="15" customHeight="1" x14ac:dyDescent="0.3">
      <c r="A2378" s="21" t="s">
        <v>2700</v>
      </c>
      <c r="B2378" s="21">
        <v>2023</v>
      </c>
      <c r="C2378" s="21">
        <v>1</v>
      </c>
      <c r="D2378" s="21">
        <v>24</v>
      </c>
      <c r="E2378" s="21" t="s">
        <v>303</v>
      </c>
      <c r="F2378" s="21">
        <v>0</v>
      </c>
      <c r="G2378" s="21">
        <v>246.01</v>
      </c>
      <c r="H2378" s="21">
        <v>8418.43</v>
      </c>
      <c r="I2378" s="21">
        <v>342.2</v>
      </c>
    </row>
    <row r="2379" spans="1:9" ht="15" customHeight="1" x14ac:dyDescent="0.3">
      <c r="A2379" s="21" t="s">
        <v>2701</v>
      </c>
      <c r="B2379" s="21">
        <v>2023</v>
      </c>
      <c r="C2379" s="21">
        <v>1</v>
      </c>
      <c r="D2379" s="21">
        <v>25</v>
      </c>
      <c r="E2379" s="21" t="s">
        <v>307</v>
      </c>
      <c r="F2379" s="21">
        <v>0</v>
      </c>
      <c r="G2379" s="21">
        <v>250.61</v>
      </c>
      <c r="H2379" s="21">
        <v>8575.7000000000007</v>
      </c>
      <c r="I2379" s="21">
        <v>342.19</v>
      </c>
    </row>
    <row r="2380" spans="1:9" ht="15" customHeight="1" x14ac:dyDescent="0.3">
      <c r="A2380" s="21" t="s">
        <v>2702</v>
      </c>
      <c r="B2380" s="21">
        <v>2023</v>
      </c>
      <c r="C2380" s="21">
        <v>1</v>
      </c>
      <c r="D2380" s="21">
        <v>26</v>
      </c>
      <c r="E2380" s="21" t="s">
        <v>310</v>
      </c>
      <c r="F2380" s="21">
        <v>0</v>
      </c>
      <c r="G2380" s="21">
        <v>268.89999999999998</v>
      </c>
      <c r="H2380" s="21">
        <v>9201.86</v>
      </c>
      <c r="I2380" s="21">
        <v>342.2</v>
      </c>
    </row>
    <row r="2381" spans="1:9" ht="15" customHeight="1" x14ac:dyDescent="0.3">
      <c r="A2381" s="21" t="s">
        <v>2703</v>
      </c>
      <c r="B2381" s="21">
        <v>2023</v>
      </c>
      <c r="C2381" s="21">
        <v>1</v>
      </c>
      <c r="D2381" s="21">
        <v>27</v>
      </c>
      <c r="E2381" s="21" t="s">
        <v>313</v>
      </c>
      <c r="F2381" s="21">
        <v>0</v>
      </c>
      <c r="G2381" s="21">
        <v>278.82</v>
      </c>
      <c r="H2381" s="21">
        <v>9541.24</v>
      </c>
      <c r="I2381" s="21">
        <v>342.2</v>
      </c>
    </row>
    <row r="2382" spans="1:9" ht="15" customHeight="1" x14ac:dyDescent="0.3">
      <c r="A2382" s="21" t="s">
        <v>2704</v>
      </c>
      <c r="B2382" s="21">
        <v>2023</v>
      </c>
      <c r="C2382" s="21">
        <v>1</v>
      </c>
      <c r="D2382" s="21">
        <v>28</v>
      </c>
      <c r="E2382" s="21" t="s">
        <v>316</v>
      </c>
      <c r="F2382" s="21">
        <v>1</v>
      </c>
      <c r="G2382" s="21">
        <v>216.13</v>
      </c>
      <c r="H2382" s="21">
        <v>7396.02</v>
      </c>
      <c r="I2382" s="21">
        <v>342.2</v>
      </c>
    </row>
    <row r="2383" spans="1:9" ht="15" customHeight="1" x14ac:dyDescent="0.3">
      <c r="A2383" s="21" t="s">
        <v>2705</v>
      </c>
      <c r="B2383" s="21">
        <v>2023</v>
      </c>
      <c r="C2383" s="21">
        <v>1</v>
      </c>
      <c r="D2383" s="21">
        <v>29</v>
      </c>
      <c r="E2383" s="21" t="s">
        <v>319</v>
      </c>
      <c r="F2383" s="21">
        <v>1</v>
      </c>
      <c r="G2383" s="21">
        <v>221.64</v>
      </c>
      <c r="H2383" s="21">
        <v>7584.56</v>
      </c>
      <c r="I2383" s="21">
        <v>342.2</v>
      </c>
    </row>
    <row r="2384" spans="1:9" ht="15" customHeight="1" x14ac:dyDescent="0.3">
      <c r="A2384" s="21" t="s">
        <v>2706</v>
      </c>
      <c r="B2384" s="21">
        <v>2023</v>
      </c>
      <c r="C2384" s="21">
        <v>1</v>
      </c>
      <c r="D2384" s="21">
        <v>30</v>
      </c>
      <c r="E2384" s="21" t="s">
        <v>299</v>
      </c>
      <c r="F2384" s="21">
        <v>0</v>
      </c>
      <c r="G2384" s="21">
        <v>317.58</v>
      </c>
      <c r="H2384" s="21">
        <v>10867.63</v>
      </c>
      <c r="I2384" s="21">
        <v>342.2</v>
      </c>
    </row>
    <row r="2385" spans="1:9" ht="15" customHeight="1" x14ac:dyDescent="0.3">
      <c r="A2385" s="21" t="s">
        <v>2707</v>
      </c>
      <c r="B2385" s="21">
        <v>2023</v>
      </c>
      <c r="C2385" s="21">
        <v>1</v>
      </c>
      <c r="D2385" s="21">
        <v>31</v>
      </c>
      <c r="E2385" s="21" t="s">
        <v>303</v>
      </c>
      <c r="F2385" s="21">
        <v>0</v>
      </c>
      <c r="G2385" s="21">
        <v>308.18</v>
      </c>
      <c r="H2385" s="21">
        <v>10545.89</v>
      </c>
      <c r="I2385" s="21">
        <v>342.2</v>
      </c>
    </row>
    <row r="2386" spans="1:9" ht="15" customHeight="1" x14ac:dyDescent="0.3">
      <c r="A2386" s="21" t="s">
        <v>176</v>
      </c>
      <c r="B2386" s="21">
        <v>2023</v>
      </c>
      <c r="C2386" s="21">
        <v>2</v>
      </c>
      <c r="D2386" s="21">
        <v>1</v>
      </c>
      <c r="E2386" s="21" t="s">
        <v>307</v>
      </c>
      <c r="F2386" s="21">
        <v>0</v>
      </c>
      <c r="G2386" s="21">
        <v>323.14</v>
      </c>
      <c r="H2386" s="21">
        <v>11056.9</v>
      </c>
      <c r="I2386" s="21">
        <v>342.17</v>
      </c>
    </row>
    <row r="2387" spans="1:9" ht="15" customHeight="1" x14ac:dyDescent="0.3">
      <c r="A2387" s="21" t="s">
        <v>2708</v>
      </c>
      <c r="B2387" s="21">
        <v>2023</v>
      </c>
      <c r="C2387" s="21">
        <v>2</v>
      </c>
      <c r="D2387" s="21">
        <v>2</v>
      </c>
      <c r="E2387" s="21" t="s">
        <v>310</v>
      </c>
      <c r="F2387" s="21">
        <v>0</v>
      </c>
      <c r="G2387" s="21">
        <v>306.33999999999997</v>
      </c>
      <c r="H2387" s="21">
        <v>10482.06</v>
      </c>
      <c r="I2387" s="21">
        <v>342.17</v>
      </c>
    </row>
    <row r="2388" spans="1:9" ht="15" customHeight="1" x14ac:dyDescent="0.3">
      <c r="A2388" s="21" t="s">
        <v>2709</v>
      </c>
      <c r="B2388" s="21">
        <v>2023</v>
      </c>
      <c r="C2388" s="21">
        <v>2</v>
      </c>
      <c r="D2388" s="21">
        <v>3</v>
      </c>
      <c r="E2388" s="21" t="s">
        <v>313</v>
      </c>
      <c r="F2388" s="21">
        <v>0</v>
      </c>
      <c r="G2388" s="21">
        <v>280.12</v>
      </c>
      <c r="H2388" s="21">
        <v>9584.8700000000008</v>
      </c>
      <c r="I2388" s="21">
        <v>342.17</v>
      </c>
    </row>
    <row r="2389" spans="1:9" ht="15" customHeight="1" x14ac:dyDescent="0.3">
      <c r="A2389" s="21" t="s">
        <v>2710</v>
      </c>
      <c r="B2389" s="21">
        <v>2023</v>
      </c>
      <c r="C2389" s="21">
        <v>2</v>
      </c>
      <c r="D2389" s="21">
        <v>4</v>
      </c>
      <c r="E2389" s="21" t="s">
        <v>316</v>
      </c>
      <c r="F2389" s="21">
        <v>1</v>
      </c>
      <c r="G2389" s="21">
        <v>225.55</v>
      </c>
      <c r="H2389" s="21">
        <v>7717.85</v>
      </c>
      <c r="I2389" s="21">
        <v>342.18</v>
      </c>
    </row>
    <row r="2390" spans="1:9" ht="15" customHeight="1" x14ac:dyDescent="0.3">
      <c r="A2390" s="21" t="s">
        <v>2711</v>
      </c>
      <c r="B2390" s="21">
        <v>2023</v>
      </c>
      <c r="C2390" s="21">
        <v>2</v>
      </c>
      <c r="D2390" s="21">
        <v>5</v>
      </c>
      <c r="E2390" s="21" t="s">
        <v>319</v>
      </c>
      <c r="F2390" s="21">
        <v>1</v>
      </c>
      <c r="G2390" s="21">
        <v>231</v>
      </c>
      <c r="H2390" s="21">
        <v>7904.09</v>
      </c>
      <c r="I2390" s="21">
        <v>342.17</v>
      </c>
    </row>
    <row r="2391" spans="1:9" ht="15" customHeight="1" x14ac:dyDescent="0.3">
      <c r="A2391" s="21" t="s">
        <v>2712</v>
      </c>
      <c r="B2391" s="21">
        <v>2023</v>
      </c>
      <c r="C2391" s="21">
        <v>2</v>
      </c>
      <c r="D2391" s="21">
        <v>6</v>
      </c>
      <c r="E2391" s="21" t="s">
        <v>299</v>
      </c>
      <c r="F2391" s="21">
        <v>0</v>
      </c>
      <c r="G2391" s="21">
        <v>274.95999999999998</v>
      </c>
      <c r="H2391" s="21">
        <v>9408.59</v>
      </c>
      <c r="I2391" s="21">
        <v>342.18</v>
      </c>
    </row>
    <row r="2392" spans="1:9" ht="15" customHeight="1" x14ac:dyDescent="0.3">
      <c r="A2392" s="21" t="s">
        <v>2713</v>
      </c>
      <c r="B2392" s="21">
        <v>2023</v>
      </c>
      <c r="C2392" s="21">
        <v>2</v>
      </c>
      <c r="D2392" s="21">
        <v>7</v>
      </c>
      <c r="E2392" s="21" t="s">
        <v>303</v>
      </c>
      <c r="F2392" s="21">
        <v>0</v>
      </c>
      <c r="G2392" s="21">
        <v>261.55</v>
      </c>
      <c r="H2392" s="21">
        <v>8949.7000000000007</v>
      </c>
      <c r="I2392" s="21">
        <v>342.18</v>
      </c>
    </row>
    <row r="2393" spans="1:9" ht="15" customHeight="1" x14ac:dyDescent="0.3">
      <c r="A2393" s="21" t="s">
        <v>2714</v>
      </c>
      <c r="B2393" s="21">
        <v>2023</v>
      </c>
      <c r="C2393" s="21">
        <v>2</v>
      </c>
      <c r="D2393" s="21">
        <v>8</v>
      </c>
      <c r="E2393" s="21" t="s">
        <v>307</v>
      </c>
      <c r="F2393" s="21">
        <v>0</v>
      </c>
      <c r="G2393" s="21">
        <v>272.06</v>
      </c>
      <c r="H2393" s="21">
        <v>9309.32</v>
      </c>
      <c r="I2393" s="21">
        <v>342.18</v>
      </c>
    </row>
    <row r="2394" spans="1:9" ht="15" customHeight="1" x14ac:dyDescent="0.3">
      <c r="A2394" s="21" t="s">
        <v>2715</v>
      </c>
      <c r="B2394" s="21">
        <v>2023</v>
      </c>
      <c r="C2394" s="21">
        <v>2</v>
      </c>
      <c r="D2394" s="21">
        <v>9</v>
      </c>
      <c r="E2394" s="21" t="s">
        <v>310</v>
      </c>
      <c r="F2394" s="21">
        <v>0</v>
      </c>
      <c r="G2394" s="21">
        <v>268.89</v>
      </c>
      <c r="H2394" s="21">
        <v>9200.84</v>
      </c>
      <c r="I2394" s="21">
        <v>342.18</v>
      </c>
    </row>
    <row r="2395" spans="1:9" ht="15" customHeight="1" x14ac:dyDescent="0.3">
      <c r="A2395" s="21" t="s">
        <v>2716</v>
      </c>
      <c r="B2395" s="21">
        <v>2023</v>
      </c>
      <c r="C2395" s="21">
        <v>2</v>
      </c>
      <c r="D2395" s="21">
        <v>10</v>
      </c>
      <c r="E2395" s="21" t="s">
        <v>313</v>
      </c>
      <c r="F2395" s="21">
        <v>0</v>
      </c>
      <c r="G2395" s="21">
        <v>291.08999999999997</v>
      </c>
      <c r="H2395" s="21">
        <v>9960.49</v>
      </c>
      <c r="I2395" s="21">
        <v>342.18</v>
      </c>
    </row>
    <row r="2396" spans="1:9" ht="15" customHeight="1" x14ac:dyDescent="0.3">
      <c r="A2396" s="21" t="s">
        <v>2717</v>
      </c>
      <c r="B2396" s="21">
        <v>2023</v>
      </c>
      <c r="C2396" s="21">
        <v>2</v>
      </c>
      <c r="D2396" s="21">
        <v>11</v>
      </c>
      <c r="E2396" s="21" t="s">
        <v>316</v>
      </c>
      <c r="F2396" s="21">
        <v>1</v>
      </c>
      <c r="G2396" s="21">
        <v>222.77</v>
      </c>
      <c r="H2396" s="21">
        <v>7622.47</v>
      </c>
      <c r="I2396" s="21">
        <v>342.17</v>
      </c>
    </row>
    <row r="2397" spans="1:9" ht="15" customHeight="1" x14ac:dyDescent="0.3">
      <c r="A2397" s="21" t="s">
        <v>2718</v>
      </c>
      <c r="B2397" s="21">
        <v>2023</v>
      </c>
      <c r="C2397" s="21">
        <v>2</v>
      </c>
      <c r="D2397" s="21">
        <v>12</v>
      </c>
      <c r="E2397" s="21" t="s">
        <v>319</v>
      </c>
      <c r="F2397" s="21">
        <v>1</v>
      </c>
      <c r="G2397" s="21">
        <v>227.03</v>
      </c>
      <c r="H2397" s="21">
        <v>7768.45</v>
      </c>
      <c r="I2397" s="21">
        <v>342.18</v>
      </c>
    </row>
    <row r="2398" spans="1:9" ht="15" customHeight="1" x14ac:dyDescent="0.3">
      <c r="A2398" s="21" t="s">
        <v>2719</v>
      </c>
      <c r="B2398" s="21">
        <v>2023</v>
      </c>
      <c r="C2398" s="21">
        <v>2</v>
      </c>
      <c r="D2398" s="21">
        <v>13</v>
      </c>
      <c r="E2398" s="21" t="s">
        <v>299</v>
      </c>
      <c r="F2398" s="21">
        <v>0</v>
      </c>
      <c r="G2398" s="21">
        <v>275.27999999999997</v>
      </c>
      <c r="H2398" s="21">
        <v>9419.52</v>
      </c>
      <c r="I2398" s="21">
        <v>342.18</v>
      </c>
    </row>
    <row r="2399" spans="1:9" ht="15" customHeight="1" x14ac:dyDescent="0.3">
      <c r="A2399" s="21" t="s">
        <v>2720</v>
      </c>
      <c r="B2399" s="21">
        <v>2023</v>
      </c>
      <c r="C2399" s="21">
        <v>2</v>
      </c>
      <c r="D2399" s="21">
        <v>14</v>
      </c>
      <c r="E2399" s="21" t="s">
        <v>303</v>
      </c>
      <c r="F2399" s="21">
        <v>0</v>
      </c>
      <c r="G2399" s="21">
        <v>276.48</v>
      </c>
      <c r="H2399" s="21">
        <v>9460.36</v>
      </c>
      <c r="I2399" s="21">
        <v>342.17</v>
      </c>
    </row>
    <row r="2400" spans="1:9" ht="15" customHeight="1" x14ac:dyDescent="0.3">
      <c r="A2400" s="21" t="s">
        <v>2721</v>
      </c>
      <c r="B2400" s="21">
        <v>2023</v>
      </c>
      <c r="C2400" s="21">
        <v>2</v>
      </c>
      <c r="D2400" s="21">
        <v>15</v>
      </c>
      <c r="E2400" s="21" t="s">
        <v>307</v>
      </c>
      <c r="F2400" s="21">
        <v>0</v>
      </c>
      <c r="G2400" s="21">
        <v>277.64999999999998</v>
      </c>
      <c r="H2400" s="21">
        <v>9500.4599999999991</v>
      </c>
      <c r="I2400" s="21">
        <v>342.17</v>
      </c>
    </row>
    <row r="2401" spans="1:9" ht="15" customHeight="1" x14ac:dyDescent="0.3">
      <c r="A2401" s="21" t="s">
        <v>2722</v>
      </c>
      <c r="B2401" s="21">
        <v>2023</v>
      </c>
      <c r="C2401" s="21">
        <v>2</v>
      </c>
      <c r="D2401" s="21">
        <v>16</v>
      </c>
      <c r="E2401" s="21" t="s">
        <v>310</v>
      </c>
      <c r="F2401" s="21">
        <v>0</v>
      </c>
      <c r="G2401" s="21">
        <v>254.37</v>
      </c>
      <c r="H2401" s="21">
        <v>8703.9500000000007</v>
      </c>
      <c r="I2401" s="21">
        <v>342.18</v>
      </c>
    </row>
    <row r="2402" spans="1:9" ht="15" customHeight="1" x14ac:dyDescent="0.3">
      <c r="A2402" s="21" t="s">
        <v>2723</v>
      </c>
      <c r="B2402" s="21">
        <v>2023</v>
      </c>
      <c r="C2402" s="21">
        <v>2</v>
      </c>
      <c r="D2402" s="21">
        <v>17</v>
      </c>
      <c r="E2402" s="21" t="s">
        <v>313</v>
      </c>
      <c r="F2402" s="21">
        <v>0</v>
      </c>
      <c r="G2402" s="21">
        <v>283.32</v>
      </c>
      <c r="H2402" s="21">
        <v>9694.49</v>
      </c>
      <c r="I2402" s="21">
        <v>342.17</v>
      </c>
    </row>
    <row r="2403" spans="1:9" ht="15" customHeight="1" x14ac:dyDescent="0.3">
      <c r="A2403" s="21" t="s">
        <v>2724</v>
      </c>
      <c r="B2403" s="21">
        <v>2023</v>
      </c>
      <c r="C2403" s="21">
        <v>2</v>
      </c>
      <c r="D2403" s="21">
        <v>18</v>
      </c>
      <c r="E2403" s="21" t="s">
        <v>316</v>
      </c>
      <c r="F2403" s="21">
        <v>1</v>
      </c>
      <c r="G2403" s="21">
        <v>216.8</v>
      </c>
      <c r="H2403" s="21">
        <v>7418.46</v>
      </c>
      <c r="I2403" s="21">
        <v>342.18</v>
      </c>
    </row>
    <row r="2404" spans="1:9" ht="15" customHeight="1" x14ac:dyDescent="0.3">
      <c r="A2404" s="21" t="s">
        <v>2725</v>
      </c>
      <c r="B2404" s="21">
        <v>2023</v>
      </c>
      <c r="C2404" s="21">
        <v>2</v>
      </c>
      <c r="D2404" s="21">
        <v>19</v>
      </c>
      <c r="E2404" s="21" t="s">
        <v>319</v>
      </c>
      <c r="F2404" s="21">
        <v>1</v>
      </c>
      <c r="G2404" s="21">
        <v>223.64</v>
      </c>
      <c r="H2404" s="21">
        <v>7652.46</v>
      </c>
      <c r="I2404" s="21">
        <v>342.18</v>
      </c>
    </row>
    <row r="2405" spans="1:9" ht="15" customHeight="1" x14ac:dyDescent="0.3">
      <c r="A2405" s="21" t="s">
        <v>2726</v>
      </c>
      <c r="B2405" s="21">
        <v>2023</v>
      </c>
      <c r="C2405" s="21">
        <v>2</v>
      </c>
      <c r="D2405" s="21">
        <v>20</v>
      </c>
      <c r="E2405" s="21" t="s">
        <v>299</v>
      </c>
      <c r="F2405" s="21">
        <v>0</v>
      </c>
      <c r="G2405" s="21">
        <v>282.08</v>
      </c>
      <c r="H2405" s="21">
        <v>9651.94</v>
      </c>
      <c r="I2405" s="21">
        <v>342.17</v>
      </c>
    </row>
    <row r="2406" spans="1:9" ht="15" customHeight="1" x14ac:dyDescent="0.3">
      <c r="A2406" s="21" t="s">
        <v>2727</v>
      </c>
      <c r="B2406" s="21">
        <v>2023</v>
      </c>
      <c r="C2406" s="21">
        <v>2</v>
      </c>
      <c r="D2406" s="21">
        <v>21</v>
      </c>
      <c r="E2406" s="21" t="s">
        <v>303</v>
      </c>
      <c r="F2406" s="21">
        <v>0</v>
      </c>
      <c r="G2406" s="21">
        <v>257.57</v>
      </c>
      <c r="H2406" s="21">
        <v>8813.56</v>
      </c>
      <c r="I2406" s="21">
        <v>342.18</v>
      </c>
    </row>
    <row r="2407" spans="1:9" ht="15" customHeight="1" x14ac:dyDescent="0.3">
      <c r="A2407" s="21" t="s">
        <v>2728</v>
      </c>
      <c r="B2407" s="21">
        <v>2023</v>
      </c>
      <c r="C2407" s="21">
        <v>2</v>
      </c>
      <c r="D2407" s="21">
        <v>22</v>
      </c>
      <c r="E2407" s="21" t="s">
        <v>307</v>
      </c>
      <c r="F2407" s="21">
        <v>0</v>
      </c>
      <c r="G2407" s="21">
        <v>261.83999999999997</v>
      </c>
      <c r="H2407" s="21">
        <v>8959.4599999999991</v>
      </c>
      <c r="I2407" s="21">
        <v>342.17</v>
      </c>
    </row>
    <row r="2408" spans="1:9" ht="15" customHeight="1" x14ac:dyDescent="0.3">
      <c r="A2408" s="21" t="s">
        <v>2729</v>
      </c>
      <c r="B2408" s="21">
        <v>2023</v>
      </c>
      <c r="C2408" s="21">
        <v>2</v>
      </c>
      <c r="D2408" s="21">
        <v>23</v>
      </c>
      <c r="E2408" s="21" t="s">
        <v>310</v>
      </c>
      <c r="F2408" s="21">
        <v>0</v>
      </c>
      <c r="G2408" s="21">
        <v>261.18</v>
      </c>
      <c r="H2408" s="21">
        <v>8936.76</v>
      </c>
      <c r="I2408" s="21">
        <v>342.17</v>
      </c>
    </row>
    <row r="2409" spans="1:9" ht="15" customHeight="1" x14ac:dyDescent="0.3">
      <c r="A2409" s="21" t="s">
        <v>2730</v>
      </c>
      <c r="B2409" s="21">
        <v>2023</v>
      </c>
      <c r="C2409" s="21">
        <v>2</v>
      </c>
      <c r="D2409" s="21">
        <v>24</v>
      </c>
      <c r="E2409" s="21" t="s">
        <v>313</v>
      </c>
      <c r="F2409" s="21">
        <v>0</v>
      </c>
      <c r="G2409" s="21">
        <v>292.5</v>
      </c>
      <c r="H2409" s="21">
        <v>10008.719999999999</v>
      </c>
      <c r="I2409" s="21">
        <v>342.18</v>
      </c>
    </row>
    <row r="2410" spans="1:9" ht="15" customHeight="1" x14ac:dyDescent="0.3">
      <c r="A2410" s="21" t="s">
        <v>2731</v>
      </c>
      <c r="B2410" s="21">
        <v>2023</v>
      </c>
      <c r="C2410" s="21">
        <v>2</v>
      </c>
      <c r="D2410" s="21">
        <v>25</v>
      </c>
      <c r="E2410" s="21" t="s">
        <v>316</v>
      </c>
      <c r="F2410" s="21">
        <v>1</v>
      </c>
      <c r="G2410" s="21">
        <v>229.45</v>
      </c>
      <c r="H2410" s="21">
        <v>7851.31</v>
      </c>
      <c r="I2410" s="21">
        <v>342.18</v>
      </c>
    </row>
    <row r="2411" spans="1:9" ht="15" customHeight="1" x14ac:dyDescent="0.3">
      <c r="A2411" s="21" t="s">
        <v>2732</v>
      </c>
      <c r="B2411" s="21">
        <v>2023</v>
      </c>
      <c r="C2411" s="21">
        <v>2</v>
      </c>
      <c r="D2411" s="21">
        <v>26</v>
      </c>
      <c r="E2411" s="21" t="s">
        <v>319</v>
      </c>
      <c r="F2411" s="21">
        <v>1</v>
      </c>
      <c r="G2411" s="21">
        <v>223.06</v>
      </c>
      <c r="H2411" s="21">
        <v>7632.63</v>
      </c>
      <c r="I2411" s="21">
        <v>342.18</v>
      </c>
    </row>
    <row r="2412" spans="1:9" ht="15" customHeight="1" x14ac:dyDescent="0.3">
      <c r="A2412" s="21" t="s">
        <v>2733</v>
      </c>
      <c r="B2412" s="21">
        <v>2023</v>
      </c>
      <c r="C2412" s="21">
        <v>2</v>
      </c>
      <c r="D2412" s="21">
        <v>27</v>
      </c>
      <c r="E2412" s="21" t="s">
        <v>299</v>
      </c>
      <c r="F2412" s="21">
        <v>0</v>
      </c>
      <c r="G2412" s="21">
        <v>326.81</v>
      </c>
      <c r="H2412" s="21">
        <v>11182.46</v>
      </c>
      <c r="I2412" s="21">
        <v>342.17</v>
      </c>
    </row>
    <row r="2413" spans="1:9" ht="15" customHeight="1" x14ac:dyDescent="0.3">
      <c r="A2413" s="21" t="s">
        <v>2734</v>
      </c>
      <c r="B2413" s="21">
        <v>2023</v>
      </c>
      <c r="C2413" s="21">
        <v>2</v>
      </c>
      <c r="D2413" s="21">
        <v>28</v>
      </c>
      <c r="E2413" s="21" t="s">
        <v>303</v>
      </c>
      <c r="F2413" s="21">
        <v>0</v>
      </c>
      <c r="G2413" s="21">
        <v>304.60000000000002</v>
      </c>
      <c r="H2413" s="21">
        <v>10422.64</v>
      </c>
      <c r="I2413" s="21">
        <v>342.17</v>
      </c>
    </row>
    <row r="2414" spans="1:9" ht="15" customHeight="1" x14ac:dyDescent="0.3">
      <c r="A2414" s="21" t="s">
        <v>177</v>
      </c>
      <c r="B2414" s="21">
        <v>2023</v>
      </c>
      <c r="C2414" s="21">
        <v>3</v>
      </c>
      <c r="D2414" s="21">
        <v>1</v>
      </c>
      <c r="E2414" s="21" t="s">
        <v>307</v>
      </c>
      <c r="F2414" s="21">
        <v>0</v>
      </c>
      <c r="G2414" s="21">
        <v>318.52999999999997</v>
      </c>
      <c r="H2414" s="21">
        <v>10904.77</v>
      </c>
      <c r="I2414" s="21">
        <v>342.35</v>
      </c>
    </row>
    <row r="2415" spans="1:9" ht="15" customHeight="1" x14ac:dyDescent="0.3">
      <c r="A2415" s="21" t="s">
        <v>2735</v>
      </c>
      <c r="B2415" s="21">
        <v>2023</v>
      </c>
      <c r="C2415" s="21">
        <v>3</v>
      </c>
      <c r="D2415" s="21">
        <v>2</v>
      </c>
      <c r="E2415" s="21" t="s">
        <v>310</v>
      </c>
      <c r="F2415" s="21">
        <v>0</v>
      </c>
      <c r="G2415" s="21">
        <v>337.27</v>
      </c>
      <c r="H2415" s="21">
        <v>11546.33</v>
      </c>
      <c r="I2415" s="21">
        <v>342.35</v>
      </c>
    </row>
    <row r="2416" spans="1:9" ht="15" customHeight="1" x14ac:dyDescent="0.3">
      <c r="A2416" s="21" t="s">
        <v>2736</v>
      </c>
      <c r="B2416" s="21">
        <v>2023</v>
      </c>
      <c r="C2416" s="21">
        <v>3</v>
      </c>
      <c r="D2416" s="21">
        <v>3</v>
      </c>
      <c r="E2416" s="21" t="s">
        <v>313</v>
      </c>
      <c r="F2416" s="21">
        <v>0</v>
      </c>
      <c r="G2416" s="21">
        <v>312.83</v>
      </c>
      <c r="H2416" s="21">
        <v>10709.61</v>
      </c>
      <c r="I2416" s="21">
        <v>342.35</v>
      </c>
    </row>
    <row r="2417" spans="1:9" ht="15" customHeight="1" x14ac:dyDescent="0.3">
      <c r="A2417" s="21" t="s">
        <v>2737</v>
      </c>
      <c r="B2417" s="21">
        <v>2023</v>
      </c>
      <c r="C2417" s="21">
        <v>3</v>
      </c>
      <c r="D2417" s="21">
        <v>4</v>
      </c>
      <c r="E2417" s="21" t="s">
        <v>316</v>
      </c>
      <c r="F2417" s="21">
        <v>1</v>
      </c>
      <c r="G2417" s="21">
        <v>226.48</v>
      </c>
      <c r="H2417" s="21">
        <v>7753.54</v>
      </c>
      <c r="I2417" s="21">
        <v>342.35</v>
      </c>
    </row>
    <row r="2418" spans="1:9" ht="15" customHeight="1" x14ac:dyDescent="0.3">
      <c r="A2418" s="21" t="s">
        <v>2738</v>
      </c>
      <c r="B2418" s="21">
        <v>2023</v>
      </c>
      <c r="C2418" s="21">
        <v>3</v>
      </c>
      <c r="D2418" s="21">
        <v>5</v>
      </c>
      <c r="E2418" s="21" t="s">
        <v>319</v>
      </c>
      <c r="F2418" s="21">
        <v>1</v>
      </c>
      <c r="G2418" s="21">
        <v>244.32</v>
      </c>
      <c r="H2418" s="21">
        <v>8364.25</v>
      </c>
      <c r="I2418" s="21">
        <v>342.35</v>
      </c>
    </row>
    <row r="2419" spans="1:9" ht="15" customHeight="1" x14ac:dyDescent="0.3">
      <c r="A2419" s="21" t="s">
        <v>2739</v>
      </c>
      <c r="B2419" s="21">
        <v>2023</v>
      </c>
      <c r="C2419" s="21">
        <v>3</v>
      </c>
      <c r="D2419" s="21">
        <v>6</v>
      </c>
      <c r="E2419" s="21" t="s">
        <v>299</v>
      </c>
      <c r="F2419" s="21">
        <v>0</v>
      </c>
      <c r="G2419" s="21">
        <v>300.02</v>
      </c>
      <c r="H2419" s="21">
        <v>10271.06</v>
      </c>
      <c r="I2419" s="21">
        <v>342.35</v>
      </c>
    </row>
    <row r="2420" spans="1:9" ht="15" customHeight="1" x14ac:dyDescent="0.3">
      <c r="A2420" s="21" t="s">
        <v>2740</v>
      </c>
      <c r="B2420" s="21">
        <v>2023</v>
      </c>
      <c r="C2420" s="21">
        <v>3</v>
      </c>
      <c r="D2420" s="21">
        <v>7</v>
      </c>
      <c r="E2420" s="21" t="s">
        <v>303</v>
      </c>
      <c r="F2420" s="21">
        <v>0</v>
      </c>
      <c r="G2420" s="21">
        <v>269.64</v>
      </c>
      <c r="H2420" s="21">
        <v>9230.99</v>
      </c>
      <c r="I2420" s="21">
        <v>342.34</v>
      </c>
    </row>
    <row r="2421" spans="1:9" ht="15" customHeight="1" x14ac:dyDescent="0.3">
      <c r="A2421" s="21" t="s">
        <v>2741</v>
      </c>
      <c r="B2421" s="21">
        <v>2023</v>
      </c>
      <c r="C2421" s="21">
        <v>3</v>
      </c>
      <c r="D2421" s="21">
        <v>8</v>
      </c>
      <c r="E2421" s="21" t="s">
        <v>307</v>
      </c>
      <c r="F2421" s="21">
        <v>0</v>
      </c>
      <c r="G2421" s="21">
        <v>286.12</v>
      </c>
      <c r="H2421" s="21">
        <v>9795.16</v>
      </c>
      <c r="I2421" s="21">
        <v>342.34</v>
      </c>
    </row>
    <row r="2422" spans="1:9" ht="15" customHeight="1" x14ac:dyDescent="0.3">
      <c r="A2422" s="21" t="s">
        <v>2742</v>
      </c>
      <c r="B2422" s="21">
        <v>2023</v>
      </c>
      <c r="C2422" s="21">
        <v>3</v>
      </c>
      <c r="D2422" s="21">
        <v>9</v>
      </c>
      <c r="E2422" s="21" t="s">
        <v>310</v>
      </c>
      <c r="F2422" s="21">
        <v>0</v>
      </c>
      <c r="G2422" s="21">
        <v>292.14</v>
      </c>
      <c r="H2422" s="21">
        <v>10001.42</v>
      </c>
      <c r="I2422" s="21">
        <v>342.35</v>
      </c>
    </row>
    <row r="2423" spans="1:9" ht="15" customHeight="1" x14ac:dyDescent="0.3">
      <c r="A2423" s="21" t="s">
        <v>2743</v>
      </c>
      <c r="B2423" s="21">
        <v>2023</v>
      </c>
      <c r="C2423" s="21">
        <v>3</v>
      </c>
      <c r="D2423" s="21">
        <v>10</v>
      </c>
      <c r="E2423" s="21" t="s">
        <v>313</v>
      </c>
      <c r="F2423" s="21">
        <v>0</v>
      </c>
      <c r="G2423" s="21">
        <v>292.19</v>
      </c>
      <c r="H2423" s="21">
        <v>10003.19</v>
      </c>
      <c r="I2423" s="21">
        <v>342.35</v>
      </c>
    </row>
    <row r="2424" spans="1:9" ht="15" customHeight="1" x14ac:dyDescent="0.3">
      <c r="A2424" s="21" t="s">
        <v>2744</v>
      </c>
      <c r="B2424" s="21">
        <v>2023</v>
      </c>
      <c r="C2424" s="21">
        <v>3</v>
      </c>
      <c r="D2424" s="21">
        <v>11</v>
      </c>
      <c r="E2424" s="21" t="s">
        <v>316</v>
      </c>
      <c r="F2424" s="21">
        <v>1</v>
      </c>
      <c r="G2424" s="21">
        <v>229.68</v>
      </c>
      <c r="H2424" s="21">
        <v>7863.13</v>
      </c>
      <c r="I2424" s="21">
        <v>342.35</v>
      </c>
    </row>
    <row r="2425" spans="1:9" ht="15" customHeight="1" x14ac:dyDescent="0.3">
      <c r="A2425" s="21" t="s">
        <v>2745</v>
      </c>
      <c r="B2425" s="21">
        <v>2023</v>
      </c>
      <c r="C2425" s="21">
        <v>3</v>
      </c>
      <c r="D2425" s="21">
        <v>12</v>
      </c>
      <c r="E2425" s="21" t="s">
        <v>319</v>
      </c>
      <c r="F2425" s="21">
        <v>1</v>
      </c>
      <c r="G2425" s="21">
        <v>245.9</v>
      </c>
      <c r="H2425" s="21">
        <v>8418.15</v>
      </c>
      <c r="I2425" s="21">
        <v>342.34</v>
      </c>
    </row>
    <row r="2426" spans="1:9" ht="15" customHeight="1" x14ac:dyDescent="0.3">
      <c r="A2426" s="21" t="s">
        <v>2746</v>
      </c>
      <c r="B2426" s="21">
        <v>2023</v>
      </c>
      <c r="C2426" s="21">
        <v>3</v>
      </c>
      <c r="D2426" s="21">
        <v>13</v>
      </c>
      <c r="E2426" s="21" t="s">
        <v>299</v>
      </c>
      <c r="F2426" s="21">
        <v>0</v>
      </c>
      <c r="G2426" s="21">
        <v>295.5</v>
      </c>
      <c r="H2426" s="21">
        <v>10116.209999999999</v>
      </c>
      <c r="I2426" s="21">
        <v>342.34</v>
      </c>
    </row>
    <row r="2427" spans="1:9" ht="15" customHeight="1" x14ac:dyDescent="0.3">
      <c r="A2427" s="21" t="s">
        <v>2747</v>
      </c>
      <c r="B2427" s="21">
        <v>2023</v>
      </c>
      <c r="C2427" s="21">
        <v>3</v>
      </c>
      <c r="D2427" s="21">
        <v>14</v>
      </c>
      <c r="E2427" s="21" t="s">
        <v>303</v>
      </c>
      <c r="F2427" s="21">
        <v>0</v>
      </c>
      <c r="G2427" s="21">
        <v>283.88</v>
      </c>
      <c r="H2427" s="21">
        <v>9718.49</v>
      </c>
      <c r="I2427" s="21">
        <v>342.35</v>
      </c>
    </row>
    <row r="2428" spans="1:9" ht="15" customHeight="1" x14ac:dyDescent="0.3">
      <c r="A2428" s="21" t="s">
        <v>2748</v>
      </c>
      <c r="B2428" s="21">
        <v>2023</v>
      </c>
      <c r="C2428" s="21">
        <v>3</v>
      </c>
      <c r="D2428" s="21">
        <v>15</v>
      </c>
      <c r="E2428" s="21" t="s">
        <v>307</v>
      </c>
      <c r="F2428" s="21">
        <v>0</v>
      </c>
      <c r="G2428" s="21">
        <v>282.11</v>
      </c>
      <c r="H2428" s="21">
        <v>9658.01</v>
      </c>
      <c r="I2428" s="21">
        <v>342.35</v>
      </c>
    </row>
    <row r="2429" spans="1:9" ht="15" customHeight="1" x14ac:dyDescent="0.3">
      <c r="A2429" s="21" t="s">
        <v>2749</v>
      </c>
      <c r="B2429" s="21">
        <v>2023</v>
      </c>
      <c r="C2429" s="21">
        <v>3</v>
      </c>
      <c r="D2429" s="21">
        <v>16</v>
      </c>
      <c r="E2429" s="21" t="s">
        <v>310</v>
      </c>
      <c r="F2429" s="21">
        <v>0</v>
      </c>
      <c r="G2429" s="21">
        <v>282.52999999999997</v>
      </c>
      <c r="H2429" s="21">
        <v>9672.3799999999992</v>
      </c>
      <c r="I2429" s="21">
        <v>342.35</v>
      </c>
    </row>
    <row r="2430" spans="1:9" ht="15" customHeight="1" x14ac:dyDescent="0.3">
      <c r="A2430" s="21" t="s">
        <v>2750</v>
      </c>
      <c r="B2430" s="21">
        <v>2023</v>
      </c>
      <c r="C2430" s="21">
        <v>3</v>
      </c>
      <c r="D2430" s="21">
        <v>17</v>
      </c>
      <c r="E2430" s="21" t="s">
        <v>313</v>
      </c>
      <c r="F2430" s="21">
        <v>0</v>
      </c>
      <c r="G2430" s="21">
        <v>290.49</v>
      </c>
      <c r="H2430" s="21">
        <v>9944.7000000000007</v>
      </c>
      <c r="I2430" s="21">
        <v>342.34</v>
      </c>
    </row>
    <row r="2431" spans="1:9" ht="15" customHeight="1" x14ac:dyDescent="0.3">
      <c r="A2431" s="21" t="s">
        <v>2751</v>
      </c>
      <c r="B2431" s="21">
        <v>2023</v>
      </c>
      <c r="C2431" s="21">
        <v>3</v>
      </c>
      <c r="D2431" s="21">
        <v>18</v>
      </c>
      <c r="E2431" s="21" t="s">
        <v>316</v>
      </c>
      <c r="F2431" s="21">
        <v>1</v>
      </c>
      <c r="G2431" s="21">
        <v>246.14</v>
      </c>
      <c r="H2431" s="21">
        <v>8426.66</v>
      </c>
      <c r="I2431" s="21">
        <v>342.35</v>
      </c>
    </row>
    <row r="2432" spans="1:9" ht="15" customHeight="1" x14ac:dyDescent="0.3">
      <c r="A2432" s="21" t="s">
        <v>2752</v>
      </c>
      <c r="B2432" s="21">
        <v>2023</v>
      </c>
      <c r="C2432" s="21">
        <v>3</v>
      </c>
      <c r="D2432" s="21">
        <v>19</v>
      </c>
      <c r="E2432" s="21" t="s">
        <v>319</v>
      </c>
      <c r="F2432" s="21">
        <v>1</v>
      </c>
      <c r="G2432" s="21">
        <v>247.17</v>
      </c>
      <c r="H2432" s="21">
        <v>8461.7199999999993</v>
      </c>
      <c r="I2432" s="21">
        <v>342.34</v>
      </c>
    </row>
    <row r="2433" spans="1:9" ht="15" customHeight="1" x14ac:dyDescent="0.3">
      <c r="A2433" s="21" t="s">
        <v>2753</v>
      </c>
      <c r="B2433" s="21">
        <v>2023</v>
      </c>
      <c r="C2433" s="21">
        <v>3</v>
      </c>
      <c r="D2433" s="21">
        <v>20</v>
      </c>
      <c r="E2433" s="21" t="s">
        <v>299</v>
      </c>
      <c r="F2433" s="21">
        <v>0</v>
      </c>
      <c r="G2433" s="21">
        <v>291.3</v>
      </c>
      <c r="H2433" s="21">
        <v>9972.5499999999993</v>
      </c>
      <c r="I2433" s="21">
        <v>342.35</v>
      </c>
    </row>
    <row r="2434" spans="1:9" ht="15" customHeight="1" x14ac:dyDescent="0.3">
      <c r="A2434" s="21" t="s">
        <v>2754</v>
      </c>
      <c r="B2434" s="21">
        <v>2023</v>
      </c>
      <c r="C2434" s="21">
        <v>3</v>
      </c>
      <c r="D2434" s="21">
        <v>21</v>
      </c>
      <c r="E2434" s="21" t="s">
        <v>303</v>
      </c>
      <c r="F2434" s="21">
        <v>0</v>
      </c>
      <c r="G2434" s="21">
        <v>278.89</v>
      </c>
      <c r="H2434" s="21">
        <v>9547.85</v>
      </c>
      <c r="I2434" s="21">
        <v>342.35</v>
      </c>
    </row>
    <row r="2435" spans="1:9" ht="15" customHeight="1" x14ac:dyDescent="0.3">
      <c r="A2435" s="21" t="s">
        <v>2755</v>
      </c>
      <c r="B2435" s="21">
        <v>2023</v>
      </c>
      <c r="C2435" s="21">
        <v>3</v>
      </c>
      <c r="D2435" s="21">
        <v>22</v>
      </c>
      <c r="E2435" s="21" t="s">
        <v>307</v>
      </c>
      <c r="F2435" s="21">
        <v>0</v>
      </c>
      <c r="G2435" s="21">
        <v>266.43</v>
      </c>
      <c r="H2435" s="21">
        <v>9121.19</v>
      </c>
      <c r="I2435" s="21">
        <v>342.35</v>
      </c>
    </row>
    <row r="2436" spans="1:9" ht="15" customHeight="1" x14ac:dyDescent="0.3">
      <c r="A2436" s="21" t="s">
        <v>2756</v>
      </c>
      <c r="B2436" s="21">
        <v>2023</v>
      </c>
      <c r="C2436" s="21">
        <v>3</v>
      </c>
      <c r="D2436" s="21">
        <v>23</v>
      </c>
      <c r="E2436" s="21" t="s">
        <v>310</v>
      </c>
      <c r="F2436" s="21">
        <v>0</v>
      </c>
      <c r="G2436" s="21">
        <v>283.57</v>
      </c>
      <c r="H2436" s="21">
        <v>9707.82</v>
      </c>
      <c r="I2436" s="21">
        <v>342.34</v>
      </c>
    </row>
    <row r="2437" spans="1:9" ht="15" customHeight="1" x14ac:dyDescent="0.3">
      <c r="A2437" s="21" t="s">
        <v>2757</v>
      </c>
      <c r="B2437" s="21">
        <v>2023</v>
      </c>
      <c r="C2437" s="21">
        <v>3</v>
      </c>
      <c r="D2437" s="21">
        <v>24</v>
      </c>
      <c r="E2437" s="21" t="s">
        <v>313</v>
      </c>
      <c r="F2437" s="21">
        <v>0</v>
      </c>
      <c r="G2437" s="21">
        <v>306.39</v>
      </c>
      <c r="H2437" s="21">
        <v>10489.22</v>
      </c>
      <c r="I2437" s="21">
        <v>342.35</v>
      </c>
    </row>
    <row r="2438" spans="1:9" ht="15" customHeight="1" x14ac:dyDescent="0.3">
      <c r="A2438" s="21" t="s">
        <v>2758</v>
      </c>
      <c r="B2438" s="21">
        <v>2023</v>
      </c>
      <c r="C2438" s="21">
        <v>3</v>
      </c>
      <c r="D2438" s="21">
        <v>25</v>
      </c>
      <c r="E2438" s="21" t="s">
        <v>316</v>
      </c>
      <c r="F2438" s="21">
        <v>1</v>
      </c>
      <c r="G2438" s="21">
        <v>236.85</v>
      </c>
      <c r="H2438" s="21">
        <v>8108.44</v>
      </c>
      <c r="I2438" s="21">
        <v>342.34</v>
      </c>
    </row>
    <row r="2439" spans="1:9" ht="15" customHeight="1" x14ac:dyDescent="0.3">
      <c r="A2439" s="21" t="s">
        <v>2759</v>
      </c>
      <c r="B2439" s="21">
        <v>2023</v>
      </c>
      <c r="C2439" s="21">
        <v>3</v>
      </c>
      <c r="D2439" s="21">
        <v>26</v>
      </c>
      <c r="E2439" s="21" t="s">
        <v>319</v>
      </c>
      <c r="F2439" s="21">
        <v>1</v>
      </c>
      <c r="G2439" s="21">
        <v>246.79</v>
      </c>
      <c r="H2439" s="21">
        <v>8448.75</v>
      </c>
      <c r="I2439" s="21">
        <v>342.35</v>
      </c>
    </row>
    <row r="2440" spans="1:9" ht="15" customHeight="1" x14ac:dyDescent="0.3">
      <c r="A2440" s="21" t="s">
        <v>2760</v>
      </c>
      <c r="B2440" s="21">
        <v>2023</v>
      </c>
      <c r="C2440" s="21">
        <v>3</v>
      </c>
      <c r="D2440" s="21">
        <v>27</v>
      </c>
      <c r="E2440" s="21" t="s">
        <v>299</v>
      </c>
      <c r="F2440" s="21">
        <v>0</v>
      </c>
      <c r="G2440" s="21">
        <v>290.42</v>
      </c>
      <c r="H2440" s="21">
        <v>9942.52</v>
      </c>
      <c r="I2440" s="21">
        <v>342.35</v>
      </c>
    </row>
    <row r="2441" spans="1:9" ht="15" customHeight="1" x14ac:dyDescent="0.3">
      <c r="A2441" s="21" t="s">
        <v>2761</v>
      </c>
      <c r="B2441" s="21">
        <v>2023</v>
      </c>
      <c r="C2441" s="21">
        <v>3</v>
      </c>
      <c r="D2441" s="21">
        <v>28</v>
      </c>
      <c r="E2441" s="21" t="s">
        <v>303</v>
      </c>
      <c r="F2441" s="21">
        <v>0</v>
      </c>
      <c r="G2441" s="21">
        <v>283.99</v>
      </c>
      <c r="H2441" s="21">
        <v>9722.26</v>
      </c>
      <c r="I2441" s="21">
        <v>342.35</v>
      </c>
    </row>
    <row r="2442" spans="1:9" ht="15" customHeight="1" x14ac:dyDescent="0.3">
      <c r="A2442" s="21" t="s">
        <v>2762</v>
      </c>
      <c r="B2442" s="21">
        <v>2023</v>
      </c>
      <c r="C2442" s="21">
        <v>3</v>
      </c>
      <c r="D2442" s="21">
        <v>29</v>
      </c>
      <c r="E2442" s="21" t="s">
        <v>307</v>
      </c>
      <c r="F2442" s="21">
        <v>0</v>
      </c>
      <c r="G2442" s="21">
        <v>270.72000000000003</v>
      </c>
      <c r="H2442" s="21">
        <v>9267.8700000000008</v>
      </c>
      <c r="I2442" s="21">
        <v>342.34</v>
      </c>
    </row>
    <row r="2443" spans="1:9" ht="15" customHeight="1" x14ac:dyDescent="0.3">
      <c r="A2443" s="21" t="s">
        <v>2763</v>
      </c>
      <c r="B2443" s="21">
        <v>2023</v>
      </c>
      <c r="C2443" s="21">
        <v>3</v>
      </c>
      <c r="D2443" s="21">
        <v>30</v>
      </c>
      <c r="E2443" s="21" t="s">
        <v>310</v>
      </c>
      <c r="F2443" s="21">
        <v>0</v>
      </c>
      <c r="G2443" s="21">
        <v>320.92</v>
      </c>
      <c r="H2443" s="21">
        <v>10986.6</v>
      </c>
      <c r="I2443" s="21">
        <v>342.35</v>
      </c>
    </row>
    <row r="2444" spans="1:9" ht="15" customHeight="1" x14ac:dyDescent="0.3">
      <c r="A2444" s="21" t="s">
        <v>2764</v>
      </c>
      <c r="B2444" s="21">
        <v>2023</v>
      </c>
      <c r="C2444" s="21">
        <v>3</v>
      </c>
      <c r="D2444" s="21">
        <v>31</v>
      </c>
      <c r="E2444" s="21" t="s">
        <v>313</v>
      </c>
      <c r="F2444" s="21">
        <v>0</v>
      </c>
      <c r="G2444" s="21">
        <v>345.16</v>
      </c>
      <c r="H2444" s="21">
        <v>11816.41</v>
      </c>
      <c r="I2444" s="21">
        <v>342.35</v>
      </c>
    </row>
    <row r="2445" spans="1:9" ht="15" customHeight="1" x14ac:dyDescent="0.3">
      <c r="A2445" s="21" t="s">
        <v>178</v>
      </c>
      <c r="B2445" s="21">
        <v>2023</v>
      </c>
      <c r="C2445" s="21">
        <v>4</v>
      </c>
      <c r="D2445" s="21">
        <v>1</v>
      </c>
      <c r="E2445" s="21" t="s">
        <v>316</v>
      </c>
      <c r="F2445" s="21">
        <v>1</v>
      </c>
      <c r="G2445" s="21">
        <v>292.13</v>
      </c>
      <c r="H2445" s="21">
        <v>10115.469999999999</v>
      </c>
      <c r="I2445" s="21">
        <v>346.27</v>
      </c>
    </row>
    <row r="2446" spans="1:9" ht="15" customHeight="1" x14ac:dyDescent="0.3">
      <c r="A2446" s="21" t="s">
        <v>2765</v>
      </c>
      <c r="B2446" s="21">
        <v>2023</v>
      </c>
      <c r="C2446" s="21">
        <v>4</v>
      </c>
      <c r="D2446" s="21">
        <v>2</v>
      </c>
      <c r="E2446" s="21" t="s">
        <v>319</v>
      </c>
      <c r="F2446" s="21">
        <v>1</v>
      </c>
      <c r="G2446" s="21">
        <v>286.05</v>
      </c>
      <c r="H2446" s="21">
        <v>9904.7800000000007</v>
      </c>
      <c r="I2446" s="21">
        <v>346.26</v>
      </c>
    </row>
    <row r="2447" spans="1:9" ht="15" customHeight="1" x14ac:dyDescent="0.3">
      <c r="A2447" s="21" t="s">
        <v>2766</v>
      </c>
      <c r="B2447" s="21">
        <v>2023</v>
      </c>
      <c r="C2447" s="21">
        <v>4</v>
      </c>
      <c r="D2447" s="21">
        <v>3</v>
      </c>
      <c r="E2447" s="21" t="s">
        <v>299</v>
      </c>
      <c r="F2447" s="21">
        <v>0</v>
      </c>
      <c r="G2447" s="21">
        <v>310.16000000000003</v>
      </c>
      <c r="H2447" s="21">
        <v>10739.51</v>
      </c>
      <c r="I2447" s="21">
        <v>346.26</v>
      </c>
    </row>
    <row r="2448" spans="1:9" ht="15" customHeight="1" x14ac:dyDescent="0.3">
      <c r="A2448" s="21" t="s">
        <v>2767</v>
      </c>
      <c r="B2448" s="21">
        <v>2023</v>
      </c>
      <c r="C2448" s="21">
        <v>4</v>
      </c>
      <c r="D2448" s="21">
        <v>4</v>
      </c>
      <c r="E2448" s="21" t="s">
        <v>303</v>
      </c>
      <c r="F2448" s="21">
        <v>0</v>
      </c>
      <c r="G2448" s="21">
        <v>303.85000000000002</v>
      </c>
      <c r="H2448" s="21">
        <v>10521.09</v>
      </c>
      <c r="I2448" s="21">
        <v>346.26</v>
      </c>
    </row>
    <row r="2449" spans="1:9" ht="15" customHeight="1" x14ac:dyDescent="0.3">
      <c r="A2449" s="21" t="s">
        <v>2768</v>
      </c>
      <c r="B2449" s="21">
        <v>2023</v>
      </c>
      <c r="C2449" s="21">
        <v>4</v>
      </c>
      <c r="D2449" s="21">
        <v>5</v>
      </c>
      <c r="E2449" s="21" t="s">
        <v>307</v>
      </c>
      <c r="F2449" s="21">
        <v>0</v>
      </c>
      <c r="G2449" s="21">
        <v>292.61</v>
      </c>
      <c r="H2449" s="21">
        <v>10132.14</v>
      </c>
      <c r="I2449" s="21">
        <v>346.27</v>
      </c>
    </row>
    <row r="2450" spans="1:9" ht="15" customHeight="1" x14ac:dyDescent="0.3">
      <c r="A2450" s="21" t="s">
        <v>2769</v>
      </c>
      <c r="B2450" s="21">
        <v>2023</v>
      </c>
      <c r="C2450" s="21">
        <v>4</v>
      </c>
      <c r="D2450" s="21">
        <v>6</v>
      </c>
      <c r="E2450" s="21" t="s">
        <v>310</v>
      </c>
      <c r="F2450" s="21">
        <v>0</v>
      </c>
      <c r="G2450" s="21">
        <v>282.20999999999998</v>
      </c>
      <c r="H2450" s="21">
        <v>9771.84</v>
      </c>
      <c r="I2450" s="21">
        <v>346.26</v>
      </c>
    </row>
    <row r="2451" spans="1:9" ht="15" customHeight="1" x14ac:dyDescent="0.3">
      <c r="A2451" s="21" t="s">
        <v>2770</v>
      </c>
      <c r="B2451" s="21">
        <v>2023</v>
      </c>
      <c r="C2451" s="21">
        <v>4</v>
      </c>
      <c r="D2451" s="21">
        <v>7</v>
      </c>
      <c r="E2451" s="21" t="s">
        <v>313</v>
      </c>
      <c r="F2451" s="21">
        <v>0</v>
      </c>
      <c r="G2451" s="21">
        <v>335.78</v>
      </c>
      <c r="H2451" s="21">
        <v>11626.87</v>
      </c>
      <c r="I2451" s="21">
        <v>346.26</v>
      </c>
    </row>
    <row r="2452" spans="1:9" ht="15" customHeight="1" x14ac:dyDescent="0.3">
      <c r="A2452" s="21" t="s">
        <v>2771</v>
      </c>
      <c r="B2452" s="21">
        <v>2023</v>
      </c>
      <c r="C2452" s="21">
        <v>4</v>
      </c>
      <c r="D2452" s="21">
        <v>8</v>
      </c>
      <c r="E2452" s="21" t="s">
        <v>316</v>
      </c>
      <c r="F2452" s="21">
        <v>1</v>
      </c>
      <c r="G2452" s="21">
        <v>264.31</v>
      </c>
      <c r="H2452" s="21">
        <v>9152.15</v>
      </c>
      <c r="I2452" s="21">
        <v>346.27</v>
      </c>
    </row>
    <row r="2453" spans="1:9" ht="15" customHeight="1" x14ac:dyDescent="0.3">
      <c r="A2453" s="21" t="s">
        <v>2772</v>
      </c>
      <c r="B2453" s="21">
        <v>2023</v>
      </c>
      <c r="C2453" s="21">
        <v>4</v>
      </c>
      <c r="D2453" s="21">
        <v>9</v>
      </c>
      <c r="E2453" s="21" t="s">
        <v>319</v>
      </c>
      <c r="F2453" s="21">
        <v>1</v>
      </c>
      <c r="G2453" s="21">
        <v>240.53</v>
      </c>
      <c r="H2453" s="21">
        <v>8328.65</v>
      </c>
      <c r="I2453" s="21">
        <v>346.26</v>
      </c>
    </row>
    <row r="2454" spans="1:9" ht="15" customHeight="1" x14ac:dyDescent="0.3">
      <c r="A2454" s="21" t="s">
        <v>2773</v>
      </c>
      <c r="B2454" s="21">
        <v>2023</v>
      </c>
      <c r="C2454" s="21">
        <v>4</v>
      </c>
      <c r="D2454" s="21">
        <v>10</v>
      </c>
      <c r="E2454" s="21" t="s">
        <v>299</v>
      </c>
      <c r="F2454" s="21">
        <v>0</v>
      </c>
      <c r="G2454" s="21">
        <v>317.45999999999998</v>
      </c>
      <c r="H2454" s="21">
        <v>10992.43</v>
      </c>
      <c r="I2454" s="21">
        <v>346.26</v>
      </c>
    </row>
    <row r="2455" spans="1:9" ht="15" customHeight="1" x14ac:dyDescent="0.3">
      <c r="A2455" s="21" t="s">
        <v>2774</v>
      </c>
      <c r="B2455" s="21">
        <v>2023</v>
      </c>
      <c r="C2455" s="21">
        <v>4</v>
      </c>
      <c r="D2455" s="21">
        <v>11</v>
      </c>
      <c r="E2455" s="21" t="s">
        <v>303</v>
      </c>
      <c r="F2455" s="21">
        <v>0</v>
      </c>
      <c r="G2455" s="21">
        <v>292.02999999999997</v>
      </c>
      <c r="H2455" s="21">
        <v>10111.75</v>
      </c>
      <c r="I2455" s="21">
        <v>346.26</v>
      </c>
    </row>
    <row r="2456" spans="1:9" ht="15" customHeight="1" x14ac:dyDescent="0.3">
      <c r="A2456" s="21" t="s">
        <v>2775</v>
      </c>
      <c r="B2456" s="21">
        <v>2023</v>
      </c>
      <c r="C2456" s="21">
        <v>4</v>
      </c>
      <c r="D2456" s="21">
        <v>12</v>
      </c>
      <c r="E2456" s="21" t="s">
        <v>307</v>
      </c>
      <c r="F2456" s="21">
        <v>0</v>
      </c>
      <c r="G2456" s="21">
        <v>298.83999999999997</v>
      </c>
      <c r="H2456" s="21">
        <v>10347.82</v>
      </c>
      <c r="I2456" s="21">
        <v>346.27</v>
      </c>
    </row>
    <row r="2457" spans="1:9" ht="15" customHeight="1" x14ac:dyDescent="0.3">
      <c r="A2457" s="21" t="s">
        <v>2776</v>
      </c>
      <c r="B2457" s="21">
        <v>2023</v>
      </c>
      <c r="C2457" s="21">
        <v>4</v>
      </c>
      <c r="D2457" s="21">
        <v>13</v>
      </c>
      <c r="E2457" s="21" t="s">
        <v>310</v>
      </c>
      <c r="F2457" s="21">
        <v>0</v>
      </c>
      <c r="G2457" s="21">
        <v>299.12</v>
      </c>
      <c r="H2457" s="21">
        <v>10357.290000000001</v>
      </c>
      <c r="I2457" s="21">
        <v>346.26</v>
      </c>
    </row>
    <row r="2458" spans="1:9" ht="15" customHeight="1" x14ac:dyDescent="0.3">
      <c r="A2458" s="21" t="s">
        <v>2777</v>
      </c>
      <c r="B2458" s="21">
        <v>2023</v>
      </c>
      <c r="C2458" s="21">
        <v>4</v>
      </c>
      <c r="D2458" s="21">
        <v>14</v>
      </c>
      <c r="E2458" s="21" t="s">
        <v>313</v>
      </c>
      <c r="F2458" s="21">
        <v>0</v>
      </c>
      <c r="G2458" s="21">
        <v>318.13</v>
      </c>
      <c r="H2458" s="21">
        <v>11015.8</v>
      </c>
      <c r="I2458" s="21">
        <v>346.27</v>
      </c>
    </row>
    <row r="2459" spans="1:9" ht="15" customHeight="1" x14ac:dyDescent="0.3">
      <c r="A2459" s="21" t="s">
        <v>2778</v>
      </c>
      <c r="B2459" s="21">
        <v>2023</v>
      </c>
      <c r="C2459" s="21">
        <v>4</v>
      </c>
      <c r="D2459" s="21">
        <v>15</v>
      </c>
      <c r="E2459" s="21" t="s">
        <v>316</v>
      </c>
      <c r="F2459" s="21">
        <v>1</v>
      </c>
      <c r="G2459" s="21">
        <v>245.05</v>
      </c>
      <c r="H2459" s="21">
        <v>8485.27</v>
      </c>
      <c r="I2459" s="21">
        <v>346.27</v>
      </c>
    </row>
    <row r="2460" spans="1:9" ht="15" customHeight="1" x14ac:dyDescent="0.3">
      <c r="A2460" s="21" t="s">
        <v>2779</v>
      </c>
      <c r="B2460" s="21">
        <v>2023</v>
      </c>
      <c r="C2460" s="21">
        <v>4</v>
      </c>
      <c r="D2460" s="21">
        <v>16</v>
      </c>
      <c r="E2460" s="21" t="s">
        <v>319</v>
      </c>
      <c r="F2460" s="21">
        <v>1</v>
      </c>
      <c r="G2460" s="21">
        <v>245.88</v>
      </c>
      <c r="H2460" s="21">
        <v>8513.98</v>
      </c>
      <c r="I2460" s="21">
        <v>346.27</v>
      </c>
    </row>
    <row r="2461" spans="1:9" ht="15" customHeight="1" x14ac:dyDescent="0.3">
      <c r="A2461" s="21" t="s">
        <v>2780</v>
      </c>
      <c r="B2461" s="21">
        <v>2023</v>
      </c>
      <c r="C2461" s="21">
        <v>4</v>
      </c>
      <c r="D2461" s="21">
        <v>17</v>
      </c>
      <c r="E2461" s="21" t="s">
        <v>299</v>
      </c>
      <c r="F2461" s="21">
        <v>0</v>
      </c>
      <c r="G2461" s="21">
        <v>303.18</v>
      </c>
      <c r="H2461" s="21">
        <v>10497.81</v>
      </c>
      <c r="I2461" s="21">
        <v>346.26</v>
      </c>
    </row>
    <row r="2462" spans="1:9" ht="15" customHeight="1" x14ac:dyDescent="0.3">
      <c r="A2462" s="21" t="s">
        <v>2781</v>
      </c>
      <c r="B2462" s="21">
        <v>2023</v>
      </c>
      <c r="C2462" s="21">
        <v>4</v>
      </c>
      <c r="D2462" s="21">
        <v>18</v>
      </c>
      <c r="E2462" s="21" t="s">
        <v>303</v>
      </c>
      <c r="F2462" s="21">
        <v>0</v>
      </c>
      <c r="G2462" s="21">
        <v>289.10000000000002</v>
      </c>
      <c r="H2462" s="21">
        <v>10010.469999999999</v>
      </c>
      <c r="I2462" s="21">
        <v>346.26</v>
      </c>
    </row>
    <row r="2463" spans="1:9" ht="15" customHeight="1" x14ac:dyDescent="0.3">
      <c r="A2463" s="21" t="s">
        <v>2782</v>
      </c>
      <c r="B2463" s="21">
        <v>2023</v>
      </c>
      <c r="C2463" s="21">
        <v>4</v>
      </c>
      <c r="D2463" s="21">
        <v>19</v>
      </c>
      <c r="E2463" s="21" t="s">
        <v>307</v>
      </c>
      <c r="F2463" s="21">
        <v>0</v>
      </c>
      <c r="G2463" s="21">
        <v>295.89999999999998</v>
      </c>
      <c r="H2463" s="21">
        <v>10245.98</v>
      </c>
      <c r="I2463" s="21">
        <v>346.26</v>
      </c>
    </row>
    <row r="2464" spans="1:9" ht="15" customHeight="1" x14ac:dyDescent="0.3">
      <c r="A2464" s="21" t="s">
        <v>2783</v>
      </c>
      <c r="B2464" s="21">
        <v>2023</v>
      </c>
      <c r="C2464" s="21">
        <v>4</v>
      </c>
      <c r="D2464" s="21">
        <v>20</v>
      </c>
      <c r="E2464" s="21" t="s">
        <v>310</v>
      </c>
      <c r="F2464" s="21">
        <v>0</v>
      </c>
      <c r="G2464" s="21">
        <v>290.13</v>
      </c>
      <c r="H2464" s="21">
        <v>10046.209999999999</v>
      </c>
      <c r="I2464" s="21">
        <v>346.27</v>
      </c>
    </row>
    <row r="2465" spans="1:9" ht="15" customHeight="1" x14ac:dyDescent="0.3">
      <c r="A2465" s="21" t="s">
        <v>2784</v>
      </c>
      <c r="B2465" s="21">
        <v>2023</v>
      </c>
      <c r="C2465" s="21">
        <v>4</v>
      </c>
      <c r="D2465" s="21">
        <v>21</v>
      </c>
      <c r="E2465" s="21" t="s">
        <v>313</v>
      </c>
      <c r="F2465" s="21">
        <v>0</v>
      </c>
      <c r="G2465" s="21">
        <v>326.29000000000002</v>
      </c>
      <c r="H2465" s="21">
        <v>11298.07</v>
      </c>
      <c r="I2465" s="21">
        <v>346.26</v>
      </c>
    </row>
    <row r="2466" spans="1:9" ht="15" customHeight="1" x14ac:dyDescent="0.3">
      <c r="A2466" s="21" t="s">
        <v>2785</v>
      </c>
      <c r="B2466" s="21">
        <v>2023</v>
      </c>
      <c r="C2466" s="21">
        <v>4</v>
      </c>
      <c r="D2466" s="21">
        <v>22</v>
      </c>
      <c r="E2466" s="21" t="s">
        <v>316</v>
      </c>
      <c r="F2466" s="21">
        <v>1</v>
      </c>
      <c r="G2466" s="21">
        <v>265.25</v>
      </c>
      <c r="H2466" s="21">
        <v>9184.74</v>
      </c>
      <c r="I2466" s="21">
        <v>346.27</v>
      </c>
    </row>
    <row r="2467" spans="1:9" ht="15" customHeight="1" x14ac:dyDescent="0.3">
      <c r="A2467" s="21" t="s">
        <v>2786</v>
      </c>
      <c r="B2467" s="21">
        <v>2023</v>
      </c>
      <c r="C2467" s="21">
        <v>4</v>
      </c>
      <c r="D2467" s="21">
        <v>23</v>
      </c>
      <c r="E2467" s="21" t="s">
        <v>319</v>
      </c>
      <c r="F2467" s="21">
        <v>1</v>
      </c>
      <c r="G2467" s="21">
        <v>246.87</v>
      </c>
      <c r="H2467" s="21">
        <v>8548.01</v>
      </c>
      <c r="I2467" s="21">
        <v>346.26</v>
      </c>
    </row>
    <row r="2468" spans="1:9" ht="15" customHeight="1" x14ac:dyDescent="0.3">
      <c r="A2468" s="21" t="s">
        <v>2787</v>
      </c>
      <c r="B2468" s="21">
        <v>2023</v>
      </c>
      <c r="C2468" s="21">
        <v>4</v>
      </c>
      <c r="D2468" s="21">
        <v>24</v>
      </c>
      <c r="E2468" s="21" t="s">
        <v>299</v>
      </c>
      <c r="F2468" s="21">
        <v>0</v>
      </c>
      <c r="G2468" s="21">
        <v>313.45</v>
      </c>
      <c r="H2468" s="21">
        <v>10853.74</v>
      </c>
      <c r="I2468" s="21">
        <v>346.27</v>
      </c>
    </row>
    <row r="2469" spans="1:9" ht="15" customHeight="1" x14ac:dyDescent="0.3">
      <c r="A2469" s="21" t="s">
        <v>2788</v>
      </c>
      <c r="B2469" s="21">
        <v>2023</v>
      </c>
      <c r="C2469" s="21">
        <v>4</v>
      </c>
      <c r="D2469" s="21">
        <v>25</v>
      </c>
      <c r="E2469" s="21" t="s">
        <v>303</v>
      </c>
      <c r="F2469" s="21">
        <v>0</v>
      </c>
      <c r="G2469" s="21">
        <v>300.94</v>
      </c>
      <c r="H2469" s="21">
        <v>10420.57</v>
      </c>
      <c r="I2469" s="21">
        <v>346.27</v>
      </c>
    </row>
    <row r="2470" spans="1:9" ht="15" customHeight="1" x14ac:dyDescent="0.3">
      <c r="A2470" s="21" t="s">
        <v>2789</v>
      </c>
      <c r="B2470" s="21">
        <v>2023</v>
      </c>
      <c r="C2470" s="21">
        <v>4</v>
      </c>
      <c r="D2470" s="21">
        <v>26</v>
      </c>
      <c r="E2470" s="21" t="s">
        <v>307</v>
      </c>
      <c r="F2470" s="21">
        <v>0</v>
      </c>
      <c r="G2470" s="21">
        <v>300.7</v>
      </c>
      <c r="H2470" s="21">
        <v>10412.040000000001</v>
      </c>
      <c r="I2470" s="21">
        <v>346.26</v>
      </c>
    </row>
    <row r="2471" spans="1:9" ht="15" customHeight="1" x14ac:dyDescent="0.3">
      <c r="A2471" s="21" t="s">
        <v>2790</v>
      </c>
      <c r="B2471" s="21">
        <v>2023</v>
      </c>
      <c r="C2471" s="21">
        <v>4</v>
      </c>
      <c r="D2471" s="21">
        <v>27</v>
      </c>
      <c r="E2471" s="21" t="s">
        <v>310</v>
      </c>
      <c r="F2471" s="21">
        <v>0</v>
      </c>
      <c r="G2471" s="21">
        <v>297.18</v>
      </c>
      <c r="H2471" s="21">
        <v>10290.06</v>
      </c>
      <c r="I2471" s="21">
        <v>346.26</v>
      </c>
    </row>
    <row r="2472" spans="1:9" ht="15" customHeight="1" x14ac:dyDescent="0.3">
      <c r="A2472" s="21" t="s">
        <v>2791</v>
      </c>
      <c r="B2472" s="21">
        <v>2023</v>
      </c>
      <c r="C2472" s="21">
        <v>4</v>
      </c>
      <c r="D2472" s="21">
        <v>28</v>
      </c>
      <c r="E2472" s="21" t="s">
        <v>313</v>
      </c>
      <c r="F2472" s="21">
        <v>0</v>
      </c>
      <c r="G2472" s="21">
        <v>326.83</v>
      </c>
      <c r="H2472" s="21">
        <v>11316.75</v>
      </c>
      <c r="I2472" s="21">
        <v>346.26</v>
      </c>
    </row>
    <row r="2473" spans="1:9" ht="15" customHeight="1" x14ac:dyDescent="0.3">
      <c r="A2473" s="21" t="s">
        <v>2792</v>
      </c>
      <c r="B2473" s="21">
        <v>2023</v>
      </c>
      <c r="C2473" s="21">
        <v>4</v>
      </c>
      <c r="D2473" s="21">
        <v>29</v>
      </c>
      <c r="E2473" s="21" t="s">
        <v>316</v>
      </c>
      <c r="F2473" s="21">
        <v>1</v>
      </c>
      <c r="G2473" s="21">
        <v>294.76</v>
      </c>
      <c r="H2473" s="21">
        <v>10206.48</v>
      </c>
      <c r="I2473" s="21">
        <v>346.26</v>
      </c>
    </row>
    <row r="2474" spans="1:9" ht="15" customHeight="1" x14ac:dyDescent="0.3">
      <c r="A2474" s="21" t="s">
        <v>2793</v>
      </c>
      <c r="B2474" s="21">
        <v>2023</v>
      </c>
      <c r="C2474" s="21">
        <v>4</v>
      </c>
      <c r="D2474" s="21">
        <v>30</v>
      </c>
      <c r="E2474" s="21" t="s">
        <v>319</v>
      </c>
      <c r="F2474" s="21">
        <v>1</v>
      </c>
      <c r="G2474" s="21">
        <v>277.17</v>
      </c>
      <c r="H2474" s="21">
        <v>9597.2900000000009</v>
      </c>
      <c r="I2474" s="21">
        <v>346.26</v>
      </c>
    </row>
    <row r="2475" spans="1:9" ht="15" customHeight="1" x14ac:dyDescent="0.3">
      <c r="A2475" s="21" t="s">
        <v>179</v>
      </c>
      <c r="B2475" s="21">
        <v>2023</v>
      </c>
      <c r="C2475" s="21">
        <v>5</v>
      </c>
      <c r="D2475" s="21">
        <v>1</v>
      </c>
      <c r="E2475" s="21" t="s">
        <v>299</v>
      </c>
      <c r="F2475" s="21">
        <v>0</v>
      </c>
      <c r="G2475" s="21">
        <v>359.95</v>
      </c>
      <c r="H2475" s="21">
        <v>12528.55</v>
      </c>
      <c r="I2475" s="21">
        <v>348.06</v>
      </c>
    </row>
    <row r="2476" spans="1:9" ht="15" customHeight="1" x14ac:dyDescent="0.3">
      <c r="A2476" s="21" t="s">
        <v>2794</v>
      </c>
      <c r="B2476" s="21">
        <v>2023</v>
      </c>
      <c r="C2476" s="21">
        <v>5</v>
      </c>
      <c r="D2476" s="21">
        <v>2</v>
      </c>
      <c r="E2476" s="21" t="s">
        <v>303</v>
      </c>
      <c r="F2476" s="21">
        <v>0</v>
      </c>
      <c r="G2476" s="21">
        <v>343.41</v>
      </c>
      <c r="H2476" s="21">
        <v>11952.74</v>
      </c>
      <c r="I2476" s="21">
        <v>348.06</v>
      </c>
    </row>
    <row r="2477" spans="1:9" ht="15" customHeight="1" x14ac:dyDescent="0.3">
      <c r="A2477" s="21" t="s">
        <v>2795</v>
      </c>
      <c r="B2477" s="21">
        <v>2023</v>
      </c>
      <c r="C2477" s="21">
        <v>5</v>
      </c>
      <c r="D2477" s="21">
        <v>3</v>
      </c>
      <c r="E2477" s="21" t="s">
        <v>307</v>
      </c>
      <c r="F2477" s="21">
        <v>0</v>
      </c>
      <c r="G2477" s="21">
        <v>284.20999999999998</v>
      </c>
      <c r="H2477" s="21">
        <v>9892.36</v>
      </c>
      <c r="I2477" s="21">
        <v>348.07</v>
      </c>
    </row>
    <row r="2478" spans="1:9" ht="15" customHeight="1" x14ac:dyDescent="0.3">
      <c r="A2478" s="21" t="s">
        <v>2796</v>
      </c>
      <c r="B2478" s="21">
        <v>2023</v>
      </c>
      <c r="C2478" s="21">
        <v>5</v>
      </c>
      <c r="D2478" s="21">
        <v>4</v>
      </c>
      <c r="E2478" s="21" t="s">
        <v>310</v>
      </c>
      <c r="F2478" s="21">
        <v>0</v>
      </c>
      <c r="G2478" s="21">
        <v>291.2</v>
      </c>
      <c r="H2478" s="21">
        <v>10135.719999999999</v>
      </c>
      <c r="I2478" s="21">
        <v>348.07</v>
      </c>
    </row>
    <row r="2479" spans="1:9" ht="15" customHeight="1" x14ac:dyDescent="0.3">
      <c r="A2479" s="21" t="s">
        <v>2797</v>
      </c>
      <c r="B2479" s="21">
        <v>2023</v>
      </c>
      <c r="C2479" s="21">
        <v>5</v>
      </c>
      <c r="D2479" s="21">
        <v>5</v>
      </c>
      <c r="E2479" s="21" t="s">
        <v>313</v>
      </c>
      <c r="F2479" s="21">
        <v>0</v>
      </c>
      <c r="G2479" s="21">
        <v>320.10000000000002</v>
      </c>
      <c r="H2479" s="21">
        <v>11141.67</v>
      </c>
      <c r="I2479" s="21">
        <v>348.07</v>
      </c>
    </row>
    <row r="2480" spans="1:9" ht="15" customHeight="1" x14ac:dyDescent="0.3">
      <c r="A2480" s="21" t="s">
        <v>2798</v>
      </c>
      <c r="B2480" s="21">
        <v>2023</v>
      </c>
      <c r="C2480" s="21">
        <v>5</v>
      </c>
      <c r="D2480" s="21">
        <v>6</v>
      </c>
      <c r="E2480" s="21" t="s">
        <v>316</v>
      </c>
      <c r="F2480" s="21">
        <v>1</v>
      </c>
      <c r="G2480" s="21">
        <v>245.41</v>
      </c>
      <c r="H2480" s="21">
        <v>8541.99</v>
      </c>
      <c r="I2480" s="21">
        <v>348.07</v>
      </c>
    </row>
    <row r="2481" spans="1:9" ht="15" customHeight="1" x14ac:dyDescent="0.3">
      <c r="A2481" s="21" t="s">
        <v>2799</v>
      </c>
      <c r="B2481" s="21">
        <v>2023</v>
      </c>
      <c r="C2481" s="21">
        <v>5</v>
      </c>
      <c r="D2481" s="21">
        <v>7</v>
      </c>
      <c r="E2481" s="21" t="s">
        <v>319</v>
      </c>
      <c r="F2481" s="21">
        <v>1</v>
      </c>
      <c r="G2481" s="21">
        <v>256.60000000000002</v>
      </c>
      <c r="H2481" s="21">
        <v>8931.4599999999991</v>
      </c>
      <c r="I2481" s="21">
        <v>348.07</v>
      </c>
    </row>
    <row r="2482" spans="1:9" ht="15" customHeight="1" x14ac:dyDescent="0.3">
      <c r="A2482" s="21" t="s">
        <v>2800</v>
      </c>
      <c r="B2482" s="21">
        <v>2023</v>
      </c>
      <c r="C2482" s="21">
        <v>5</v>
      </c>
      <c r="D2482" s="21">
        <v>8</v>
      </c>
      <c r="E2482" s="21" t="s">
        <v>299</v>
      </c>
      <c r="F2482" s="21">
        <v>0</v>
      </c>
      <c r="G2482" s="21">
        <v>326.04000000000002</v>
      </c>
      <c r="H2482" s="21">
        <v>11348.37</v>
      </c>
      <c r="I2482" s="21">
        <v>348.07</v>
      </c>
    </row>
    <row r="2483" spans="1:9" ht="15" customHeight="1" x14ac:dyDescent="0.3">
      <c r="A2483" s="21" t="s">
        <v>2801</v>
      </c>
      <c r="B2483" s="21">
        <v>2023</v>
      </c>
      <c r="C2483" s="21">
        <v>5</v>
      </c>
      <c r="D2483" s="21">
        <v>9</v>
      </c>
      <c r="E2483" s="21" t="s">
        <v>303</v>
      </c>
      <c r="F2483" s="21">
        <v>0</v>
      </c>
      <c r="G2483" s="21">
        <v>284.01</v>
      </c>
      <c r="H2483" s="21">
        <v>9885.4699999999993</v>
      </c>
      <c r="I2483" s="21">
        <v>348.07</v>
      </c>
    </row>
    <row r="2484" spans="1:9" ht="15" customHeight="1" x14ac:dyDescent="0.3">
      <c r="A2484" s="21" t="s">
        <v>2802</v>
      </c>
      <c r="B2484" s="21">
        <v>2023</v>
      </c>
      <c r="C2484" s="21">
        <v>5</v>
      </c>
      <c r="D2484" s="21">
        <v>10</v>
      </c>
      <c r="E2484" s="21" t="s">
        <v>307</v>
      </c>
      <c r="F2484" s="21">
        <v>0</v>
      </c>
      <c r="G2484" s="21">
        <v>278.82</v>
      </c>
      <c r="H2484" s="21">
        <v>9704.73</v>
      </c>
      <c r="I2484" s="21">
        <v>348.06</v>
      </c>
    </row>
    <row r="2485" spans="1:9" ht="15" customHeight="1" x14ac:dyDescent="0.3">
      <c r="A2485" s="21" t="s">
        <v>2803</v>
      </c>
      <c r="B2485" s="21">
        <v>2023</v>
      </c>
      <c r="C2485" s="21">
        <v>5</v>
      </c>
      <c r="D2485" s="21">
        <v>11</v>
      </c>
      <c r="E2485" s="21" t="s">
        <v>310</v>
      </c>
      <c r="F2485" s="21">
        <v>0</v>
      </c>
      <c r="G2485" s="21">
        <v>293.52</v>
      </c>
      <c r="H2485" s="21">
        <v>10216.469999999999</v>
      </c>
      <c r="I2485" s="21">
        <v>348.07</v>
      </c>
    </row>
    <row r="2486" spans="1:9" ht="15" customHeight="1" x14ac:dyDescent="0.3">
      <c r="A2486" s="21" t="s">
        <v>2804</v>
      </c>
      <c r="B2486" s="21">
        <v>2023</v>
      </c>
      <c r="C2486" s="21">
        <v>5</v>
      </c>
      <c r="D2486" s="21">
        <v>12</v>
      </c>
      <c r="E2486" s="21" t="s">
        <v>313</v>
      </c>
      <c r="F2486" s="21">
        <v>0</v>
      </c>
      <c r="G2486" s="21">
        <v>320.44</v>
      </c>
      <c r="H2486" s="21">
        <v>11153.29</v>
      </c>
      <c r="I2486" s="21">
        <v>348.06</v>
      </c>
    </row>
    <row r="2487" spans="1:9" ht="15" customHeight="1" x14ac:dyDescent="0.3">
      <c r="A2487" s="21" t="s">
        <v>2805</v>
      </c>
      <c r="B2487" s="21">
        <v>2023</v>
      </c>
      <c r="C2487" s="21">
        <v>5</v>
      </c>
      <c r="D2487" s="21">
        <v>13</v>
      </c>
      <c r="E2487" s="21" t="s">
        <v>316</v>
      </c>
      <c r="F2487" s="21">
        <v>1</v>
      </c>
      <c r="G2487" s="21">
        <v>245.23</v>
      </c>
      <c r="H2487" s="21">
        <v>8535.44</v>
      </c>
      <c r="I2487" s="21">
        <v>348.06</v>
      </c>
    </row>
    <row r="2488" spans="1:9" ht="15" customHeight="1" x14ac:dyDescent="0.3">
      <c r="A2488" s="21" t="s">
        <v>2806</v>
      </c>
      <c r="B2488" s="21">
        <v>2023</v>
      </c>
      <c r="C2488" s="21">
        <v>5</v>
      </c>
      <c r="D2488" s="21">
        <v>14</v>
      </c>
      <c r="E2488" s="21" t="s">
        <v>319</v>
      </c>
      <c r="F2488" s="21">
        <v>1</v>
      </c>
      <c r="G2488" s="21">
        <v>259.92</v>
      </c>
      <c r="H2488" s="21">
        <v>9046.9599999999991</v>
      </c>
      <c r="I2488" s="21">
        <v>348.07</v>
      </c>
    </row>
    <row r="2489" spans="1:9" ht="15" customHeight="1" x14ac:dyDescent="0.3">
      <c r="A2489" s="21" t="s">
        <v>2807</v>
      </c>
      <c r="B2489" s="21">
        <v>2023</v>
      </c>
      <c r="C2489" s="21">
        <v>5</v>
      </c>
      <c r="D2489" s="21">
        <v>15</v>
      </c>
      <c r="E2489" s="21" t="s">
        <v>299</v>
      </c>
      <c r="F2489" s="21">
        <v>0</v>
      </c>
      <c r="G2489" s="21">
        <v>293.73</v>
      </c>
      <c r="H2489" s="21">
        <v>10223.83</v>
      </c>
      <c r="I2489" s="21">
        <v>348.07</v>
      </c>
    </row>
    <row r="2490" spans="1:9" ht="15" customHeight="1" x14ac:dyDescent="0.3">
      <c r="A2490" s="21" t="s">
        <v>2808</v>
      </c>
      <c r="B2490" s="21">
        <v>2023</v>
      </c>
      <c r="C2490" s="21">
        <v>5</v>
      </c>
      <c r="D2490" s="21">
        <v>16</v>
      </c>
      <c r="E2490" s="21" t="s">
        <v>303</v>
      </c>
      <c r="F2490" s="21">
        <v>0</v>
      </c>
      <c r="G2490" s="21">
        <v>296.92</v>
      </c>
      <c r="H2490" s="21">
        <v>10334.65</v>
      </c>
      <c r="I2490" s="21">
        <v>348.06</v>
      </c>
    </row>
    <row r="2491" spans="1:9" ht="15" customHeight="1" x14ac:dyDescent="0.3">
      <c r="A2491" s="21" t="s">
        <v>2809</v>
      </c>
      <c r="B2491" s="21">
        <v>2023</v>
      </c>
      <c r="C2491" s="21">
        <v>5</v>
      </c>
      <c r="D2491" s="21">
        <v>17</v>
      </c>
      <c r="E2491" s="21" t="s">
        <v>307</v>
      </c>
      <c r="F2491" s="21">
        <v>0</v>
      </c>
      <c r="G2491" s="21">
        <v>285.58</v>
      </c>
      <c r="H2491" s="21">
        <v>9940.18</v>
      </c>
      <c r="I2491" s="21">
        <v>348.07</v>
      </c>
    </row>
    <row r="2492" spans="1:9" ht="15" customHeight="1" x14ac:dyDescent="0.3">
      <c r="A2492" s="21" t="s">
        <v>2810</v>
      </c>
      <c r="B2492" s="21">
        <v>2023</v>
      </c>
      <c r="C2492" s="21">
        <v>5</v>
      </c>
      <c r="D2492" s="21">
        <v>18</v>
      </c>
      <c r="E2492" s="21" t="s">
        <v>310</v>
      </c>
      <c r="F2492" s="21">
        <v>0</v>
      </c>
      <c r="G2492" s="21">
        <v>305.87</v>
      </c>
      <c r="H2492" s="21">
        <v>10646.41</v>
      </c>
      <c r="I2492" s="21">
        <v>348.07</v>
      </c>
    </row>
    <row r="2493" spans="1:9" ht="15" customHeight="1" x14ac:dyDescent="0.3">
      <c r="A2493" s="21" t="s">
        <v>2811</v>
      </c>
      <c r="B2493" s="21">
        <v>2023</v>
      </c>
      <c r="C2493" s="21">
        <v>5</v>
      </c>
      <c r="D2493" s="21">
        <v>19</v>
      </c>
      <c r="E2493" s="21" t="s">
        <v>313</v>
      </c>
      <c r="F2493" s="21">
        <v>0</v>
      </c>
      <c r="G2493" s="21">
        <v>331.53</v>
      </c>
      <c r="H2493" s="21">
        <v>11539.31</v>
      </c>
      <c r="I2493" s="21">
        <v>348.06</v>
      </c>
    </row>
    <row r="2494" spans="1:9" ht="15" customHeight="1" x14ac:dyDescent="0.3">
      <c r="A2494" s="21" t="s">
        <v>2812</v>
      </c>
      <c r="B2494" s="21">
        <v>2023</v>
      </c>
      <c r="C2494" s="21">
        <v>5</v>
      </c>
      <c r="D2494" s="21">
        <v>20</v>
      </c>
      <c r="E2494" s="21" t="s">
        <v>316</v>
      </c>
      <c r="F2494" s="21">
        <v>1</v>
      </c>
      <c r="G2494" s="21">
        <v>240.55</v>
      </c>
      <c r="H2494" s="21">
        <v>8372.7099999999991</v>
      </c>
      <c r="I2494" s="21">
        <v>348.07</v>
      </c>
    </row>
    <row r="2495" spans="1:9" ht="15" customHeight="1" x14ac:dyDescent="0.3">
      <c r="A2495" s="21" t="s">
        <v>2813</v>
      </c>
      <c r="B2495" s="21">
        <v>2023</v>
      </c>
      <c r="C2495" s="21">
        <v>5</v>
      </c>
      <c r="D2495" s="21">
        <v>21</v>
      </c>
      <c r="E2495" s="21" t="s">
        <v>319</v>
      </c>
      <c r="F2495" s="21">
        <v>1</v>
      </c>
      <c r="G2495" s="21">
        <v>242.44</v>
      </c>
      <c r="H2495" s="21">
        <v>8438.65</v>
      </c>
      <c r="I2495" s="21">
        <v>348.07</v>
      </c>
    </row>
    <row r="2496" spans="1:9" ht="15" customHeight="1" x14ac:dyDescent="0.3">
      <c r="A2496" s="21" t="s">
        <v>2814</v>
      </c>
      <c r="B2496" s="21">
        <v>2023</v>
      </c>
      <c r="C2496" s="21">
        <v>5</v>
      </c>
      <c r="D2496" s="21">
        <v>22</v>
      </c>
      <c r="E2496" s="21" t="s">
        <v>299</v>
      </c>
      <c r="F2496" s="21">
        <v>0</v>
      </c>
      <c r="G2496" s="21">
        <v>312.92</v>
      </c>
      <c r="H2496" s="21">
        <v>10891.48</v>
      </c>
      <c r="I2496" s="21">
        <v>348.06</v>
      </c>
    </row>
    <row r="2497" spans="1:9" ht="15" customHeight="1" x14ac:dyDescent="0.3">
      <c r="A2497" s="21" t="s">
        <v>2815</v>
      </c>
      <c r="B2497" s="21">
        <v>2023</v>
      </c>
      <c r="C2497" s="21">
        <v>5</v>
      </c>
      <c r="D2497" s="21">
        <v>23</v>
      </c>
      <c r="E2497" s="21" t="s">
        <v>303</v>
      </c>
      <c r="F2497" s="21">
        <v>0</v>
      </c>
      <c r="G2497" s="21">
        <v>287.49</v>
      </c>
      <c r="H2497" s="21">
        <v>10006.61</v>
      </c>
      <c r="I2497" s="21">
        <v>348.07</v>
      </c>
    </row>
    <row r="2498" spans="1:9" ht="15" customHeight="1" x14ac:dyDescent="0.3">
      <c r="A2498" s="21" t="s">
        <v>2816</v>
      </c>
      <c r="B2498" s="21">
        <v>2023</v>
      </c>
      <c r="C2498" s="21">
        <v>5</v>
      </c>
      <c r="D2498" s="21">
        <v>24</v>
      </c>
      <c r="E2498" s="21" t="s">
        <v>307</v>
      </c>
      <c r="F2498" s="21">
        <v>0</v>
      </c>
      <c r="G2498" s="21">
        <v>290.47000000000003</v>
      </c>
      <c r="H2498" s="21">
        <v>10110.4</v>
      </c>
      <c r="I2498" s="21">
        <v>348.07</v>
      </c>
    </row>
    <row r="2499" spans="1:9" ht="15" customHeight="1" x14ac:dyDescent="0.3">
      <c r="A2499" s="21" t="s">
        <v>2817</v>
      </c>
      <c r="B2499" s="21">
        <v>2023</v>
      </c>
      <c r="C2499" s="21">
        <v>5</v>
      </c>
      <c r="D2499" s="21">
        <v>25</v>
      </c>
      <c r="E2499" s="21" t="s">
        <v>310</v>
      </c>
      <c r="F2499" s="21">
        <v>0</v>
      </c>
      <c r="G2499" s="21">
        <v>291.08999999999997</v>
      </c>
      <c r="H2499" s="21">
        <v>10131.9</v>
      </c>
      <c r="I2499" s="21">
        <v>348.07</v>
      </c>
    </row>
    <row r="2500" spans="1:9" ht="15" customHeight="1" x14ac:dyDescent="0.3">
      <c r="A2500" s="21" t="s">
        <v>2818</v>
      </c>
      <c r="B2500" s="21">
        <v>2023</v>
      </c>
      <c r="C2500" s="21">
        <v>5</v>
      </c>
      <c r="D2500" s="21">
        <v>26</v>
      </c>
      <c r="E2500" s="21" t="s">
        <v>313</v>
      </c>
      <c r="F2500" s="21">
        <v>0</v>
      </c>
      <c r="G2500" s="21">
        <v>297.39</v>
      </c>
      <c r="H2500" s="21">
        <v>10351.07</v>
      </c>
      <c r="I2500" s="21">
        <v>348.06</v>
      </c>
    </row>
    <row r="2501" spans="1:9" ht="15" customHeight="1" x14ac:dyDescent="0.3">
      <c r="A2501" s="21" t="s">
        <v>2819</v>
      </c>
      <c r="B2501" s="21">
        <v>2023</v>
      </c>
      <c r="C2501" s="21">
        <v>5</v>
      </c>
      <c r="D2501" s="21">
        <v>27</v>
      </c>
      <c r="E2501" s="21" t="s">
        <v>316</v>
      </c>
      <c r="F2501" s="21">
        <v>1</v>
      </c>
      <c r="G2501" s="21">
        <v>247.12</v>
      </c>
      <c r="H2501" s="21">
        <v>8601.36</v>
      </c>
      <c r="I2501" s="21">
        <v>348.06</v>
      </c>
    </row>
    <row r="2502" spans="1:9" ht="15" customHeight="1" x14ac:dyDescent="0.3">
      <c r="A2502" s="21" t="s">
        <v>2820</v>
      </c>
      <c r="B2502" s="21">
        <v>2023</v>
      </c>
      <c r="C2502" s="21">
        <v>5</v>
      </c>
      <c r="D2502" s="21">
        <v>28</v>
      </c>
      <c r="E2502" s="21" t="s">
        <v>319</v>
      </c>
      <c r="F2502" s="21">
        <v>1</v>
      </c>
      <c r="G2502" s="21">
        <v>241.22</v>
      </c>
      <c r="H2502" s="21">
        <v>8396.08</v>
      </c>
      <c r="I2502" s="21">
        <v>348.07</v>
      </c>
    </row>
    <row r="2503" spans="1:9" ht="15" customHeight="1" x14ac:dyDescent="0.3">
      <c r="A2503" s="21" t="s">
        <v>2821</v>
      </c>
      <c r="B2503" s="21">
        <v>2023</v>
      </c>
      <c r="C2503" s="21">
        <v>5</v>
      </c>
      <c r="D2503" s="21">
        <v>29</v>
      </c>
      <c r="E2503" s="21" t="s">
        <v>299</v>
      </c>
      <c r="F2503" s="21">
        <v>0</v>
      </c>
      <c r="G2503" s="21">
        <v>301.11</v>
      </c>
      <c r="H2503" s="21">
        <v>10480.629999999999</v>
      </c>
      <c r="I2503" s="21">
        <v>348.07</v>
      </c>
    </row>
    <row r="2504" spans="1:9" ht="15" customHeight="1" x14ac:dyDescent="0.3">
      <c r="A2504" s="21" t="s">
        <v>2822</v>
      </c>
      <c r="B2504" s="21">
        <v>2023</v>
      </c>
      <c r="C2504" s="21">
        <v>5</v>
      </c>
      <c r="D2504" s="21">
        <v>30</v>
      </c>
      <c r="E2504" s="21" t="s">
        <v>303</v>
      </c>
      <c r="F2504" s="21">
        <v>0</v>
      </c>
      <c r="G2504" s="21">
        <v>348.99</v>
      </c>
      <c r="H2504" s="21">
        <v>12147.06</v>
      </c>
      <c r="I2504" s="21">
        <v>348.06</v>
      </c>
    </row>
    <row r="2505" spans="1:9" ht="15" customHeight="1" x14ac:dyDescent="0.3">
      <c r="A2505" s="21" t="s">
        <v>2823</v>
      </c>
      <c r="B2505" s="21">
        <v>2023</v>
      </c>
      <c r="C2505" s="21">
        <v>5</v>
      </c>
      <c r="D2505" s="21">
        <v>31</v>
      </c>
      <c r="E2505" s="21" t="s">
        <v>307</v>
      </c>
      <c r="F2505" s="21">
        <v>0</v>
      </c>
      <c r="G2505" s="21">
        <v>321.89</v>
      </c>
      <c r="H2505" s="21">
        <v>11203.94</v>
      </c>
      <c r="I2505" s="21">
        <v>348.07</v>
      </c>
    </row>
    <row r="2506" spans="1:9" ht="15" customHeight="1" x14ac:dyDescent="0.3">
      <c r="A2506" s="21" t="s">
        <v>180</v>
      </c>
      <c r="B2506" s="21">
        <v>2023</v>
      </c>
      <c r="C2506" s="21">
        <v>6</v>
      </c>
      <c r="D2506" s="21">
        <v>1</v>
      </c>
      <c r="E2506" s="21" t="s">
        <v>310</v>
      </c>
      <c r="F2506" s="21">
        <v>0</v>
      </c>
      <c r="G2506" s="21">
        <v>366.57</v>
      </c>
      <c r="H2506" s="21">
        <v>12743.81</v>
      </c>
      <c r="I2506" s="21">
        <v>347.65</v>
      </c>
    </row>
    <row r="2507" spans="1:9" ht="15" customHeight="1" x14ac:dyDescent="0.3">
      <c r="A2507" s="21" t="s">
        <v>2824</v>
      </c>
      <c r="B2507" s="21">
        <v>2023</v>
      </c>
      <c r="C2507" s="21">
        <v>6</v>
      </c>
      <c r="D2507" s="21">
        <v>2</v>
      </c>
      <c r="E2507" s="21" t="s">
        <v>313</v>
      </c>
      <c r="F2507" s="21">
        <v>0</v>
      </c>
      <c r="G2507" s="21">
        <v>383.47</v>
      </c>
      <c r="H2507" s="21">
        <v>13331.43</v>
      </c>
      <c r="I2507" s="21">
        <v>347.65</v>
      </c>
    </row>
    <row r="2508" spans="1:9" ht="15" customHeight="1" x14ac:dyDescent="0.3">
      <c r="A2508" s="21" t="s">
        <v>2825</v>
      </c>
      <c r="B2508" s="21">
        <v>2023</v>
      </c>
      <c r="C2508" s="21">
        <v>6</v>
      </c>
      <c r="D2508" s="21">
        <v>3</v>
      </c>
      <c r="E2508" s="21" t="s">
        <v>316</v>
      </c>
      <c r="F2508" s="21">
        <v>1</v>
      </c>
      <c r="G2508" s="21">
        <v>261.88</v>
      </c>
      <c r="H2508" s="21">
        <v>9104.23</v>
      </c>
      <c r="I2508" s="21">
        <v>347.65</v>
      </c>
    </row>
    <row r="2509" spans="1:9" ht="15" customHeight="1" x14ac:dyDescent="0.3">
      <c r="A2509" s="21" t="s">
        <v>2826</v>
      </c>
      <c r="B2509" s="21">
        <v>2023</v>
      </c>
      <c r="C2509" s="21">
        <v>6</v>
      </c>
      <c r="D2509" s="21">
        <v>4</v>
      </c>
      <c r="E2509" s="21" t="s">
        <v>319</v>
      </c>
      <c r="F2509" s="21">
        <v>1</v>
      </c>
      <c r="G2509" s="21">
        <v>271.87</v>
      </c>
      <c r="H2509" s="21">
        <v>9451.52</v>
      </c>
      <c r="I2509" s="21">
        <v>347.65</v>
      </c>
    </row>
    <row r="2510" spans="1:9" ht="15" customHeight="1" x14ac:dyDescent="0.3">
      <c r="A2510" s="21" t="s">
        <v>2827</v>
      </c>
      <c r="B2510" s="21">
        <v>2023</v>
      </c>
      <c r="C2510" s="21">
        <v>6</v>
      </c>
      <c r="D2510" s="21">
        <v>5</v>
      </c>
      <c r="E2510" s="21" t="s">
        <v>299</v>
      </c>
      <c r="F2510" s="21">
        <v>0</v>
      </c>
      <c r="G2510" s="21">
        <v>329.9</v>
      </c>
      <c r="H2510" s="21">
        <v>11468.91</v>
      </c>
      <c r="I2510" s="21">
        <v>347.65</v>
      </c>
    </row>
    <row r="2511" spans="1:9" ht="15" customHeight="1" x14ac:dyDescent="0.3">
      <c r="A2511" s="21" t="s">
        <v>2828</v>
      </c>
      <c r="B2511" s="21">
        <v>2023</v>
      </c>
      <c r="C2511" s="21">
        <v>6</v>
      </c>
      <c r="D2511" s="21">
        <v>6</v>
      </c>
      <c r="E2511" s="21" t="s">
        <v>303</v>
      </c>
      <c r="F2511" s="21">
        <v>0</v>
      </c>
      <c r="G2511" s="21">
        <v>316.49</v>
      </c>
      <c r="H2511" s="21">
        <v>11002.85</v>
      </c>
      <c r="I2511" s="21">
        <v>347.65</v>
      </c>
    </row>
    <row r="2512" spans="1:9" ht="15" customHeight="1" x14ac:dyDescent="0.3">
      <c r="A2512" s="21" t="s">
        <v>2829</v>
      </c>
      <c r="B2512" s="21">
        <v>2023</v>
      </c>
      <c r="C2512" s="21">
        <v>6</v>
      </c>
      <c r="D2512" s="21">
        <v>7</v>
      </c>
      <c r="E2512" s="21" t="s">
        <v>307</v>
      </c>
      <c r="F2512" s="21">
        <v>0</v>
      </c>
      <c r="G2512" s="21">
        <v>320.2</v>
      </c>
      <c r="H2512" s="21">
        <v>11131.87</v>
      </c>
      <c r="I2512" s="21">
        <v>347.65</v>
      </c>
    </row>
    <row r="2513" spans="1:9" ht="15" customHeight="1" x14ac:dyDescent="0.3">
      <c r="A2513" s="21" t="s">
        <v>2830</v>
      </c>
      <c r="B2513" s="21">
        <v>2023</v>
      </c>
      <c r="C2513" s="21">
        <v>6</v>
      </c>
      <c r="D2513" s="21">
        <v>8</v>
      </c>
      <c r="E2513" s="21" t="s">
        <v>310</v>
      </c>
      <c r="F2513" s="21">
        <v>0</v>
      </c>
      <c r="G2513" s="21">
        <v>308.07</v>
      </c>
      <c r="H2513" s="21">
        <v>10710.15</v>
      </c>
      <c r="I2513" s="21">
        <v>347.65</v>
      </c>
    </row>
    <row r="2514" spans="1:9" ht="15" customHeight="1" x14ac:dyDescent="0.3">
      <c r="A2514" s="21" t="s">
        <v>2831</v>
      </c>
      <c r="B2514" s="21">
        <v>2023</v>
      </c>
      <c r="C2514" s="21">
        <v>6</v>
      </c>
      <c r="D2514" s="21">
        <v>9</v>
      </c>
      <c r="E2514" s="21" t="s">
        <v>313</v>
      </c>
      <c r="F2514" s="21">
        <v>0</v>
      </c>
      <c r="G2514" s="21">
        <v>330.34</v>
      </c>
      <c r="H2514" s="21">
        <v>11484.39</v>
      </c>
      <c r="I2514" s="21">
        <v>347.65</v>
      </c>
    </row>
    <row r="2515" spans="1:9" ht="15" customHeight="1" x14ac:dyDescent="0.3">
      <c r="A2515" s="21" t="s">
        <v>2832</v>
      </c>
      <c r="B2515" s="21">
        <v>2023</v>
      </c>
      <c r="C2515" s="21">
        <v>6</v>
      </c>
      <c r="D2515" s="21">
        <v>10</v>
      </c>
      <c r="E2515" s="21" t="s">
        <v>316</v>
      </c>
      <c r="F2515" s="21">
        <v>1</v>
      </c>
      <c r="G2515" s="21">
        <v>254.36</v>
      </c>
      <c r="H2515" s="21">
        <v>8842.85</v>
      </c>
      <c r="I2515" s="21">
        <v>347.65</v>
      </c>
    </row>
    <row r="2516" spans="1:9" ht="15" customHeight="1" x14ac:dyDescent="0.3">
      <c r="A2516" s="21" t="s">
        <v>2833</v>
      </c>
      <c r="B2516" s="21">
        <v>2023</v>
      </c>
      <c r="C2516" s="21">
        <v>6</v>
      </c>
      <c r="D2516" s="21">
        <v>11</v>
      </c>
      <c r="E2516" s="21" t="s">
        <v>319</v>
      </c>
      <c r="F2516" s="21">
        <v>1</v>
      </c>
      <c r="G2516" s="21">
        <v>256.79000000000002</v>
      </c>
      <c r="H2516" s="21">
        <v>8927.15</v>
      </c>
      <c r="I2516" s="21">
        <v>347.64</v>
      </c>
    </row>
    <row r="2517" spans="1:9" ht="15" customHeight="1" x14ac:dyDescent="0.3">
      <c r="A2517" s="21" t="s">
        <v>2834</v>
      </c>
      <c r="B2517" s="21">
        <v>2023</v>
      </c>
      <c r="C2517" s="21">
        <v>6</v>
      </c>
      <c r="D2517" s="21">
        <v>12</v>
      </c>
      <c r="E2517" s="21" t="s">
        <v>299</v>
      </c>
      <c r="F2517" s="21">
        <v>0</v>
      </c>
      <c r="G2517" s="21">
        <v>354.25</v>
      </c>
      <c r="H2517" s="21">
        <v>12315.62</v>
      </c>
      <c r="I2517" s="21">
        <v>347.65</v>
      </c>
    </row>
    <row r="2518" spans="1:9" ht="15" customHeight="1" x14ac:dyDescent="0.3">
      <c r="A2518" s="21" t="s">
        <v>2835</v>
      </c>
      <c r="B2518" s="21">
        <v>2023</v>
      </c>
      <c r="C2518" s="21">
        <v>6</v>
      </c>
      <c r="D2518" s="21">
        <v>13</v>
      </c>
      <c r="E2518" s="21" t="s">
        <v>303</v>
      </c>
      <c r="F2518" s="21">
        <v>0</v>
      </c>
      <c r="G2518" s="21">
        <v>322.79000000000002</v>
      </c>
      <c r="H2518" s="21">
        <v>11221.6</v>
      </c>
      <c r="I2518" s="21">
        <v>347.64</v>
      </c>
    </row>
    <row r="2519" spans="1:9" ht="15" customHeight="1" x14ac:dyDescent="0.3">
      <c r="A2519" s="21" t="s">
        <v>2836</v>
      </c>
      <c r="B2519" s="21">
        <v>2023</v>
      </c>
      <c r="C2519" s="21">
        <v>6</v>
      </c>
      <c r="D2519" s="21">
        <v>14</v>
      </c>
      <c r="E2519" s="21" t="s">
        <v>307</v>
      </c>
      <c r="F2519" s="21">
        <v>0</v>
      </c>
      <c r="G2519" s="21">
        <v>298.55</v>
      </c>
      <c r="H2519" s="21">
        <v>10379.200000000001</v>
      </c>
      <c r="I2519" s="21">
        <v>347.65</v>
      </c>
    </row>
    <row r="2520" spans="1:9" ht="15" customHeight="1" x14ac:dyDescent="0.3">
      <c r="A2520" s="21" t="s">
        <v>2837</v>
      </c>
      <c r="B2520" s="21">
        <v>2023</v>
      </c>
      <c r="C2520" s="21">
        <v>6</v>
      </c>
      <c r="D2520" s="21">
        <v>15</v>
      </c>
      <c r="E2520" s="21" t="s">
        <v>310</v>
      </c>
      <c r="F2520" s="21">
        <v>0</v>
      </c>
      <c r="G2520" s="21">
        <v>298.82</v>
      </c>
      <c r="H2520" s="21">
        <v>10388.49</v>
      </c>
      <c r="I2520" s="21">
        <v>347.65</v>
      </c>
    </row>
    <row r="2521" spans="1:9" ht="15" customHeight="1" x14ac:dyDescent="0.3">
      <c r="A2521" s="21" t="s">
        <v>2838</v>
      </c>
      <c r="B2521" s="21">
        <v>2023</v>
      </c>
      <c r="C2521" s="21">
        <v>6</v>
      </c>
      <c r="D2521" s="21">
        <v>16</v>
      </c>
      <c r="E2521" s="21" t="s">
        <v>313</v>
      </c>
      <c r="F2521" s="21">
        <v>0</v>
      </c>
      <c r="G2521" s="21">
        <v>340.56</v>
      </c>
      <c r="H2521" s="21">
        <v>11839.46</v>
      </c>
      <c r="I2521" s="21">
        <v>347.65</v>
      </c>
    </row>
    <row r="2522" spans="1:9" ht="15" customHeight="1" x14ac:dyDescent="0.3">
      <c r="A2522" s="21" t="s">
        <v>2839</v>
      </c>
      <c r="B2522" s="21">
        <v>2023</v>
      </c>
      <c r="C2522" s="21">
        <v>6</v>
      </c>
      <c r="D2522" s="21">
        <v>17</v>
      </c>
      <c r="E2522" s="21" t="s">
        <v>316</v>
      </c>
      <c r="F2522" s="21">
        <v>1</v>
      </c>
      <c r="G2522" s="21">
        <v>269.60000000000002</v>
      </c>
      <c r="H2522" s="21">
        <v>9372.6200000000008</v>
      </c>
      <c r="I2522" s="21">
        <v>347.65</v>
      </c>
    </row>
    <row r="2523" spans="1:9" ht="15" customHeight="1" x14ac:dyDescent="0.3">
      <c r="A2523" s="21" t="s">
        <v>2840</v>
      </c>
      <c r="B2523" s="21">
        <v>2023</v>
      </c>
      <c r="C2523" s="21">
        <v>6</v>
      </c>
      <c r="D2523" s="21">
        <v>18</v>
      </c>
      <c r="E2523" s="21" t="s">
        <v>319</v>
      </c>
      <c r="F2523" s="21">
        <v>1</v>
      </c>
      <c r="G2523" s="21">
        <v>269.62</v>
      </c>
      <c r="H2523" s="21">
        <v>9373.15</v>
      </c>
      <c r="I2523" s="21">
        <v>347.64</v>
      </c>
    </row>
    <row r="2524" spans="1:9" ht="15" customHeight="1" x14ac:dyDescent="0.3">
      <c r="A2524" s="21" t="s">
        <v>2841</v>
      </c>
      <c r="B2524" s="21">
        <v>2023</v>
      </c>
      <c r="C2524" s="21">
        <v>6</v>
      </c>
      <c r="D2524" s="21">
        <v>19</v>
      </c>
      <c r="E2524" s="21" t="s">
        <v>299</v>
      </c>
      <c r="F2524" s="21">
        <v>0</v>
      </c>
      <c r="G2524" s="21">
        <v>324.33999999999997</v>
      </c>
      <c r="H2524" s="21">
        <v>11275.81</v>
      </c>
      <c r="I2524" s="21">
        <v>347.65</v>
      </c>
    </row>
    <row r="2525" spans="1:9" ht="15" customHeight="1" x14ac:dyDescent="0.3">
      <c r="A2525" s="21" t="s">
        <v>2842</v>
      </c>
      <c r="B2525" s="21">
        <v>2023</v>
      </c>
      <c r="C2525" s="21">
        <v>6</v>
      </c>
      <c r="D2525" s="21">
        <v>20</v>
      </c>
      <c r="E2525" s="21" t="s">
        <v>303</v>
      </c>
      <c r="F2525" s="21">
        <v>0</v>
      </c>
      <c r="G2525" s="21">
        <v>310</v>
      </c>
      <c r="H2525" s="21">
        <v>10776.95</v>
      </c>
      <c r="I2525" s="21">
        <v>347.64</v>
      </c>
    </row>
    <row r="2526" spans="1:9" ht="15" customHeight="1" x14ac:dyDescent="0.3">
      <c r="A2526" s="21" t="s">
        <v>2843</v>
      </c>
      <c r="B2526" s="21">
        <v>2023</v>
      </c>
      <c r="C2526" s="21">
        <v>6</v>
      </c>
      <c r="D2526" s="21">
        <v>21</v>
      </c>
      <c r="E2526" s="21" t="s">
        <v>307</v>
      </c>
      <c r="F2526" s="21">
        <v>0</v>
      </c>
      <c r="G2526" s="21">
        <v>314.23</v>
      </c>
      <c r="H2526" s="21">
        <v>10924.07</v>
      </c>
      <c r="I2526" s="21">
        <v>347.65</v>
      </c>
    </row>
    <row r="2527" spans="1:9" ht="15" customHeight="1" x14ac:dyDescent="0.3">
      <c r="A2527" s="21" t="s">
        <v>2844</v>
      </c>
      <c r="B2527" s="21">
        <v>2023</v>
      </c>
      <c r="C2527" s="21">
        <v>6</v>
      </c>
      <c r="D2527" s="21">
        <v>22</v>
      </c>
      <c r="E2527" s="21" t="s">
        <v>310</v>
      </c>
      <c r="F2527" s="21">
        <v>0</v>
      </c>
      <c r="G2527" s="21">
        <v>311.97000000000003</v>
      </c>
      <c r="H2527" s="21">
        <v>10845.54</v>
      </c>
      <c r="I2527" s="21">
        <v>347.65</v>
      </c>
    </row>
    <row r="2528" spans="1:9" ht="15" customHeight="1" x14ac:dyDescent="0.3">
      <c r="A2528" s="21" t="s">
        <v>2845</v>
      </c>
      <c r="B2528" s="21">
        <v>2023</v>
      </c>
      <c r="C2528" s="21">
        <v>6</v>
      </c>
      <c r="D2528" s="21">
        <v>23</v>
      </c>
      <c r="E2528" s="21" t="s">
        <v>313</v>
      </c>
      <c r="F2528" s="21">
        <v>0</v>
      </c>
      <c r="G2528" s="21">
        <v>315.33999999999997</v>
      </c>
      <c r="H2528" s="21">
        <v>10962.85</v>
      </c>
      <c r="I2528" s="21">
        <v>347.65</v>
      </c>
    </row>
    <row r="2529" spans="1:9" ht="15" customHeight="1" x14ac:dyDescent="0.3">
      <c r="A2529" s="21" t="s">
        <v>2846</v>
      </c>
      <c r="B2529" s="21">
        <v>2023</v>
      </c>
      <c r="C2529" s="21">
        <v>6</v>
      </c>
      <c r="D2529" s="21">
        <v>24</v>
      </c>
      <c r="E2529" s="21" t="s">
        <v>316</v>
      </c>
      <c r="F2529" s="21">
        <v>1</v>
      </c>
      <c r="G2529" s="21">
        <v>262.35000000000002</v>
      </c>
      <c r="H2529" s="21">
        <v>9120.44</v>
      </c>
      <c r="I2529" s="21">
        <v>347.64</v>
      </c>
    </row>
    <row r="2530" spans="1:9" ht="15" customHeight="1" x14ac:dyDescent="0.3">
      <c r="A2530" s="21" t="s">
        <v>2847</v>
      </c>
      <c r="B2530" s="21">
        <v>2023</v>
      </c>
      <c r="C2530" s="21">
        <v>6</v>
      </c>
      <c r="D2530" s="21">
        <v>25</v>
      </c>
      <c r="E2530" s="21" t="s">
        <v>319</v>
      </c>
      <c r="F2530" s="21">
        <v>1</v>
      </c>
      <c r="G2530" s="21">
        <v>256.54000000000002</v>
      </c>
      <c r="H2530" s="21">
        <v>8918.7099999999991</v>
      </c>
      <c r="I2530" s="21">
        <v>347.65</v>
      </c>
    </row>
    <row r="2531" spans="1:9" ht="15" customHeight="1" x14ac:dyDescent="0.3">
      <c r="A2531" s="21" t="s">
        <v>2848</v>
      </c>
      <c r="B2531" s="21">
        <v>2023</v>
      </c>
      <c r="C2531" s="21">
        <v>6</v>
      </c>
      <c r="D2531" s="21">
        <v>26</v>
      </c>
      <c r="E2531" s="21" t="s">
        <v>299</v>
      </c>
      <c r="F2531" s="21">
        <v>0</v>
      </c>
      <c r="G2531" s="21">
        <v>328.36</v>
      </c>
      <c r="H2531" s="21">
        <v>11415.41</v>
      </c>
      <c r="I2531" s="21">
        <v>347.65</v>
      </c>
    </row>
    <row r="2532" spans="1:9" ht="15" customHeight="1" x14ac:dyDescent="0.3">
      <c r="A2532" s="21" t="s">
        <v>2849</v>
      </c>
      <c r="B2532" s="21">
        <v>2023</v>
      </c>
      <c r="C2532" s="21">
        <v>6</v>
      </c>
      <c r="D2532" s="21">
        <v>27</v>
      </c>
      <c r="E2532" s="21" t="s">
        <v>303</v>
      </c>
      <c r="F2532" s="21">
        <v>0</v>
      </c>
      <c r="G2532" s="21">
        <v>339.03</v>
      </c>
      <c r="H2532" s="21">
        <v>11786.47</v>
      </c>
      <c r="I2532" s="21">
        <v>347.65</v>
      </c>
    </row>
    <row r="2533" spans="1:9" ht="15" customHeight="1" x14ac:dyDescent="0.3">
      <c r="A2533" s="21" t="s">
        <v>2850</v>
      </c>
      <c r="B2533" s="21">
        <v>2023</v>
      </c>
      <c r="C2533" s="21">
        <v>6</v>
      </c>
      <c r="D2533" s="21">
        <v>28</v>
      </c>
      <c r="E2533" s="21" t="s">
        <v>307</v>
      </c>
      <c r="F2533" s="21">
        <v>0</v>
      </c>
      <c r="G2533" s="21">
        <v>314.60000000000002</v>
      </c>
      <c r="H2533" s="21">
        <v>10936.93</v>
      </c>
      <c r="I2533" s="21">
        <v>347.65</v>
      </c>
    </row>
    <row r="2534" spans="1:9" ht="15" customHeight="1" x14ac:dyDescent="0.3">
      <c r="A2534" s="21" t="s">
        <v>2851</v>
      </c>
      <c r="B2534" s="21">
        <v>2023</v>
      </c>
      <c r="C2534" s="21">
        <v>6</v>
      </c>
      <c r="D2534" s="21">
        <v>29</v>
      </c>
      <c r="E2534" s="21" t="s">
        <v>310</v>
      </c>
      <c r="F2534" s="21">
        <v>0</v>
      </c>
      <c r="G2534" s="21">
        <v>354.48</v>
      </c>
      <c r="H2534" s="21">
        <v>12323.3</v>
      </c>
      <c r="I2534" s="21">
        <v>347.64</v>
      </c>
    </row>
    <row r="2535" spans="1:9" ht="15" customHeight="1" x14ac:dyDescent="0.3">
      <c r="A2535" s="21" t="s">
        <v>2852</v>
      </c>
      <c r="B2535" s="21">
        <v>2023</v>
      </c>
      <c r="C2535" s="21">
        <v>6</v>
      </c>
      <c r="D2535" s="21">
        <v>30</v>
      </c>
      <c r="E2535" s="21" t="s">
        <v>313</v>
      </c>
      <c r="F2535" s="21">
        <v>0</v>
      </c>
      <c r="G2535" s="21">
        <v>396.36</v>
      </c>
      <c r="H2535" s="21">
        <v>13779.57</v>
      </c>
      <c r="I2535" s="21">
        <v>347.65</v>
      </c>
    </row>
    <row r="2536" spans="1:9" ht="15" customHeight="1" x14ac:dyDescent="0.3">
      <c r="A2536" s="21" t="s">
        <v>181</v>
      </c>
      <c r="B2536" s="21">
        <v>2023</v>
      </c>
      <c r="C2536" s="21">
        <v>7</v>
      </c>
      <c r="D2536" s="21">
        <v>1</v>
      </c>
      <c r="E2536" s="21" t="s">
        <v>316</v>
      </c>
      <c r="F2536" s="21">
        <v>1</v>
      </c>
      <c r="G2536" s="21">
        <v>319.54000000000002</v>
      </c>
      <c r="H2536" s="21">
        <v>10903.61</v>
      </c>
      <c r="I2536" s="21">
        <v>341.23</v>
      </c>
    </row>
    <row r="2537" spans="1:9" ht="15" customHeight="1" x14ac:dyDescent="0.3">
      <c r="A2537" s="21" t="s">
        <v>2853</v>
      </c>
      <c r="B2537" s="21">
        <v>2023</v>
      </c>
      <c r="C2537" s="21">
        <v>7</v>
      </c>
      <c r="D2537" s="21">
        <v>2</v>
      </c>
      <c r="E2537" s="21" t="s">
        <v>319</v>
      </c>
      <c r="F2537" s="21">
        <v>1</v>
      </c>
      <c r="G2537" s="21">
        <v>318.85000000000002</v>
      </c>
      <c r="H2537" s="21">
        <v>10879.93</v>
      </c>
      <c r="I2537" s="21">
        <v>341.22</v>
      </c>
    </row>
    <row r="2538" spans="1:9" ht="15" customHeight="1" x14ac:dyDescent="0.3">
      <c r="A2538" s="21" t="s">
        <v>2854</v>
      </c>
      <c r="B2538" s="21">
        <v>2023</v>
      </c>
      <c r="C2538" s="21">
        <v>7</v>
      </c>
      <c r="D2538" s="21">
        <v>3</v>
      </c>
      <c r="E2538" s="21" t="s">
        <v>299</v>
      </c>
      <c r="F2538" s="21">
        <v>0</v>
      </c>
      <c r="G2538" s="21">
        <v>343.34</v>
      </c>
      <c r="H2538" s="21">
        <v>11715.8</v>
      </c>
      <c r="I2538" s="21">
        <v>341.23</v>
      </c>
    </row>
    <row r="2539" spans="1:9" ht="15" customHeight="1" x14ac:dyDescent="0.3">
      <c r="A2539" s="21" t="s">
        <v>2855</v>
      </c>
      <c r="B2539" s="21">
        <v>2023</v>
      </c>
      <c r="C2539" s="21">
        <v>7</v>
      </c>
      <c r="D2539" s="21">
        <v>4</v>
      </c>
      <c r="E2539" s="21" t="s">
        <v>303</v>
      </c>
      <c r="F2539" s="21">
        <v>0</v>
      </c>
      <c r="G2539" s="21">
        <v>341.25</v>
      </c>
      <c r="H2539" s="21">
        <v>11644.41</v>
      </c>
      <c r="I2539" s="21">
        <v>341.23</v>
      </c>
    </row>
    <row r="2540" spans="1:9" ht="15" customHeight="1" x14ac:dyDescent="0.3">
      <c r="A2540" s="21" t="s">
        <v>2856</v>
      </c>
      <c r="B2540" s="21">
        <v>2023</v>
      </c>
      <c r="C2540" s="21">
        <v>7</v>
      </c>
      <c r="D2540" s="21">
        <v>5</v>
      </c>
      <c r="E2540" s="21" t="s">
        <v>307</v>
      </c>
      <c r="F2540" s="21">
        <v>0</v>
      </c>
      <c r="G2540" s="21">
        <v>310.51</v>
      </c>
      <c r="H2540" s="21">
        <v>10595.64</v>
      </c>
      <c r="I2540" s="21">
        <v>341.23</v>
      </c>
    </row>
    <row r="2541" spans="1:9" ht="15" customHeight="1" x14ac:dyDescent="0.3">
      <c r="A2541" s="21" t="s">
        <v>2857</v>
      </c>
      <c r="B2541" s="21">
        <v>2023</v>
      </c>
      <c r="C2541" s="21">
        <v>7</v>
      </c>
      <c r="D2541" s="21">
        <v>6</v>
      </c>
      <c r="E2541" s="21" t="s">
        <v>310</v>
      </c>
      <c r="F2541" s="21">
        <v>0</v>
      </c>
      <c r="G2541" s="21">
        <v>325.99</v>
      </c>
      <c r="H2541" s="21">
        <v>11123.58</v>
      </c>
      <c r="I2541" s="21">
        <v>341.22</v>
      </c>
    </row>
    <row r="2542" spans="1:9" ht="15" customHeight="1" x14ac:dyDescent="0.3">
      <c r="A2542" s="21" t="s">
        <v>2858</v>
      </c>
      <c r="B2542" s="21">
        <v>2023</v>
      </c>
      <c r="C2542" s="21">
        <v>7</v>
      </c>
      <c r="D2542" s="21">
        <v>7</v>
      </c>
      <c r="E2542" s="21" t="s">
        <v>313</v>
      </c>
      <c r="F2542" s="21">
        <v>0</v>
      </c>
      <c r="G2542" s="21">
        <v>338.2</v>
      </c>
      <c r="H2542" s="21">
        <v>11540.35</v>
      </c>
      <c r="I2542" s="21">
        <v>341.23</v>
      </c>
    </row>
    <row r="2543" spans="1:9" ht="15" customHeight="1" x14ac:dyDescent="0.3">
      <c r="A2543" s="21" t="s">
        <v>2859</v>
      </c>
      <c r="B2543" s="21">
        <v>2023</v>
      </c>
      <c r="C2543" s="21">
        <v>7</v>
      </c>
      <c r="D2543" s="21">
        <v>8</v>
      </c>
      <c r="E2543" s="21" t="s">
        <v>316</v>
      </c>
      <c r="F2543" s="21">
        <v>1</v>
      </c>
      <c r="G2543" s="21">
        <v>278.56</v>
      </c>
      <c r="H2543" s="21">
        <v>9505.36</v>
      </c>
      <c r="I2543" s="21">
        <v>341.23</v>
      </c>
    </row>
    <row r="2544" spans="1:9" ht="15" customHeight="1" x14ac:dyDescent="0.3">
      <c r="A2544" s="21" t="s">
        <v>2860</v>
      </c>
      <c r="B2544" s="21">
        <v>2023</v>
      </c>
      <c r="C2544" s="21">
        <v>7</v>
      </c>
      <c r="D2544" s="21">
        <v>9</v>
      </c>
      <c r="E2544" s="21" t="s">
        <v>319</v>
      </c>
      <c r="F2544" s="21">
        <v>1</v>
      </c>
      <c r="G2544" s="21">
        <v>264.35000000000002</v>
      </c>
      <c r="H2544" s="21">
        <v>9020.2999999999993</v>
      </c>
      <c r="I2544" s="21">
        <v>341.23</v>
      </c>
    </row>
    <row r="2545" spans="1:9" ht="15" customHeight="1" x14ac:dyDescent="0.3">
      <c r="A2545" s="21" t="s">
        <v>2861</v>
      </c>
      <c r="B2545" s="21">
        <v>2023</v>
      </c>
      <c r="C2545" s="21">
        <v>7</v>
      </c>
      <c r="D2545" s="21">
        <v>10</v>
      </c>
      <c r="E2545" s="21" t="s">
        <v>299</v>
      </c>
      <c r="F2545" s="21">
        <v>0</v>
      </c>
      <c r="G2545" s="21">
        <v>333.47</v>
      </c>
      <c r="H2545" s="21">
        <v>11378.8</v>
      </c>
      <c r="I2545" s="21">
        <v>341.22</v>
      </c>
    </row>
    <row r="2546" spans="1:9" ht="15" customHeight="1" x14ac:dyDescent="0.3">
      <c r="A2546" s="21" t="s">
        <v>2862</v>
      </c>
      <c r="B2546" s="21">
        <v>2023</v>
      </c>
      <c r="C2546" s="21">
        <v>7</v>
      </c>
      <c r="D2546" s="21">
        <v>11</v>
      </c>
      <c r="E2546" s="21" t="s">
        <v>303</v>
      </c>
      <c r="F2546" s="21">
        <v>0</v>
      </c>
      <c r="G2546" s="21">
        <v>318.57</v>
      </c>
      <c r="H2546" s="21">
        <v>10870.65</v>
      </c>
      <c r="I2546" s="21">
        <v>341.23</v>
      </c>
    </row>
    <row r="2547" spans="1:9" ht="15" customHeight="1" x14ac:dyDescent="0.3">
      <c r="A2547" s="21" t="s">
        <v>2863</v>
      </c>
      <c r="B2547" s="21">
        <v>2023</v>
      </c>
      <c r="C2547" s="21">
        <v>7</v>
      </c>
      <c r="D2547" s="21">
        <v>12</v>
      </c>
      <c r="E2547" s="21" t="s">
        <v>307</v>
      </c>
      <c r="F2547" s="21">
        <v>0</v>
      </c>
      <c r="G2547" s="21">
        <v>330.83</v>
      </c>
      <c r="H2547" s="21">
        <v>11288.82</v>
      </c>
      <c r="I2547" s="21">
        <v>341.23</v>
      </c>
    </row>
    <row r="2548" spans="1:9" ht="15" customHeight="1" x14ac:dyDescent="0.3">
      <c r="A2548" s="21" t="s">
        <v>2864</v>
      </c>
      <c r="B2548" s="21">
        <v>2023</v>
      </c>
      <c r="C2548" s="21">
        <v>7</v>
      </c>
      <c r="D2548" s="21">
        <v>13</v>
      </c>
      <c r="E2548" s="21" t="s">
        <v>310</v>
      </c>
      <c r="F2548" s="21">
        <v>0</v>
      </c>
      <c r="G2548" s="21">
        <v>330.28</v>
      </c>
      <c r="H2548" s="21">
        <v>11269.94</v>
      </c>
      <c r="I2548" s="21">
        <v>341.22</v>
      </c>
    </row>
    <row r="2549" spans="1:9" ht="15" customHeight="1" x14ac:dyDescent="0.3">
      <c r="A2549" s="21" t="s">
        <v>2865</v>
      </c>
      <c r="B2549" s="21">
        <v>2023</v>
      </c>
      <c r="C2549" s="21">
        <v>7</v>
      </c>
      <c r="D2549" s="21">
        <v>14</v>
      </c>
      <c r="E2549" s="21" t="s">
        <v>313</v>
      </c>
      <c r="F2549" s="21">
        <v>0</v>
      </c>
      <c r="G2549" s="21">
        <v>335.12</v>
      </c>
      <c r="H2549" s="21">
        <v>11435.28</v>
      </c>
      <c r="I2549" s="21">
        <v>341.23</v>
      </c>
    </row>
    <row r="2550" spans="1:9" ht="15" customHeight="1" x14ac:dyDescent="0.3">
      <c r="A2550" s="21" t="s">
        <v>2866</v>
      </c>
      <c r="B2550" s="21">
        <v>2023</v>
      </c>
      <c r="C2550" s="21">
        <v>7</v>
      </c>
      <c r="D2550" s="21">
        <v>15</v>
      </c>
      <c r="E2550" s="21" t="s">
        <v>316</v>
      </c>
      <c r="F2550" s="21">
        <v>1</v>
      </c>
      <c r="G2550" s="21">
        <v>273.74</v>
      </c>
      <c r="H2550" s="21">
        <v>9340.66</v>
      </c>
      <c r="I2550" s="21">
        <v>341.22</v>
      </c>
    </row>
    <row r="2551" spans="1:9" ht="15" customHeight="1" x14ac:dyDescent="0.3">
      <c r="A2551" s="21" t="s">
        <v>2867</v>
      </c>
      <c r="B2551" s="21">
        <v>2023</v>
      </c>
      <c r="C2551" s="21">
        <v>7</v>
      </c>
      <c r="D2551" s="21">
        <v>16</v>
      </c>
      <c r="E2551" s="21" t="s">
        <v>319</v>
      </c>
      <c r="F2551" s="21">
        <v>1</v>
      </c>
      <c r="G2551" s="21">
        <v>266.36</v>
      </c>
      <c r="H2551" s="21">
        <v>9089.11</v>
      </c>
      <c r="I2551" s="21">
        <v>341.23</v>
      </c>
    </row>
    <row r="2552" spans="1:9" ht="15" customHeight="1" x14ac:dyDescent="0.3">
      <c r="A2552" s="21" t="s">
        <v>2868</v>
      </c>
      <c r="B2552" s="21">
        <v>2023</v>
      </c>
      <c r="C2552" s="21">
        <v>7</v>
      </c>
      <c r="D2552" s="21">
        <v>17</v>
      </c>
      <c r="E2552" s="21" t="s">
        <v>299</v>
      </c>
      <c r="F2552" s="21">
        <v>0</v>
      </c>
      <c r="G2552" s="21">
        <v>325.36</v>
      </c>
      <c r="H2552" s="21">
        <v>11102.04</v>
      </c>
      <c r="I2552" s="21">
        <v>341.22</v>
      </c>
    </row>
    <row r="2553" spans="1:9" ht="15" customHeight="1" x14ac:dyDescent="0.3">
      <c r="A2553" s="21" t="s">
        <v>2869</v>
      </c>
      <c r="B2553" s="21">
        <v>2023</v>
      </c>
      <c r="C2553" s="21">
        <v>7</v>
      </c>
      <c r="D2553" s="21">
        <v>18</v>
      </c>
      <c r="E2553" s="21" t="s">
        <v>303</v>
      </c>
      <c r="F2553" s="21">
        <v>0</v>
      </c>
      <c r="G2553" s="21">
        <v>319.33</v>
      </c>
      <c r="H2553" s="21">
        <v>10896.34</v>
      </c>
      <c r="I2553" s="21">
        <v>341.23</v>
      </c>
    </row>
    <row r="2554" spans="1:9" ht="15" customHeight="1" x14ac:dyDescent="0.3">
      <c r="A2554" s="21" t="s">
        <v>2870</v>
      </c>
      <c r="B2554" s="21">
        <v>2023</v>
      </c>
      <c r="C2554" s="21">
        <v>7</v>
      </c>
      <c r="D2554" s="21">
        <v>19</v>
      </c>
      <c r="E2554" s="21" t="s">
        <v>307</v>
      </c>
      <c r="F2554" s="21">
        <v>0</v>
      </c>
      <c r="G2554" s="21">
        <v>318.44</v>
      </c>
      <c r="H2554" s="21">
        <v>10866.24</v>
      </c>
      <c r="I2554" s="21">
        <v>341.23</v>
      </c>
    </row>
    <row r="2555" spans="1:9" ht="15" customHeight="1" x14ac:dyDescent="0.3">
      <c r="A2555" s="21" t="s">
        <v>2871</v>
      </c>
      <c r="B2555" s="21">
        <v>2023</v>
      </c>
      <c r="C2555" s="21">
        <v>7</v>
      </c>
      <c r="D2555" s="21">
        <v>20</v>
      </c>
      <c r="E2555" s="21" t="s">
        <v>310</v>
      </c>
      <c r="F2555" s="21">
        <v>0</v>
      </c>
      <c r="G2555" s="21">
        <v>344.82</v>
      </c>
      <c r="H2555" s="21">
        <v>11766.21</v>
      </c>
      <c r="I2555" s="21">
        <v>341.23</v>
      </c>
    </row>
    <row r="2556" spans="1:9" ht="15" customHeight="1" x14ac:dyDescent="0.3">
      <c r="A2556" s="21" t="s">
        <v>2872</v>
      </c>
      <c r="B2556" s="21">
        <v>2023</v>
      </c>
      <c r="C2556" s="21">
        <v>7</v>
      </c>
      <c r="D2556" s="21">
        <v>21</v>
      </c>
      <c r="E2556" s="21" t="s">
        <v>313</v>
      </c>
      <c r="F2556" s="21">
        <v>0</v>
      </c>
      <c r="G2556" s="21">
        <v>351.31</v>
      </c>
      <c r="H2556" s="21">
        <v>11987.62</v>
      </c>
      <c r="I2556" s="21">
        <v>341.23</v>
      </c>
    </row>
    <row r="2557" spans="1:9" ht="15" customHeight="1" x14ac:dyDescent="0.3">
      <c r="A2557" s="21" t="s">
        <v>2873</v>
      </c>
      <c r="B2557" s="21">
        <v>2023</v>
      </c>
      <c r="C2557" s="21">
        <v>7</v>
      </c>
      <c r="D2557" s="21">
        <v>22</v>
      </c>
      <c r="E2557" s="21" t="s">
        <v>316</v>
      </c>
      <c r="F2557" s="21">
        <v>1</v>
      </c>
      <c r="G2557" s="21">
        <v>259.92</v>
      </c>
      <c r="H2557" s="21">
        <v>8869.2999999999993</v>
      </c>
      <c r="I2557" s="21">
        <v>341.23</v>
      </c>
    </row>
    <row r="2558" spans="1:9" ht="15" customHeight="1" x14ac:dyDescent="0.3">
      <c r="A2558" s="21" t="s">
        <v>2874</v>
      </c>
      <c r="B2558" s="21">
        <v>2023</v>
      </c>
      <c r="C2558" s="21">
        <v>7</v>
      </c>
      <c r="D2558" s="21">
        <v>23</v>
      </c>
      <c r="E2558" s="21" t="s">
        <v>319</v>
      </c>
      <c r="F2558" s="21">
        <v>1</v>
      </c>
      <c r="G2558" s="21">
        <v>267.76</v>
      </c>
      <c r="H2558" s="21">
        <v>9136.75</v>
      </c>
      <c r="I2558" s="21">
        <v>341.23</v>
      </c>
    </row>
    <row r="2559" spans="1:9" ht="15" customHeight="1" x14ac:dyDescent="0.3">
      <c r="A2559" s="21" t="s">
        <v>2875</v>
      </c>
      <c r="B2559" s="21">
        <v>2023</v>
      </c>
      <c r="C2559" s="21">
        <v>7</v>
      </c>
      <c r="D2559" s="21">
        <v>24</v>
      </c>
      <c r="E2559" s="21" t="s">
        <v>299</v>
      </c>
      <c r="F2559" s="21">
        <v>0</v>
      </c>
      <c r="G2559" s="21">
        <v>347.34</v>
      </c>
      <c r="H2559" s="21">
        <v>11852.2</v>
      </c>
      <c r="I2559" s="21">
        <v>341.23</v>
      </c>
    </row>
    <row r="2560" spans="1:9" ht="15" customHeight="1" x14ac:dyDescent="0.3">
      <c r="A2560" s="21" t="s">
        <v>2876</v>
      </c>
      <c r="B2560" s="21">
        <v>2023</v>
      </c>
      <c r="C2560" s="21">
        <v>7</v>
      </c>
      <c r="D2560" s="21">
        <v>25</v>
      </c>
      <c r="E2560" s="21" t="s">
        <v>303</v>
      </c>
      <c r="F2560" s="21">
        <v>0</v>
      </c>
      <c r="G2560" s="21">
        <v>341.56</v>
      </c>
      <c r="H2560" s="21">
        <v>11654.91</v>
      </c>
      <c r="I2560" s="21">
        <v>341.23</v>
      </c>
    </row>
    <row r="2561" spans="1:9" ht="15" customHeight="1" x14ac:dyDescent="0.3">
      <c r="A2561" s="21" t="s">
        <v>2877</v>
      </c>
      <c r="B2561" s="21">
        <v>2023</v>
      </c>
      <c r="C2561" s="21">
        <v>7</v>
      </c>
      <c r="D2561" s="21">
        <v>26</v>
      </c>
      <c r="E2561" s="21" t="s">
        <v>307</v>
      </c>
      <c r="F2561" s="21">
        <v>0</v>
      </c>
      <c r="G2561" s="21">
        <v>306.13</v>
      </c>
      <c r="H2561" s="21">
        <v>10445.9</v>
      </c>
      <c r="I2561" s="21">
        <v>341.22</v>
      </c>
    </row>
    <row r="2562" spans="1:9" ht="15" customHeight="1" x14ac:dyDescent="0.3">
      <c r="A2562" s="21" t="s">
        <v>2878</v>
      </c>
      <c r="B2562" s="21">
        <v>2023</v>
      </c>
      <c r="C2562" s="21">
        <v>7</v>
      </c>
      <c r="D2562" s="21">
        <v>27</v>
      </c>
      <c r="E2562" s="21" t="s">
        <v>310</v>
      </c>
      <c r="F2562" s="21">
        <v>0</v>
      </c>
      <c r="G2562" s="21">
        <v>303.29000000000002</v>
      </c>
      <c r="H2562" s="21">
        <v>10349.19</v>
      </c>
      <c r="I2562" s="21">
        <v>341.23</v>
      </c>
    </row>
    <row r="2563" spans="1:9" ht="15" customHeight="1" x14ac:dyDescent="0.3">
      <c r="A2563" s="21" t="s">
        <v>2879</v>
      </c>
      <c r="B2563" s="21">
        <v>2023</v>
      </c>
      <c r="C2563" s="21">
        <v>7</v>
      </c>
      <c r="D2563" s="21">
        <v>28</v>
      </c>
      <c r="E2563" s="21" t="s">
        <v>313</v>
      </c>
      <c r="F2563" s="21">
        <v>0</v>
      </c>
      <c r="G2563" s="21">
        <v>365.17</v>
      </c>
      <c r="H2563" s="21">
        <v>12460.77</v>
      </c>
      <c r="I2563" s="21">
        <v>341.23</v>
      </c>
    </row>
    <row r="2564" spans="1:9" ht="15" customHeight="1" x14ac:dyDescent="0.3">
      <c r="A2564" s="21" t="s">
        <v>2880</v>
      </c>
      <c r="B2564" s="21">
        <v>2023</v>
      </c>
      <c r="C2564" s="21">
        <v>7</v>
      </c>
      <c r="D2564" s="21">
        <v>29</v>
      </c>
      <c r="E2564" s="21" t="s">
        <v>316</v>
      </c>
      <c r="F2564" s="21">
        <v>1</v>
      </c>
      <c r="G2564" s="21">
        <v>276.95999999999998</v>
      </c>
      <c r="H2564" s="21">
        <v>9450.7800000000007</v>
      </c>
      <c r="I2564" s="21">
        <v>341.23</v>
      </c>
    </row>
    <row r="2565" spans="1:9" ht="15" customHeight="1" x14ac:dyDescent="0.3">
      <c r="A2565" s="21" t="s">
        <v>2881</v>
      </c>
      <c r="B2565" s="21">
        <v>2023</v>
      </c>
      <c r="C2565" s="21">
        <v>7</v>
      </c>
      <c r="D2565" s="21">
        <v>30</v>
      </c>
      <c r="E2565" s="21" t="s">
        <v>319</v>
      </c>
      <c r="F2565" s="21">
        <v>1</v>
      </c>
      <c r="G2565" s="21">
        <v>304.56</v>
      </c>
      <c r="H2565" s="21">
        <v>10392.42</v>
      </c>
      <c r="I2565" s="21">
        <v>341.23</v>
      </c>
    </row>
    <row r="2566" spans="1:9" ht="15" customHeight="1" x14ac:dyDescent="0.3">
      <c r="A2566" s="21" t="s">
        <v>2882</v>
      </c>
      <c r="B2566" s="21">
        <v>2023</v>
      </c>
      <c r="C2566" s="21">
        <v>7</v>
      </c>
      <c r="D2566" s="21">
        <v>31</v>
      </c>
      <c r="E2566" s="21" t="s">
        <v>299</v>
      </c>
      <c r="F2566" s="21">
        <v>0</v>
      </c>
      <c r="G2566" s="21">
        <v>394.04</v>
      </c>
      <c r="H2566" s="21">
        <v>13445.85</v>
      </c>
      <c r="I2566" s="21">
        <v>341.23</v>
      </c>
    </row>
    <row r="2567" spans="1:9" ht="15" customHeight="1" x14ac:dyDescent="0.3">
      <c r="A2567" s="21" t="s">
        <v>182</v>
      </c>
      <c r="B2567" s="21">
        <v>2023</v>
      </c>
      <c r="C2567" s="21">
        <v>8</v>
      </c>
      <c r="D2567" s="21">
        <v>1</v>
      </c>
      <c r="E2567" s="21" t="s">
        <v>303</v>
      </c>
      <c r="F2567" s="21">
        <v>0</v>
      </c>
      <c r="G2567" s="21">
        <v>361.59</v>
      </c>
      <c r="H2567" s="21">
        <v>12391.42</v>
      </c>
      <c r="I2567" s="21">
        <v>342.69</v>
      </c>
    </row>
    <row r="2568" spans="1:9" ht="15" customHeight="1" x14ac:dyDescent="0.3">
      <c r="A2568" s="21" t="s">
        <v>2883</v>
      </c>
      <c r="B2568" s="21">
        <v>2023</v>
      </c>
      <c r="C2568" s="21">
        <v>8</v>
      </c>
      <c r="D2568" s="21">
        <v>2</v>
      </c>
      <c r="E2568" s="21" t="s">
        <v>307</v>
      </c>
      <c r="F2568" s="21">
        <v>0</v>
      </c>
      <c r="G2568" s="21">
        <v>392.67</v>
      </c>
      <c r="H2568" s="21">
        <v>13456.73</v>
      </c>
      <c r="I2568" s="21">
        <v>342.7</v>
      </c>
    </row>
    <row r="2569" spans="1:9" ht="15" customHeight="1" x14ac:dyDescent="0.3">
      <c r="A2569" s="21" t="s">
        <v>2884</v>
      </c>
      <c r="B2569" s="21">
        <v>2023</v>
      </c>
      <c r="C2569" s="21">
        <v>8</v>
      </c>
      <c r="D2569" s="21">
        <v>3</v>
      </c>
      <c r="E2569" s="21" t="s">
        <v>310</v>
      </c>
      <c r="F2569" s="21">
        <v>0</v>
      </c>
      <c r="G2569" s="21">
        <v>344.78</v>
      </c>
      <c r="H2569" s="21">
        <v>11815.39</v>
      </c>
      <c r="I2569" s="21">
        <v>342.69</v>
      </c>
    </row>
    <row r="2570" spans="1:9" ht="15" customHeight="1" x14ac:dyDescent="0.3">
      <c r="A2570" s="21" t="s">
        <v>2885</v>
      </c>
      <c r="B2570" s="21">
        <v>2023</v>
      </c>
      <c r="C2570" s="21">
        <v>8</v>
      </c>
      <c r="D2570" s="21">
        <v>4</v>
      </c>
      <c r="E2570" s="21" t="s">
        <v>313</v>
      </c>
      <c r="F2570" s="21">
        <v>0</v>
      </c>
      <c r="G2570" s="21">
        <v>378.2</v>
      </c>
      <c r="H2570" s="21">
        <v>12960.78</v>
      </c>
      <c r="I2570" s="21">
        <v>342.7</v>
      </c>
    </row>
    <row r="2571" spans="1:9" ht="15" customHeight="1" x14ac:dyDescent="0.3">
      <c r="A2571" s="21" t="s">
        <v>2886</v>
      </c>
      <c r="B2571" s="21">
        <v>2023</v>
      </c>
      <c r="C2571" s="21">
        <v>8</v>
      </c>
      <c r="D2571" s="21">
        <v>5</v>
      </c>
      <c r="E2571" s="21" t="s">
        <v>316</v>
      </c>
      <c r="F2571" s="21">
        <v>1</v>
      </c>
      <c r="G2571" s="21">
        <v>279.82</v>
      </c>
      <c r="H2571" s="21">
        <v>9589.39</v>
      </c>
      <c r="I2571" s="21">
        <v>342.7</v>
      </c>
    </row>
    <row r="2572" spans="1:9" ht="15" customHeight="1" x14ac:dyDescent="0.3">
      <c r="A2572" s="21" t="s">
        <v>2887</v>
      </c>
      <c r="B2572" s="21">
        <v>2023</v>
      </c>
      <c r="C2572" s="21">
        <v>8</v>
      </c>
      <c r="D2572" s="21">
        <v>6</v>
      </c>
      <c r="E2572" s="21" t="s">
        <v>319</v>
      </c>
      <c r="F2572" s="21">
        <v>1</v>
      </c>
      <c r="G2572" s="21">
        <v>291.08</v>
      </c>
      <c r="H2572" s="21">
        <v>9975.35</v>
      </c>
      <c r="I2572" s="21">
        <v>342.7</v>
      </c>
    </row>
    <row r="2573" spans="1:9" ht="15" customHeight="1" x14ac:dyDescent="0.3">
      <c r="A2573" s="21" t="s">
        <v>2888</v>
      </c>
      <c r="B2573" s="21">
        <v>2023</v>
      </c>
      <c r="C2573" s="21">
        <v>8</v>
      </c>
      <c r="D2573" s="21">
        <v>7</v>
      </c>
      <c r="E2573" s="21" t="s">
        <v>299</v>
      </c>
      <c r="F2573" s="21">
        <v>0</v>
      </c>
      <c r="G2573" s="21">
        <v>349.01</v>
      </c>
      <c r="H2573" s="21">
        <v>11960.51</v>
      </c>
      <c r="I2573" s="21">
        <v>342.7</v>
      </c>
    </row>
    <row r="2574" spans="1:9" ht="15" customHeight="1" x14ac:dyDescent="0.3">
      <c r="A2574" s="21" t="s">
        <v>2889</v>
      </c>
      <c r="B2574" s="21">
        <v>2023</v>
      </c>
      <c r="C2574" s="21">
        <v>8</v>
      </c>
      <c r="D2574" s="21">
        <v>8</v>
      </c>
      <c r="E2574" s="21" t="s">
        <v>303</v>
      </c>
      <c r="F2574" s="21">
        <v>0</v>
      </c>
      <c r="G2574" s="21">
        <v>344.04</v>
      </c>
      <c r="H2574" s="21">
        <v>11789.96</v>
      </c>
      <c r="I2574" s="21">
        <v>342.69</v>
      </c>
    </row>
    <row r="2575" spans="1:9" ht="15" customHeight="1" x14ac:dyDescent="0.3">
      <c r="A2575" s="21" t="s">
        <v>2890</v>
      </c>
      <c r="B2575" s="21">
        <v>2023</v>
      </c>
      <c r="C2575" s="21">
        <v>8</v>
      </c>
      <c r="D2575" s="21">
        <v>9</v>
      </c>
      <c r="E2575" s="21" t="s">
        <v>307</v>
      </c>
      <c r="F2575" s="21">
        <v>0</v>
      </c>
      <c r="G2575" s="21">
        <v>332.25</v>
      </c>
      <c r="H2575" s="21">
        <v>11386.05</v>
      </c>
      <c r="I2575" s="21">
        <v>342.7</v>
      </c>
    </row>
    <row r="2576" spans="1:9" ht="15" customHeight="1" x14ac:dyDescent="0.3">
      <c r="A2576" s="21" t="s">
        <v>2891</v>
      </c>
      <c r="B2576" s="21">
        <v>2023</v>
      </c>
      <c r="C2576" s="21">
        <v>8</v>
      </c>
      <c r="D2576" s="21">
        <v>10</v>
      </c>
      <c r="E2576" s="21" t="s">
        <v>310</v>
      </c>
      <c r="F2576" s="21">
        <v>0</v>
      </c>
      <c r="G2576" s="21">
        <v>337.24</v>
      </c>
      <c r="H2576" s="21">
        <v>11557.08</v>
      </c>
      <c r="I2576" s="21">
        <v>342.7</v>
      </c>
    </row>
    <row r="2577" spans="1:9" ht="15" customHeight="1" x14ac:dyDescent="0.3">
      <c r="A2577" s="21" t="s">
        <v>2892</v>
      </c>
      <c r="B2577" s="21">
        <v>2023</v>
      </c>
      <c r="C2577" s="21">
        <v>8</v>
      </c>
      <c r="D2577" s="21">
        <v>11</v>
      </c>
      <c r="E2577" s="21" t="s">
        <v>313</v>
      </c>
      <c r="F2577" s="21">
        <v>0</v>
      </c>
      <c r="G2577" s="21">
        <v>358.53</v>
      </c>
      <c r="H2577" s="21">
        <v>12286.81</v>
      </c>
      <c r="I2577" s="21">
        <v>342.7</v>
      </c>
    </row>
    <row r="2578" spans="1:9" ht="15" customHeight="1" x14ac:dyDescent="0.3">
      <c r="A2578" s="21" t="s">
        <v>2893</v>
      </c>
      <c r="B2578" s="21">
        <v>2023</v>
      </c>
      <c r="C2578" s="21">
        <v>8</v>
      </c>
      <c r="D2578" s="21">
        <v>12</v>
      </c>
      <c r="E2578" s="21" t="s">
        <v>316</v>
      </c>
      <c r="F2578" s="21">
        <v>1</v>
      </c>
      <c r="G2578" s="21">
        <v>296.88</v>
      </c>
      <c r="H2578" s="21">
        <v>10173.83</v>
      </c>
      <c r="I2578" s="21">
        <v>342.69</v>
      </c>
    </row>
    <row r="2579" spans="1:9" ht="15" customHeight="1" x14ac:dyDescent="0.3">
      <c r="A2579" s="21" t="s">
        <v>2894</v>
      </c>
      <c r="B2579" s="21">
        <v>2023</v>
      </c>
      <c r="C2579" s="21">
        <v>8</v>
      </c>
      <c r="D2579" s="21">
        <v>13</v>
      </c>
      <c r="E2579" s="21" t="s">
        <v>319</v>
      </c>
      <c r="F2579" s="21">
        <v>1</v>
      </c>
      <c r="G2579" s="21">
        <v>299</v>
      </c>
      <c r="H2579" s="21">
        <v>10246.6</v>
      </c>
      <c r="I2579" s="21">
        <v>342.7</v>
      </c>
    </row>
    <row r="2580" spans="1:9" ht="15" customHeight="1" x14ac:dyDescent="0.3">
      <c r="A2580" s="21" t="s">
        <v>2895</v>
      </c>
      <c r="B2580" s="21">
        <v>2023</v>
      </c>
      <c r="C2580" s="21">
        <v>8</v>
      </c>
      <c r="D2580" s="21">
        <v>14</v>
      </c>
      <c r="E2580" s="21" t="s">
        <v>299</v>
      </c>
      <c r="F2580" s="21">
        <v>0</v>
      </c>
      <c r="G2580" s="21">
        <v>356.09</v>
      </c>
      <c r="H2580" s="21">
        <v>12202.98</v>
      </c>
      <c r="I2580" s="21">
        <v>342.69</v>
      </c>
    </row>
    <row r="2581" spans="1:9" ht="15" customHeight="1" x14ac:dyDescent="0.3">
      <c r="A2581" s="21" t="s">
        <v>2896</v>
      </c>
      <c r="B2581" s="21">
        <v>2023</v>
      </c>
      <c r="C2581" s="21">
        <v>8</v>
      </c>
      <c r="D2581" s="21">
        <v>15</v>
      </c>
      <c r="E2581" s="21" t="s">
        <v>303</v>
      </c>
      <c r="F2581" s="21">
        <v>0</v>
      </c>
      <c r="G2581" s="21">
        <v>341.81</v>
      </c>
      <c r="H2581" s="21">
        <v>11713.74</v>
      </c>
      <c r="I2581" s="21">
        <v>342.7</v>
      </c>
    </row>
    <row r="2582" spans="1:9" ht="15" customHeight="1" x14ac:dyDescent="0.3">
      <c r="A2582" s="21" t="s">
        <v>2897</v>
      </c>
      <c r="B2582" s="21">
        <v>2023</v>
      </c>
      <c r="C2582" s="21">
        <v>8</v>
      </c>
      <c r="D2582" s="21">
        <v>16</v>
      </c>
      <c r="E2582" s="21" t="s">
        <v>307</v>
      </c>
      <c r="F2582" s="21">
        <v>0</v>
      </c>
      <c r="G2582" s="21">
        <v>326.58</v>
      </c>
      <c r="H2582" s="21">
        <v>11191.85</v>
      </c>
      <c r="I2582" s="21">
        <v>342.7</v>
      </c>
    </row>
    <row r="2583" spans="1:9" ht="15" customHeight="1" x14ac:dyDescent="0.3">
      <c r="A2583" s="21" t="s">
        <v>2898</v>
      </c>
      <c r="B2583" s="21">
        <v>2023</v>
      </c>
      <c r="C2583" s="21">
        <v>8</v>
      </c>
      <c r="D2583" s="21">
        <v>17</v>
      </c>
      <c r="E2583" s="21" t="s">
        <v>310</v>
      </c>
      <c r="F2583" s="21">
        <v>0</v>
      </c>
      <c r="G2583" s="21">
        <v>338.35</v>
      </c>
      <c r="H2583" s="21">
        <v>11595.13</v>
      </c>
      <c r="I2583" s="21">
        <v>342.7</v>
      </c>
    </row>
    <row r="2584" spans="1:9" ht="15" customHeight="1" x14ac:dyDescent="0.3">
      <c r="A2584" s="21" t="s">
        <v>2899</v>
      </c>
      <c r="B2584" s="21">
        <v>2023</v>
      </c>
      <c r="C2584" s="21">
        <v>8</v>
      </c>
      <c r="D2584" s="21">
        <v>18</v>
      </c>
      <c r="E2584" s="21" t="s">
        <v>313</v>
      </c>
      <c r="F2584" s="21">
        <v>0</v>
      </c>
      <c r="G2584" s="21">
        <v>368.22</v>
      </c>
      <c r="H2584" s="21">
        <v>12618.73</v>
      </c>
      <c r="I2584" s="21">
        <v>342.7</v>
      </c>
    </row>
    <row r="2585" spans="1:9" ht="15" customHeight="1" x14ac:dyDescent="0.3">
      <c r="A2585" s="21" t="s">
        <v>2900</v>
      </c>
      <c r="B2585" s="21">
        <v>2023</v>
      </c>
      <c r="C2585" s="21">
        <v>8</v>
      </c>
      <c r="D2585" s="21">
        <v>19</v>
      </c>
      <c r="E2585" s="21" t="s">
        <v>316</v>
      </c>
      <c r="F2585" s="21">
        <v>1</v>
      </c>
      <c r="G2585" s="21">
        <v>317.05</v>
      </c>
      <c r="H2585" s="21">
        <v>10865.2</v>
      </c>
      <c r="I2585" s="21">
        <v>342.7</v>
      </c>
    </row>
    <row r="2586" spans="1:9" ht="15" customHeight="1" x14ac:dyDescent="0.3">
      <c r="A2586" s="21" t="s">
        <v>2901</v>
      </c>
      <c r="B2586" s="21">
        <v>2023</v>
      </c>
      <c r="C2586" s="21">
        <v>8</v>
      </c>
      <c r="D2586" s="21">
        <v>20</v>
      </c>
      <c r="E2586" s="21" t="s">
        <v>319</v>
      </c>
      <c r="F2586" s="21">
        <v>1</v>
      </c>
      <c r="G2586" s="21">
        <v>278.82</v>
      </c>
      <c r="H2586" s="21">
        <v>9554.9599999999991</v>
      </c>
      <c r="I2586" s="21">
        <v>342.69</v>
      </c>
    </row>
    <row r="2587" spans="1:9" ht="15" customHeight="1" x14ac:dyDescent="0.3">
      <c r="A2587" s="21" t="s">
        <v>2902</v>
      </c>
      <c r="B2587" s="21">
        <v>2023</v>
      </c>
      <c r="C2587" s="21">
        <v>8</v>
      </c>
      <c r="D2587" s="21">
        <v>21</v>
      </c>
      <c r="E2587" s="21" t="s">
        <v>299</v>
      </c>
      <c r="F2587" s="21">
        <v>0</v>
      </c>
      <c r="G2587" s="21">
        <v>373.49</v>
      </c>
      <c r="H2587" s="21">
        <v>12799.28</v>
      </c>
      <c r="I2587" s="21">
        <v>342.69</v>
      </c>
    </row>
    <row r="2588" spans="1:9" ht="15" customHeight="1" x14ac:dyDescent="0.3">
      <c r="A2588" s="21" t="s">
        <v>2903</v>
      </c>
      <c r="B2588" s="21">
        <v>2023</v>
      </c>
      <c r="C2588" s="21">
        <v>8</v>
      </c>
      <c r="D2588" s="21">
        <v>22</v>
      </c>
      <c r="E2588" s="21" t="s">
        <v>303</v>
      </c>
      <c r="F2588" s="21">
        <v>0</v>
      </c>
      <c r="G2588" s="21">
        <v>351.63</v>
      </c>
      <c r="H2588" s="21">
        <v>12050.23</v>
      </c>
      <c r="I2588" s="21">
        <v>342.7</v>
      </c>
    </row>
    <row r="2589" spans="1:9" ht="15" customHeight="1" x14ac:dyDescent="0.3">
      <c r="A2589" s="21" t="s">
        <v>2904</v>
      </c>
      <c r="B2589" s="21">
        <v>2023</v>
      </c>
      <c r="C2589" s="21">
        <v>8</v>
      </c>
      <c r="D2589" s="21">
        <v>23</v>
      </c>
      <c r="E2589" s="21" t="s">
        <v>307</v>
      </c>
      <c r="F2589" s="21">
        <v>0</v>
      </c>
      <c r="G2589" s="21">
        <v>344.29</v>
      </c>
      <c r="H2589" s="21">
        <v>11798.83</v>
      </c>
      <c r="I2589" s="21">
        <v>342.7</v>
      </c>
    </row>
    <row r="2590" spans="1:9" ht="15" customHeight="1" x14ac:dyDescent="0.3">
      <c r="A2590" s="21" t="s">
        <v>2905</v>
      </c>
      <c r="B2590" s="21">
        <v>2023</v>
      </c>
      <c r="C2590" s="21">
        <v>8</v>
      </c>
      <c r="D2590" s="21">
        <v>24</v>
      </c>
      <c r="E2590" s="21" t="s">
        <v>310</v>
      </c>
      <c r="F2590" s="21">
        <v>0</v>
      </c>
      <c r="G2590" s="21">
        <v>359.43</v>
      </c>
      <c r="H2590" s="21">
        <v>12317.62</v>
      </c>
      <c r="I2590" s="21">
        <v>342.7</v>
      </c>
    </row>
    <row r="2591" spans="1:9" ht="15" customHeight="1" x14ac:dyDescent="0.3">
      <c r="A2591" s="21" t="s">
        <v>2906</v>
      </c>
      <c r="B2591" s="21">
        <v>2023</v>
      </c>
      <c r="C2591" s="21">
        <v>8</v>
      </c>
      <c r="D2591" s="21">
        <v>25</v>
      </c>
      <c r="E2591" s="21" t="s">
        <v>313</v>
      </c>
      <c r="F2591" s="21">
        <v>0</v>
      </c>
      <c r="G2591" s="21">
        <v>372.54</v>
      </c>
      <c r="H2591" s="21">
        <v>12766.96</v>
      </c>
      <c r="I2591" s="21">
        <v>342.7</v>
      </c>
    </row>
    <row r="2592" spans="1:9" ht="15" customHeight="1" x14ac:dyDescent="0.3">
      <c r="A2592" s="21" t="s">
        <v>2907</v>
      </c>
      <c r="B2592" s="21">
        <v>2023</v>
      </c>
      <c r="C2592" s="21">
        <v>8</v>
      </c>
      <c r="D2592" s="21">
        <v>26</v>
      </c>
      <c r="E2592" s="21" t="s">
        <v>316</v>
      </c>
      <c r="F2592" s="21">
        <v>1</v>
      </c>
      <c r="G2592" s="21">
        <v>294.19</v>
      </c>
      <c r="H2592" s="21">
        <v>10081.870000000001</v>
      </c>
      <c r="I2592" s="21">
        <v>342.7</v>
      </c>
    </row>
    <row r="2593" spans="1:9" ht="15" customHeight="1" x14ac:dyDescent="0.3">
      <c r="A2593" s="21" t="s">
        <v>2908</v>
      </c>
      <c r="B2593" s="21">
        <v>2023</v>
      </c>
      <c r="C2593" s="21">
        <v>8</v>
      </c>
      <c r="D2593" s="21">
        <v>27</v>
      </c>
      <c r="E2593" s="21" t="s">
        <v>319</v>
      </c>
      <c r="F2593" s="21">
        <v>1</v>
      </c>
      <c r="G2593" s="21">
        <v>289.66000000000003</v>
      </c>
      <c r="H2593" s="21">
        <v>9926.6299999999992</v>
      </c>
      <c r="I2593" s="21">
        <v>342.7</v>
      </c>
    </row>
    <row r="2594" spans="1:9" ht="15" customHeight="1" x14ac:dyDescent="0.3">
      <c r="A2594" s="21" t="s">
        <v>2909</v>
      </c>
      <c r="B2594" s="21">
        <v>2023</v>
      </c>
      <c r="C2594" s="21">
        <v>8</v>
      </c>
      <c r="D2594" s="21">
        <v>28</v>
      </c>
      <c r="E2594" s="21" t="s">
        <v>299</v>
      </c>
      <c r="F2594" s="21">
        <v>0</v>
      </c>
      <c r="G2594" s="21">
        <v>371.02</v>
      </c>
      <c r="H2594" s="21">
        <v>12714.82</v>
      </c>
      <c r="I2594" s="21">
        <v>342.7</v>
      </c>
    </row>
    <row r="2595" spans="1:9" ht="15" customHeight="1" x14ac:dyDescent="0.3">
      <c r="A2595" s="21" t="s">
        <v>2910</v>
      </c>
      <c r="B2595" s="21">
        <v>2023</v>
      </c>
      <c r="C2595" s="21">
        <v>8</v>
      </c>
      <c r="D2595" s="21">
        <v>29</v>
      </c>
      <c r="E2595" s="21" t="s">
        <v>303</v>
      </c>
      <c r="F2595" s="21">
        <v>0</v>
      </c>
      <c r="G2595" s="21">
        <v>352.65</v>
      </c>
      <c r="H2595" s="21">
        <v>12085.19</v>
      </c>
      <c r="I2595" s="21">
        <v>342.7</v>
      </c>
    </row>
    <row r="2596" spans="1:9" ht="15" customHeight="1" x14ac:dyDescent="0.3">
      <c r="A2596" s="21" t="s">
        <v>2911</v>
      </c>
      <c r="B2596" s="21">
        <v>2023</v>
      </c>
      <c r="C2596" s="21">
        <v>8</v>
      </c>
      <c r="D2596" s="21">
        <v>30</v>
      </c>
      <c r="E2596" s="21" t="s">
        <v>307</v>
      </c>
      <c r="F2596" s="21">
        <v>0</v>
      </c>
      <c r="G2596" s="21">
        <v>385.26</v>
      </c>
      <c r="H2596" s="21">
        <v>13202.81</v>
      </c>
      <c r="I2596" s="21">
        <v>342.7</v>
      </c>
    </row>
    <row r="2597" spans="1:9" ht="15" customHeight="1" x14ac:dyDescent="0.3">
      <c r="A2597" s="21" t="s">
        <v>2912</v>
      </c>
      <c r="B2597" s="21">
        <v>2023</v>
      </c>
      <c r="C2597" s="21">
        <v>8</v>
      </c>
      <c r="D2597" s="21">
        <v>31</v>
      </c>
      <c r="E2597" s="21" t="s">
        <v>310</v>
      </c>
      <c r="F2597" s="21">
        <v>0</v>
      </c>
      <c r="G2597" s="21">
        <v>377.09</v>
      </c>
      <c r="H2597" s="21">
        <v>12922.84</v>
      </c>
      <c r="I2597" s="21">
        <v>342.7</v>
      </c>
    </row>
    <row r="2598" spans="1:9" ht="15" customHeight="1" x14ac:dyDescent="0.3">
      <c r="A2598" s="21" t="s">
        <v>183</v>
      </c>
      <c r="B2598" s="21">
        <v>2023</v>
      </c>
      <c r="C2598" s="21">
        <v>9</v>
      </c>
      <c r="D2598" s="21">
        <v>1</v>
      </c>
      <c r="E2598" s="21" t="s">
        <v>313</v>
      </c>
      <c r="F2598" s="21">
        <v>0</v>
      </c>
      <c r="G2598" s="21">
        <v>434.97</v>
      </c>
      <c r="H2598" s="21">
        <v>14935.23</v>
      </c>
      <c r="I2598" s="21">
        <v>343.36</v>
      </c>
    </row>
    <row r="2599" spans="1:9" ht="15" customHeight="1" x14ac:dyDescent="0.3">
      <c r="A2599" s="21" t="s">
        <v>2913</v>
      </c>
      <c r="B2599" s="21">
        <v>2023</v>
      </c>
      <c r="C2599" s="21">
        <v>9</v>
      </c>
      <c r="D2599" s="21">
        <v>2</v>
      </c>
      <c r="E2599" s="21" t="s">
        <v>316</v>
      </c>
      <c r="F2599" s="21">
        <v>1</v>
      </c>
      <c r="G2599" s="21">
        <v>334.55</v>
      </c>
      <c r="H2599" s="21">
        <v>11487.44</v>
      </c>
      <c r="I2599" s="21">
        <v>343.37</v>
      </c>
    </row>
    <row r="2600" spans="1:9" ht="15" customHeight="1" x14ac:dyDescent="0.3">
      <c r="A2600" s="21" t="s">
        <v>2914</v>
      </c>
      <c r="B2600" s="21">
        <v>2023</v>
      </c>
      <c r="C2600" s="21">
        <v>9</v>
      </c>
      <c r="D2600" s="21">
        <v>3</v>
      </c>
      <c r="E2600" s="21" t="s">
        <v>319</v>
      </c>
      <c r="F2600" s="21">
        <v>1</v>
      </c>
      <c r="G2600" s="21">
        <v>298.7</v>
      </c>
      <c r="H2600" s="21">
        <v>10256.290000000001</v>
      </c>
      <c r="I2600" s="21">
        <v>343.36</v>
      </c>
    </row>
    <row r="2601" spans="1:9" ht="15" customHeight="1" x14ac:dyDescent="0.3">
      <c r="A2601" s="21" t="s">
        <v>2915</v>
      </c>
      <c r="B2601" s="21">
        <v>2023</v>
      </c>
      <c r="C2601" s="21">
        <v>9</v>
      </c>
      <c r="D2601" s="21">
        <v>4</v>
      </c>
      <c r="E2601" s="21" t="s">
        <v>299</v>
      </c>
      <c r="F2601" s="21">
        <v>0</v>
      </c>
      <c r="G2601" s="21">
        <v>382.88</v>
      </c>
      <c r="H2601" s="21">
        <v>13146.94</v>
      </c>
      <c r="I2601" s="21">
        <v>343.37</v>
      </c>
    </row>
    <row r="2602" spans="1:9" ht="15" customHeight="1" x14ac:dyDescent="0.3">
      <c r="A2602" s="21" t="s">
        <v>2916</v>
      </c>
      <c r="B2602" s="21">
        <v>2023</v>
      </c>
      <c r="C2602" s="21">
        <v>9</v>
      </c>
      <c r="D2602" s="21">
        <v>5</v>
      </c>
      <c r="E2602" s="21" t="s">
        <v>303</v>
      </c>
      <c r="F2602" s="21">
        <v>0</v>
      </c>
      <c r="G2602" s="21">
        <v>347.37</v>
      </c>
      <c r="H2602" s="21">
        <v>11927.42</v>
      </c>
      <c r="I2602" s="21">
        <v>343.36</v>
      </c>
    </row>
    <row r="2603" spans="1:9" ht="15" customHeight="1" x14ac:dyDescent="0.3">
      <c r="A2603" s="21" t="s">
        <v>2917</v>
      </c>
      <c r="B2603" s="21">
        <v>2023</v>
      </c>
      <c r="C2603" s="21">
        <v>9</v>
      </c>
      <c r="D2603" s="21">
        <v>6</v>
      </c>
      <c r="E2603" s="21" t="s">
        <v>307</v>
      </c>
      <c r="F2603" s="21">
        <v>0</v>
      </c>
      <c r="G2603" s="21">
        <v>351.75</v>
      </c>
      <c r="H2603" s="21">
        <v>12077.8</v>
      </c>
      <c r="I2603" s="21">
        <v>343.36</v>
      </c>
    </row>
    <row r="2604" spans="1:9" ht="15" customHeight="1" x14ac:dyDescent="0.3">
      <c r="A2604" s="21" t="s">
        <v>2918</v>
      </c>
      <c r="B2604" s="21">
        <v>2023</v>
      </c>
      <c r="C2604" s="21">
        <v>9</v>
      </c>
      <c r="D2604" s="21">
        <v>7</v>
      </c>
      <c r="E2604" s="21" t="s">
        <v>310</v>
      </c>
      <c r="F2604" s="21">
        <v>0</v>
      </c>
      <c r="G2604" s="21">
        <v>352.81</v>
      </c>
      <c r="H2604" s="21">
        <v>12114.38</v>
      </c>
      <c r="I2604" s="21">
        <v>343.37</v>
      </c>
    </row>
    <row r="2605" spans="1:9" ht="15" customHeight="1" x14ac:dyDescent="0.3">
      <c r="A2605" s="21" t="s">
        <v>2919</v>
      </c>
      <c r="B2605" s="21">
        <v>2023</v>
      </c>
      <c r="C2605" s="21">
        <v>9</v>
      </c>
      <c r="D2605" s="21">
        <v>8</v>
      </c>
      <c r="E2605" s="21" t="s">
        <v>313</v>
      </c>
      <c r="F2605" s="21">
        <v>0</v>
      </c>
      <c r="G2605" s="21">
        <v>389.34</v>
      </c>
      <c r="H2605" s="21">
        <v>13368.61</v>
      </c>
      <c r="I2605" s="21">
        <v>343.37</v>
      </c>
    </row>
    <row r="2606" spans="1:9" ht="15" customHeight="1" x14ac:dyDescent="0.3">
      <c r="A2606" s="21" t="s">
        <v>2920</v>
      </c>
      <c r="B2606" s="21">
        <v>2023</v>
      </c>
      <c r="C2606" s="21">
        <v>9</v>
      </c>
      <c r="D2606" s="21">
        <v>9</v>
      </c>
      <c r="E2606" s="21" t="s">
        <v>316</v>
      </c>
      <c r="F2606" s="21">
        <v>1</v>
      </c>
      <c r="G2606" s="21">
        <v>275.63</v>
      </c>
      <c r="H2606" s="21">
        <v>9464.16</v>
      </c>
      <c r="I2606" s="21">
        <v>343.36</v>
      </c>
    </row>
    <row r="2607" spans="1:9" ht="15" customHeight="1" x14ac:dyDescent="0.3">
      <c r="A2607" s="21" t="s">
        <v>2921</v>
      </c>
      <c r="B2607" s="21">
        <v>2023</v>
      </c>
      <c r="C2607" s="21">
        <v>9</v>
      </c>
      <c r="D2607" s="21">
        <v>10</v>
      </c>
      <c r="E2607" s="21" t="s">
        <v>319</v>
      </c>
      <c r="F2607" s="21">
        <v>1</v>
      </c>
      <c r="G2607" s="21">
        <v>292.95999999999998</v>
      </c>
      <c r="H2607" s="21">
        <v>10059.219999999999</v>
      </c>
      <c r="I2607" s="21">
        <v>343.36</v>
      </c>
    </row>
    <row r="2608" spans="1:9" ht="15" customHeight="1" x14ac:dyDescent="0.3">
      <c r="A2608" s="21" t="s">
        <v>2922</v>
      </c>
      <c r="B2608" s="21">
        <v>2023</v>
      </c>
      <c r="C2608" s="21">
        <v>9</v>
      </c>
      <c r="D2608" s="21">
        <v>11</v>
      </c>
      <c r="E2608" s="21" t="s">
        <v>299</v>
      </c>
      <c r="F2608" s="21">
        <v>0</v>
      </c>
      <c r="G2608" s="21">
        <v>372.04</v>
      </c>
      <c r="H2608" s="21">
        <v>12774.65</v>
      </c>
      <c r="I2608" s="21">
        <v>343.37</v>
      </c>
    </row>
    <row r="2609" spans="1:9" ht="15" customHeight="1" x14ac:dyDescent="0.3">
      <c r="A2609" s="21" t="s">
        <v>2923</v>
      </c>
      <c r="B2609" s="21">
        <v>2023</v>
      </c>
      <c r="C2609" s="21">
        <v>9</v>
      </c>
      <c r="D2609" s="21">
        <v>12</v>
      </c>
      <c r="E2609" s="21" t="s">
        <v>303</v>
      </c>
      <c r="F2609" s="21">
        <v>0</v>
      </c>
      <c r="G2609" s="21">
        <v>364.88</v>
      </c>
      <c r="H2609" s="21">
        <v>12528.72</v>
      </c>
      <c r="I2609" s="21">
        <v>343.37</v>
      </c>
    </row>
    <row r="2610" spans="1:9" ht="15" customHeight="1" x14ac:dyDescent="0.3">
      <c r="A2610" s="21" t="s">
        <v>2924</v>
      </c>
      <c r="B2610" s="21">
        <v>2023</v>
      </c>
      <c r="C2610" s="21">
        <v>9</v>
      </c>
      <c r="D2610" s="21">
        <v>13</v>
      </c>
      <c r="E2610" s="21" t="s">
        <v>307</v>
      </c>
      <c r="F2610" s="21">
        <v>0</v>
      </c>
      <c r="G2610" s="21">
        <v>347</v>
      </c>
      <c r="H2610" s="21">
        <v>11914.87</v>
      </c>
      <c r="I2610" s="21">
        <v>343.37</v>
      </c>
    </row>
    <row r="2611" spans="1:9" ht="15" customHeight="1" x14ac:dyDescent="0.3">
      <c r="A2611" s="21" t="s">
        <v>2925</v>
      </c>
      <c r="B2611" s="21">
        <v>2023</v>
      </c>
      <c r="C2611" s="21">
        <v>9</v>
      </c>
      <c r="D2611" s="21">
        <v>14</v>
      </c>
      <c r="E2611" s="21" t="s">
        <v>310</v>
      </c>
      <c r="F2611" s="21">
        <v>0</v>
      </c>
      <c r="G2611" s="21">
        <v>332.37</v>
      </c>
      <c r="H2611" s="21">
        <v>11412.52</v>
      </c>
      <c r="I2611" s="21">
        <v>343.37</v>
      </c>
    </row>
    <row r="2612" spans="1:9" ht="15" customHeight="1" x14ac:dyDescent="0.3">
      <c r="A2612" s="21" t="s">
        <v>2926</v>
      </c>
      <c r="B2612" s="21">
        <v>2023</v>
      </c>
      <c r="C2612" s="21">
        <v>9</v>
      </c>
      <c r="D2612" s="21">
        <v>15</v>
      </c>
      <c r="E2612" s="21" t="s">
        <v>313</v>
      </c>
      <c r="F2612" s="21">
        <v>0</v>
      </c>
      <c r="G2612" s="21">
        <v>386.92</v>
      </c>
      <c r="H2612" s="21">
        <v>13285.63</v>
      </c>
      <c r="I2612" s="21">
        <v>343.37</v>
      </c>
    </row>
    <row r="2613" spans="1:9" ht="15" customHeight="1" x14ac:dyDescent="0.3">
      <c r="A2613" s="21" t="s">
        <v>2927</v>
      </c>
      <c r="B2613" s="21">
        <v>2023</v>
      </c>
      <c r="C2613" s="21">
        <v>9</v>
      </c>
      <c r="D2613" s="21">
        <v>16</v>
      </c>
      <c r="E2613" s="21" t="s">
        <v>316</v>
      </c>
      <c r="F2613" s="21">
        <v>1</v>
      </c>
      <c r="G2613" s="21">
        <v>292.66000000000003</v>
      </c>
      <c r="H2613" s="21">
        <v>10048.82</v>
      </c>
      <c r="I2613" s="21">
        <v>343.36</v>
      </c>
    </row>
    <row r="2614" spans="1:9" ht="15" customHeight="1" x14ac:dyDescent="0.3">
      <c r="A2614" s="21" t="s">
        <v>2928</v>
      </c>
      <c r="B2614" s="21">
        <v>2023</v>
      </c>
      <c r="C2614" s="21">
        <v>9</v>
      </c>
      <c r="D2614" s="21">
        <v>17</v>
      </c>
      <c r="E2614" s="21" t="s">
        <v>319</v>
      </c>
      <c r="F2614" s="21">
        <v>1</v>
      </c>
      <c r="G2614" s="21">
        <v>286.8</v>
      </c>
      <c r="H2614" s="21">
        <v>9847.7199999999993</v>
      </c>
      <c r="I2614" s="21">
        <v>343.37</v>
      </c>
    </row>
    <row r="2615" spans="1:9" ht="15" customHeight="1" x14ac:dyDescent="0.3">
      <c r="A2615" s="21" t="s">
        <v>2929</v>
      </c>
      <c r="B2615" s="21">
        <v>2023</v>
      </c>
      <c r="C2615" s="21">
        <v>9</v>
      </c>
      <c r="D2615" s="21">
        <v>18</v>
      </c>
      <c r="E2615" s="21" t="s">
        <v>299</v>
      </c>
      <c r="F2615" s="21">
        <v>0</v>
      </c>
      <c r="G2615" s="21">
        <v>363.21</v>
      </c>
      <c r="H2615" s="21">
        <v>12471.49</v>
      </c>
      <c r="I2615" s="21">
        <v>343.37</v>
      </c>
    </row>
    <row r="2616" spans="1:9" ht="15" customHeight="1" x14ac:dyDescent="0.3">
      <c r="A2616" s="21" t="s">
        <v>2930</v>
      </c>
      <c r="B2616" s="21">
        <v>2023</v>
      </c>
      <c r="C2616" s="21">
        <v>9</v>
      </c>
      <c r="D2616" s="21">
        <v>19</v>
      </c>
      <c r="E2616" s="21" t="s">
        <v>303</v>
      </c>
      <c r="F2616" s="21">
        <v>0</v>
      </c>
      <c r="G2616" s="21">
        <v>350.25</v>
      </c>
      <c r="H2616" s="21">
        <v>12026.39</v>
      </c>
      <c r="I2616" s="21">
        <v>343.37</v>
      </c>
    </row>
    <row r="2617" spans="1:9" ht="15" customHeight="1" x14ac:dyDescent="0.3">
      <c r="A2617" s="21" t="s">
        <v>2931</v>
      </c>
      <c r="B2617" s="21">
        <v>2023</v>
      </c>
      <c r="C2617" s="21">
        <v>9</v>
      </c>
      <c r="D2617" s="21">
        <v>20</v>
      </c>
      <c r="E2617" s="21" t="s">
        <v>307</v>
      </c>
      <c r="F2617" s="21">
        <v>0</v>
      </c>
      <c r="G2617" s="21">
        <v>345.81</v>
      </c>
      <c r="H2617" s="21">
        <v>11873.93</v>
      </c>
      <c r="I2617" s="21">
        <v>343.37</v>
      </c>
    </row>
    <row r="2618" spans="1:9" ht="15" customHeight="1" x14ac:dyDescent="0.3">
      <c r="A2618" s="21" t="s">
        <v>2932</v>
      </c>
      <c r="B2618" s="21">
        <v>2023</v>
      </c>
      <c r="C2618" s="21">
        <v>9</v>
      </c>
      <c r="D2618" s="21">
        <v>21</v>
      </c>
      <c r="E2618" s="21" t="s">
        <v>310</v>
      </c>
      <c r="F2618" s="21">
        <v>0</v>
      </c>
      <c r="G2618" s="21">
        <v>328.9</v>
      </c>
      <c r="H2618" s="21">
        <v>11293.15</v>
      </c>
      <c r="I2618" s="21">
        <v>343.36</v>
      </c>
    </row>
    <row r="2619" spans="1:9" ht="15" customHeight="1" x14ac:dyDescent="0.3">
      <c r="A2619" s="21" t="s">
        <v>2933</v>
      </c>
      <c r="B2619" s="21">
        <v>2023</v>
      </c>
      <c r="C2619" s="21">
        <v>9</v>
      </c>
      <c r="D2619" s="21">
        <v>22</v>
      </c>
      <c r="E2619" s="21" t="s">
        <v>313</v>
      </c>
      <c r="F2619" s="21">
        <v>0</v>
      </c>
      <c r="G2619" s="21">
        <v>389.85</v>
      </c>
      <c r="H2619" s="21">
        <v>13386.26</v>
      </c>
      <c r="I2619" s="21">
        <v>343.37</v>
      </c>
    </row>
    <row r="2620" spans="1:9" ht="15" customHeight="1" x14ac:dyDescent="0.3">
      <c r="A2620" s="21" t="s">
        <v>2934</v>
      </c>
      <c r="B2620" s="21">
        <v>2023</v>
      </c>
      <c r="C2620" s="21">
        <v>9</v>
      </c>
      <c r="D2620" s="21">
        <v>23</v>
      </c>
      <c r="E2620" s="21" t="s">
        <v>316</v>
      </c>
      <c r="F2620" s="21">
        <v>1</v>
      </c>
      <c r="G2620" s="21">
        <v>312.83999999999997</v>
      </c>
      <c r="H2620" s="21">
        <v>10741.86</v>
      </c>
      <c r="I2620" s="21">
        <v>343.37</v>
      </c>
    </row>
    <row r="2621" spans="1:9" ht="15" customHeight="1" x14ac:dyDescent="0.3">
      <c r="A2621" s="21" t="s">
        <v>2935</v>
      </c>
      <c r="B2621" s="21">
        <v>2023</v>
      </c>
      <c r="C2621" s="21">
        <v>9</v>
      </c>
      <c r="D2621" s="21">
        <v>24</v>
      </c>
      <c r="E2621" s="21" t="s">
        <v>319</v>
      </c>
      <c r="F2621" s="21">
        <v>1</v>
      </c>
      <c r="G2621" s="21">
        <v>306.25</v>
      </c>
      <c r="H2621" s="21">
        <v>10515.71</v>
      </c>
      <c r="I2621" s="21">
        <v>343.37</v>
      </c>
    </row>
    <row r="2622" spans="1:9" ht="15" customHeight="1" x14ac:dyDescent="0.3">
      <c r="A2622" s="21" t="s">
        <v>2936</v>
      </c>
      <c r="B2622" s="21">
        <v>2023</v>
      </c>
      <c r="C2622" s="21">
        <v>9</v>
      </c>
      <c r="D2622" s="21">
        <v>25</v>
      </c>
      <c r="E2622" s="21" t="s">
        <v>299</v>
      </c>
      <c r="F2622" s="21">
        <v>0</v>
      </c>
      <c r="G2622" s="21">
        <v>357.79</v>
      </c>
      <c r="H2622" s="21">
        <v>12285.25</v>
      </c>
      <c r="I2622" s="21">
        <v>343.36</v>
      </c>
    </row>
    <row r="2623" spans="1:9" ht="15" customHeight="1" x14ac:dyDescent="0.3">
      <c r="A2623" s="21" t="s">
        <v>2937</v>
      </c>
      <c r="B2623" s="21">
        <v>2023</v>
      </c>
      <c r="C2623" s="21">
        <v>9</v>
      </c>
      <c r="D2623" s="21">
        <v>26</v>
      </c>
      <c r="E2623" s="21" t="s">
        <v>303</v>
      </c>
      <c r="F2623" s="21">
        <v>0</v>
      </c>
      <c r="G2623" s="21">
        <v>350.07</v>
      </c>
      <c r="H2623" s="21">
        <v>12020.23</v>
      </c>
      <c r="I2623" s="21">
        <v>343.37</v>
      </c>
    </row>
    <row r="2624" spans="1:9" ht="15" customHeight="1" x14ac:dyDescent="0.3">
      <c r="A2624" s="21" t="s">
        <v>2938</v>
      </c>
      <c r="B2624" s="21">
        <v>2023</v>
      </c>
      <c r="C2624" s="21">
        <v>9</v>
      </c>
      <c r="D2624" s="21">
        <v>27</v>
      </c>
      <c r="E2624" s="21" t="s">
        <v>307</v>
      </c>
      <c r="F2624" s="21">
        <v>0</v>
      </c>
      <c r="G2624" s="21">
        <v>352.13</v>
      </c>
      <c r="H2624" s="21">
        <v>12090.97</v>
      </c>
      <c r="I2624" s="21">
        <v>343.37</v>
      </c>
    </row>
    <row r="2625" spans="1:9" ht="15" customHeight="1" x14ac:dyDescent="0.3">
      <c r="A2625" s="21" t="s">
        <v>2939</v>
      </c>
      <c r="B2625" s="21">
        <v>2023</v>
      </c>
      <c r="C2625" s="21">
        <v>9</v>
      </c>
      <c r="D2625" s="21">
        <v>28</v>
      </c>
      <c r="E2625" s="21" t="s">
        <v>310</v>
      </c>
      <c r="F2625" s="21">
        <v>0</v>
      </c>
      <c r="G2625" s="21">
        <v>358.53</v>
      </c>
      <c r="H2625" s="21">
        <v>12310.58</v>
      </c>
      <c r="I2625" s="21">
        <v>343.36</v>
      </c>
    </row>
    <row r="2626" spans="1:9" ht="15" customHeight="1" x14ac:dyDescent="0.3">
      <c r="A2626" s="21" t="s">
        <v>2940</v>
      </c>
      <c r="B2626" s="21">
        <v>2023</v>
      </c>
      <c r="C2626" s="21">
        <v>9</v>
      </c>
      <c r="D2626" s="21">
        <v>29</v>
      </c>
      <c r="E2626" s="21" t="s">
        <v>313</v>
      </c>
      <c r="F2626" s="21">
        <v>0</v>
      </c>
      <c r="G2626" s="21">
        <v>445.55</v>
      </c>
      <c r="H2626" s="21">
        <v>15298.77</v>
      </c>
      <c r="I2626" s="21">
        <v>343.37</v>
      </c>
    </row>
    <row r="2627" spans="1:9" ht="15" customHeight="1" x14ac:dyDescent="0.3">
      <c r="A2627" s="21" t="s">
        <v>2941</v>
      </c>
      <c r="B2627" s="21">
        <v>2023</v>
      </c>
      <c r="C2627" s="21">
        <v>9</v>
      </c>
      <c r="D2627" s="21">
        <v>30</v>
      </c>
      <c r="E2627" s="21" t="s">
        <v>316</v>
      </c>
      <c r="F2627" s="21">
        <v>1</v>
      </c>
      <c r="G2627" s="21">
        <v>335.35</v>
      </c>
      <c r="H2627" s="21">
        <v>11514.92</v>
      </c>
      <c r="I2627" s="21">
        <v>343.37</v>
      </c>
    </row>
    <row r="2628" spans="1:9" ht="15" customHeight="1" x14ac:dyDescent="0.3">
      <c r="A2628" s="21" t="s">
        <v>184</v>
      </c>
      <c r="B2628" s="21">
        <v>2023</v>
      </c>
      <c r="C2628" s="21">
        <v>10</v>
      </c>
      <c r="D2628" s="21">
        <v>1</v>
      </c>
      <c r="E2628" s="21" t="s">
        <v>319</v>
      </c>
      <c r="F2628" s="21">
        <v>1</v>
      </c>
      <c r="G2628" s="21">
        <v>360.51</v>
      </c>
      <c r="H2628" s="21">
        <v>12301.86</v>
      </c>
      <c r="I2628" s="21">
        <v>341.23</v>
      </c>
    </row>
    <row r="2629" spans="1:9" ht="15" customHeight="1" x14ac:dyDescent="0.3">
      <c r="A2629" s="21" t="s">
        <v>2942</v>
      </c>
      <c r="B2629" s="21">
        <v>2023</v>
      </c>
      <c r="C2629" s="21">
        <v>10</v>
      </c>
      <c r="D2629" s="21">
        <v>2</v>
      </c>
      <c r="E2629" s="21" t="s">
        <v>299</v>
      </c>
      <c r="F2629" s="21">
        <v>0</v>
      </c>
      <c r="G2629" s="21">
        <v>449.85</v>
      </c>
      <c r="H2629" s="21">
        <v>15350.54</v>
      </c>
      <c r="I2629" s="21">
        <v>341.24</v>
      </c>
    </row>
    <row r="2630" spans="1:9" ht="15" customHeight="1" x14ac:dyDescent="0.3">
      <c r="A2630" s="21" t="s">
        <v>2943</v>
      </c>
      <c r="B2630" s="21">
        <v>2023</v>
      </c>
      <c r="C2630" s="21">
        <v>10</v>
      </c>
      <c r="D2630" s="21">
        <v>3</v>
      </c>
      <c r="E2630" s="21" t="s">
        <v>303</v>
      </c>
      <c r="F2630" s="21">
        <v>0</v>
      </c>
      <c r="G2630" s="21">
        <v>383.8</v>
      </c>
      <c r="H2630" s="21">
        <v>13096.77</v>
      </c>
      <c r="I2630" s="21">
        <v>341.24</v>
      </c>
    </row>
    <row r="2631" spans="1:9" ht="15" customHeight="1" x14ac:dyDescent="0.3">
      <c r="A2631" s="21" t="s">
        <v>2944</v>
      </c>
      <c r="B2631" s="21">
        <v>2023</v>
      </c>
      <c r="C2631" s="21">
        <v>10</v>
      </c>
      <c r="D2631" s="21">
        <v>4</v>
      </c>
      <c r="E2631" s="21" t="s">
        <v>307</v>
      </c>
      <c r="F2631" s="21">
        <v>0</v>
      </c>
      <c r="G2631" s="21">
        <v>375.51</v>
      </c>
      <c r="H2631" s="21">
        <v>12813.93</v>
      </c>
      <c r="I2631" s="21">
        <v>341.24</v>
      </c>
    </row>
    <row r="2632" spans="1:9" ht="15" customHeight="1" x14ac:dyDescent="0.3">
      <c r="A2632" s="21" t="s">
        <v>2945</v>
      </c>
      <c r="B2632" s="21">
        <v>2023</v>
      </c>
      <c r="C2632" s="21">
        <v>10</v>
      </c>
      <c r="D2632" s="21">
        <v>5</v>
      </c>
      <c r="E2632" s="21" t="s">
        <v>310</v>
      </c>
      <c r="F2632" s="21">
        <v>0</v>
      </c>
      <c r="G2632" s="21">
        <v>376.45</v>
      </c>
      <c r="H2632" s="21">
        <v>12845.76</v>
      </c>
      <c r="I2632" s="21">
        <v>341.23</v>
      </c>
    </row>
    <row r="2633" spans="1:9" ht="15" customHeight="1" x14ac:dyDescent="0.3">
      <c r="A2633" s="21" t="s">
        <v>2946</v>
      </c>
      <c r="B2633" s="21">
        <v>2023</v>
      </c>
      <c r="C2633" s="21">
        <v>10</v>
      </c>
      <c r="D2633" s="21">
        <v>6</v>
      </c>
      <c r="E2633" s="21" t="s">
        <v>313</v>
      </c>
      <c r="F2633" s="21">
        <v>0</v>
      </c>
      <c r="G2633" s="21">
        <v>398.09</v>
      </c>
      <c r="H2633" s="21">
        <v>13584.16</v>
      </c>
      <c r="I2633" s="21">
        <v>341.23</v>
      </c>
    </row>
    <row r="2634" spans="1:9" ht="15" customHeight="1" x14ac:dyDescent="0.3">
      <c r="A2634" s="21" t="s">
        <v>2947</v>
      </c>
      <c r="B2634" s="21">
        <v>2023</v>
      </c>
      <c r="C2634" s="21">
        <v>10</v>
      </c>
      <c r="D2634" s="21">
        <v>7</v>
      </c>
      <c r="E2634" s="21" t="s">
        <v>316</v>
      </c>
      <c r="F2634" s="21">
        <v>1</v>
      </c>
      <c r="G2634" s="21">
        <v>328.14</v>
      </c>
      <c r="H2634" s="21">
        <v>11197.39</v>
      </c>
      <c r="I2634" s="21">
        <v>341.24</v>
      </c>
    </row>
    <row r="2635" spans="1:9" ht="15" customHeight="1" x14ac:dyDescent="0.3">
      <c r="A2635" s="21" t="s">
        <v>2948</v>
      </c>
      <c r="B2635" s="21">
        <v>2023</v>
      </c>
      <c r="C2635" s="21">
        <v>10</v>
      </c>
      <c r="D2635" s="21">
        <v>8</v>
      </c>
      <c r="E2635" s="21" t="s">
        <v>319</v>
      </c>
      <c r="F2635" s="21">
        <v>1</v>
      </c>
      <c r="G2635" s="21">
        <v>317.10000000000002</v>
      </c>
      <c r="H2635" s="21">
        <v>10820.66</v>
      </c>
      <c r="I2635" s="21">
        <v>341.24</v>
      </c>
    </row>
    <row r="2636" spans="1:9" ht="15" customHeight="1" x14ac:dyDescent="0.3">
      <c r="A2636" s="21" t="s">
        <v>2949</v>
      </c>
      <c r="B2636" s="21">
        <v>2023</v>
      </c>
      <c r="C2636" s="21">
        <v>10</v>
      </c>
      <c r="D2636" s="21">
        <v>9</v>
      </c>
      <c r="E2636" s="21" t="s">
        <v>299</v>
      </c>
      <c r="F2636" s="21">
        <v>0</v>
      </c>
      <c r="G2636" s="21">
        <v>376.63</v>
      </c>
      <c r="H2636" s="21">
        <v>12851.98</v>
      </c>
      <c r="I2636" s="21">
        <v>341.24</v>
      </c>
    </row>
    <row r="2637" spans="1:9" ht="15" customHeight="1" x14ac:dyDescent="0.3">
      <c r="A2637" s="21" t="s">
        <v>2950</v>
      </c>
      <c r="B2637" s="21">
        <v>2023</v>
      </c>
      <c r="C2637" s="21">
        <v>10</v>
      </c>
      <c r="D2637" s="21">
        <v>10</v>
      </c>
      <c r="E2637" s="21" t="s">
        <v>303</v>
      </c>
      <c r="F2637" s="21">
        <v>0</v>
      </c>
      <c r="G2637" s="21">
        <v>383.22</v>
      </c>
      <c r="H2637" s="21">
        <v>13077.02</v>
      </c>
      <c r="I2637" s="21">
        <v>341.24</v>
      </c>
    </row>
    <row r="2638" spans="1:9" ht="15" customHeight="1" x14ac:dyDescent="0.3">
      <c r="A2638" s="21" t="s">
        <v>2951</v>
      </c>
      <c r="B2638" s="21">
        <v>2023</v>
      </c>
      <c r="C2638" s="21">
        <v>10</v>
      </c>
      <c r="D2638" s="21">
        <v>11</v>
      </c>
      <c r="E2638" s="21" t="s">
        <v>307</v>
      </c>
      <c r="F2638" s="21">
        <v>0</v>
      </c>
      <c r="G2638" s="21">
        <v>375.44</v>
      </c>
      <c r="H2638" s="21">
        <v>12811.44</v>
      </c>
      <c r="I2638" s="21">
        <v>341.24</v>
      </c>
    </row>
    <row r="2639" spans="1:9" ht="15" customHeight="1" x14ac:dyDescent="0.3">
      <c r="A2639" s="21" t="s">
        <v>2952</v>
      </c>
      <c r="B2639" s="21">
        <v>2023</v>
      </c>
      <c r="C2639" s="21">
        <v>10</v>
      </c>
      <c r="D2639" s="21">
        <v>12</v>
      </c>
      <c r="E2639" s="21" t="s">
        <v>310</v>
      </c>
      <c r="F2639" s="21">
        <v>0</v>
      </c>
      <c r="G2639" s="21">
        <v>362.85</v>
      </c>
      <c r="H2639" s="21">
        <v>12381.92</v>
      </c>
      <c r="I2639" s="21">
        <v>341.24</v>
      </c>
    </row>
    <row r="2640" spans="1:9" ht="15" customHeight="1" x14ac:dyDescent="0.3">
      <c r="A2640" s="21" t="s">
        <v>2953</v>
      </c>
      <c r="B2640" s="21">
        <v>2023</v>
      </c>
      <c r="C2640" s="21">
        <v>10</v>
      </c>
      <c r="D2640" s="21">
        <v>13</v>
      </c>
      <c r="E2640" s="21" t="s">
        <v>313</v>
      </c>
      <c r="F2640" s="21">
        <v>0</v>
      </c>
      <c r="G2640" s="21">
        <v>391.87</v>
      </c>
      <c r="H2640" s="21">
        <v>13372.1</v>
      </c>
      <c r="I2640" s="21">
        <v>341.24</v>
      </c>
    </row>
    <row r="2641" spans="1:9" ht="15" customHeight="1" x14ac:dyDescent="0.3">
      <c r="A2641" s="21" t="s">
        <v>2954</v>
      </c>
      <c r="B2641" s="21">
        <v>2023</v>
      </c>
      <c r="C2641" s="21">
        <v>10</v>
      </c>
      <c r="D2641" s="21">
        <v>14</v>
      </c>
      <c r="E2641" s="21" t="s">
        <v>316</v>
      </c>
      <c r="F2641" s="21">
        <v>1</v>
      </c>
      <c r="G2641" s="21">
        <v>315.85000000000002</v>
      </c>
      <c r="H2641" s="21">
        <v>10778.05</v>
      </c>
      <c r="I2641" s="21">
        <v>341.24</v>
      </c>
    </row>
    <row r="2642" spans="1:9" ht="15" customHeight="1" x14ac:dyDescent="0.3">
      <c r="A2642" s="21" t="s">
        <v>2955</v>
      </c>
      <c r="B2642" s="21">
        <v>2023</v>
      </c>
      <c r="C2642" s="21">
        <v>10</v>
      </c>
      <c r="D2642" s="21">
        <v>15</v>
      </c>
      <c r="E2642" s="21" t="s">
        <v>319</v>
      </c>
      <c r="F2642" s="21">
        <v>1</v>
      </c>
      <c r="G2642" s="21">
        <v>349.46</v>
      </c>
      <c r="H2642" s="21">
        <v>11924.85</v>
      </c>
      <c r="I2642" s="21">
        <v>341.24</v>
      </c>
    </row>
    <row r="2643" spans="1:9" ht="15" customHeight="1" x14ac:dyDescent="0.3">
      <c r="A2643" s="21" t="s">
        <v>2956</v>
      </c>
      <c r="B2643" s="21">
        <v>2023</v>
      </c>
      <c r="C2643" s="21">
        <v>10</v>
      </c>
      <c r="D2643" s="21">
        <v>16</v>
      </c>
      <c r="E2643" s="21" t="s">
        <v>299</v>
      </c>
      <c r="F2643" s="21">
        <v>0</v>
      </c>
      <c r="G2643" s="21">
        <v>427.14</v>
      </c>
      <c r="H2643" s="21">
        <v>14575.46</v>
      </c>
      <c r="I2643" s="21">
        <v>341.23</v>
      </c>
    </row>
    <row r="2644" spans="1:9" ht="15" customHeight="1" x14ac:dyDescent="0.3">
      <c r="A2644" s="21" t="s">
        <v>2957</v>
      </c>
      <c r="B2644" s="21">
        <v>2023</v>
      </c>
      <c r="C2644" s="21">
        <v>10</v>
      </c>
      <c r="D2644" s="21">
        <v>17</v>
      </c>
      <c r="E2644" s="21" t="s">
        <v>303</v>
      </c>
      <c r="F2644" s="21">
        <v>0</v>
      </c>
      <c r="G2644" s="21">
        <v>408.29</v>
      </c>
      <c r="H2644" s="21">
        <v>13932.5</v>
      </c>
      <c r="I2644" s="21">
        <v>341.24</v>
      </c>
    </row>
    <row r="2645" spans="1:9" ht="15" customHeight="1" x14ac:dyDescent="0.3">
      <c r="A2645" s="21" t="s">
        <v>2958</v>
      </c>
      <c r="B2645" s="21">
        <v>2023</v>
      </c>
      <c r="C2645" s="21">
        <v>10</v>
      </c>
      <c r="D2645" s="21">
        <v>18</v>
      </c>
      <c r="E2645" s="21" t="s">
        <v>307</v>
      </c>
      <c r="F2645" s="21">
        <v>0</v>
      </c>
      <c r="G2645" s="21">
        <v>425.15</v>
      </c>
      <c r="H2645" s="21">
        <v>14507.55</v>
      </c>
      <c r="I2645" s="21">
        <v>341.23</v>
      </c>
    </row>
    <row r="2646" spans="1:9" ht="15" customHeight="1" x14ac:dyDescent="0.3">
      <c r="A2646" s="21" t="s">
        <v>2959</v>
      </c>
      <c r="B2646" s="21">
        <v>2023</v>
      </c>
      <c r="C2646" s="21">
        <v>10</v>
      </c>
      <c r="D2646" s="21">
        <v>19</v>
      </c>
      <c r="E2646" s="21" t="s">
        <v>310</v>
      </c>
      <c r="F2646" s="21">
        <v>0</v>
      </c>
      <c r="G2646" s="21">
        <v>417.52</v>
      </c>
      <c r="H2646" s="21">
        <v>14247.31</v>
      </c>
      <c r="I2646" s="21">
        <v>341.24</v>
      </c>
    </row>
    <row r="2647" spans="1:9" ht="15" customHeight="1" x14ac:dyDescent="0.3">
      <c r="A2647" s="21" t="s">
        <v>2960</v>
      </c>
      <c r="B2647" s="21">
        <v>2023</v>
      </c>
      <c r="C2647" s="21">
        <v>10</v>
      </c>
      <c r="D2647" s="21">
        <v>20</v>
      </c>
      <c r="E2647" s="21" t="s">
        <v>313</v>
      </c>
      <c r="F2647" s="21">
        <v>0</v>
      </c>
      <c r="G2647" s="21">
        <v>439.19</v>
      </c>
      <c r="H2647" s="21">
        <v>14986.81</v>
      </c>
      <c r="I2647" s="21">
        <v>341.24</v>
      </c>
    </row>
    <row r="2648" spans="1:9" ht="15" customHeight="1" x14ac:dyDescent="0.3">
      <c r="A2648" s="21" t="s">
        <v>2961</v>
      </c>
      <c r="B2648" s="21">
        <v>2023</v>
      </c>
      <c r="C2648" s="21">
        <v>10</v>
      </c>
      <c r="D2648" s="21">
        <v>21</v>
      </c>
      <c r="E2648" s="21" t="s">
        <v>316</v>
      </c>
      <c r="F2648" s="21">
        <v>1</v>
      </c>
      <c r="G2648" s="21">
        <v>355.26</v>
      </c>
      <c r="H2648" s="21">
        <v>12122.85</v>
      </c>
      <c r="I2648" s="21">
        <v>341.24</v>
      </c>
    </row>
    <row r="2649" spans="1:9" ht="15" customHeight="1" x14ac:dyDescent="0.3">
      <c r="A2649" s="21" t="s">
        <v>2962</v>
      </c>
      <c r="B2649" s="21">
        <v>2023</v>
      </c>
      <c r="C2649" s="21">
        <v>10</v>
      </c>
      <c r="D2649" s="21">
        <v>22</v>
      </c>
      <c r="E2649" s="21" t="s">
        <v>319</v>
      </c>
      <c r="F2649" s="21">
        <v>1</v>
      </c>
      <c r="G2649" s="21">
        <v>331.31</v>
      </c>
      <c r="H2649" s="21">
        <v>11305.47</v>
      </c>
      <c r="I2649" s="21">
        <v>341.24</v>
      </c>
    </row>
    <row r="2650" spans="1:9" ht="15" customHeight="1" x14ac:dyDescent="0.3">
      <c r="A2650" s="21" t="s">
        <v>2963</v>
      </c>
      <c r="B2650" s="21">
        <v>2023</v>
      </c>
      <c r="C2650" s="21">
        <v>10</v>
      </c>
      <c r="D2650" s="21">
        <v>23</v>
      </c>
      <c r="E2650" s="21" t="s">
        <v>299</v>
      </c>
      <c r="F2650" s="21">
        <v>0</v>
      </c>
      <c r="G2650" s="21">
        <v>429.57</v>
      </c>
      <c r="H2650" s="21">
        <v>14658.54</v>
      </c>
      <c r="I2650" s="21">
        <v>341.24</v>
      </c>
    </row>
    <row r="2651" spans="1:9" ht="15" customHeight="1" x14ac:dyDescent="0.3">
      <c r="A2651" s="21" t="s">
        <v>2964</v>
      </c>
      <c r="B2651" s="21">
        <v>2023</v>
      </c>
      <c r="C2651" s="21">
        <v>10</v>
      </c>
      <c r="D2651" s="21">
        <v>24</v>
      </c>
      <c r="E2651" s="21" t="s">
        <v>303</v>
      </c>
      <c r="F2651" s="21">
        <v>0</v>
      </c>
      <c r="G2651" s="21">
        <v>426.47</v>
      </c>
      <c r="H2651" s="21">
        <v>14552.83</v>
      </c>
      <c r="I2651" s="21">
        <v>341.24</v>
      </c>
    </row>
    <row r="2652" spans="1:9" ht="15" customHeight="1" x14ac:dyDescent="0.3">
      <c r="A2652" s="21" t="s">
        <v>2965</v>
      </c>
      <c r="B2652" s="21">
        <v>2023</v>
      </c>
      <c r="C2652" s="21">
        <v>10</v>
      </c>
      <c r="D2652" s="21">
        <v>25</v>
      </c>
      <c r="E2652" s="21" t="s">
        <v>307</v>
      </c>
      <c r="F2652" s="21">
        <v>0</v>
      </c>
      <c r="G2652" s="21">
        <v>401.87</v>
      </c>
      <c r="H2652" s="21">
        <v>13713.29</v>
      </c>
      <c r="I2652" s="21">
        <v>341.24</v>
      </c>
    </row>
    <row r="2653" spans="1:9" ht="15" customHeight="1" x14ac:dyDescent="0.3">
      <c r="A2653" s="21" t="s">
        <v>2966</v>
      </c>
      <c r="B2653" s="21">
        <v>2023</v>
      </c>
      <c r="C2653" s="21">
        <v>10</v>
      </c>
      <c r="D2653" s="21">
        <v>26</v>
      </c>
      <c r="E2653" s="21" t="s">
        <v>310</v>
      </c>
      <c r="F2653" s="21">
        <v>0</v>
      </c>
      <c r="G2653" s="21">
        <v>358.39</v>
      </c>
      <c r="H2653" s="21">
        <v>12229.61</v>
      </c>
      <c r="I2653" s="21">
        <v>341.24</v>
      </c>
    </row>
    <row r="2654" spans="1:9" ht="15" customHeight="1" x14ac:dyDescent="0.3">
      <c r="A2654" s="21" t="s">
        <v>2967</v>
      </c>
      <c r="B2654" s="21">
        <v>2023</v>
      </c>
      <c r="C2654" s="21">
        <v>10</v>
      </c>
      <c r="D2654" s="21">
        <v>27</v>
      </c>
      <c r="E2654" s="21" t="s">
        <v>313</v>
      </c>
      <c r="F2654" s="21">
        <v>0</v>
      </c>
      <c r="G2654" s="21">
        <v>389.97</v>
      </c>
      <c r="H2654" s="21">
        <v>13307.12</v>
      </c>
      <c r="I2654" s="21">
        <v>341.23</v>
      </c>
    </row>
    <row r="2655" spans="1:9" ht="15" customHeight="1" x14ac:dyDescent="0.3">
      <c r="A2655" s="21" t="s">
        <v>2968</v>
      </c>
      <c r="B2655" s="21">
        <v>2023</v>
      </c>
      <c r="C2655" s="21">
        <v>10</v>
      </c>
      <c r="D2655" s="21">
        <v>28</v>
      </c>
      <c r="E2655" s="21" t="s">
        <v>316</v>
      </c>
      <c r="F2655" s="21">
        <v>1</v>
      </c>
      <c r="G2655" s="21">
        <v>300.56</v>
      </c>
      <c r="H2655" s="21">
        <v>10256.200000000001</v>
      </c>
      <c r="I2655" s="21">
        <v>341.24</v>
      </c>
    </row>
    <row r="2656" spans="1:9" ht="15" customHeight="1" x14ac:dyDescent="0.3">
      <c r="A2656" s="21" t="s">
        <v>2969</v>
      </c>
      <c r="B2656" s="21">
        <v>2023</v>
      </c>
      <c r="C2656" s="21">
        <v>10</v>
      </c>
      <c r="D2656" s="21">
        <v>29</v>
      </c>
      <c r="E2656" s="21" t="s">
        <v>319</v>
      </c>
      <c r="F2656" s="21">
        <v>1</v>
      </c>
      <c r="G2656" s="21">
        <v>303.92</v>
      </c>
      <c r="H2656" s="21">
        <v>10370.969999999999</v>
      </c>
      <c r="I2656" s="21">
        <v>341.24</v>
      </c>
    </row>
    <row r="2657" spans="1:9" ht="15" customHeight="1" x14ac:dyDescent="0.3">
      <c r="A2657" s="21" t="s">
        <v>2970</v>
      </c>
      <c r="B2657" s="21">
        <v>2023</v>
      </c>
      <c r="C2657" s="21">
        <v>10</v>
      </c>
      <c r="D2657" s="21">
        <v>30</v>
      </c>
      <c r="E2657" s="21" t="s">
        <v>299</v>
      </c>
      <c r="F2657" s="21">
        <v>0</v>
      </c>
      <c r="G2657" s="21">
        <v>439.35</v>
      </c>
      <c r="H2657" s="21">
        <v>14992.16</v>
      </c>
      <c r="I2657" s="21">
        <v>341.24</v>
      </c>
    </row>
    <row r="2658" spans="1:9" ht="15" customHeight="1" x14ac:dyDescent="0.3">
      <c r="A2658" s="21" t="s">
        <v>2971</v>
      </c>
      <c r="B2658" s="21">
        <v>2023</v>
      </c>
      <c r="C2658" s="21">
        <v>10</v>
      </c>
      <c r="D2658" s="21">
        <v>31</v>
      </c>
      <c r="E2658" s="21" t="s">
        <v>303</v>
      </c>
      <c r="F2658" s="21">
        <v>0</v>
      </c>
      <c r="G2658" s="21">
        <v>405.07</v>
      </c>
      <c r="H2658" s="21">
        <v>13822.5</v>
      </c>
      <c r="I2658" s="21">
        <v>341.24</v>
      </c>
    </row>
    <row r="2659" spans="1:9" ht="15" customHeight="1" x14ac:dyDescent="0.3">
      <c r="A2659" s="21" t="s">
        <v>185</v>
      </c>
      <c r="B2659" s="21">
        <v>2023</v>
      </c>
      <c r="C2659" s="21">
        <v>11</v>
      </c>
      <c r="D2659" s="21">
        <v>1</v>
      </c>
      <c r="E2659" s="21" t="s">
        <v>307</v>
      </c>
      <c r="F2659" s="21">
        <v>0</v>
      </c>
      <c r="G2659" s="21">
        <v>428.19</v>
      </c>
      <c r="H2659" s="21">
        <v>14678.57</v>
      </c>
      <c r="I2659" s="21">
        <v>342.81</v>
      </c>
    </row>
    <row r="2660" spans="1:9" ht="15" customHeight="1" x14ac:dyDescent="0.3">
      <c r="A2660" s="21" t="s">
        <v>2972</v>
      </c>
      <c r="B2660" s="21">
        <v>2023</v>
      </c>
      <c r="C2660" s="21">
        <v>11</v>
      </c>
      <c r="D2660" s="21">
        <v>2</v>
      </c>
      <c r="E2660" s="21" t="s">
        <v>310</v>
      </c>
      <c r="F2660" s="21">
        <v>0</v>
      </c>
      <c r="G2660" s="21">
        <v>439.58</v>
      </c>
      <c r="H2660" s="21">
        <v>15068.84</v>
      </c>
      <c r="I2660" s="21">
        <v>342.8</v>
      </c>
    </row>
    <row r="2661" spans="1:9" ht="15" customHeight="1" x14ac:dyDescent="0.3">
      <c r="A2661" s="21" t="s">
        <v>2973</v>
      </c>
      <c r="B2661" s="21">
        <v>2023</v>
      </c>
      <c r="C2661" s="21">
        <v>11</v>
      </c>
      <c r="D2661" s="21">
        <v>3</v>
      </c>
      <c r="E2661" s="21" t="s">
        <v>313</v>
      </c>
      <c r="F2661" s="21">
        <v>0</v>
      </c>
      <c r="G2661" s="21">
        <v>391.8</v>
      </c>
      <c r="H2661" s="21">
        <v>13431.21</v>
      </c>
      <c r="I2661" s="21">
        <v>342.81</v>
      </c>
    </row>
    <row r="2662" spans="1:9" ht="15" customHeight="1" x14ac:dyDescent="0.3">
      <c r="A2662" s="21" t="s">
        <v>2974</v>
      </c>
      <c r="B2662" s="21">
        <v>2023</v>
      </c>
      <c r="C2662" s="21">
        <v>11</v>
      </c>
      <c r="D2662" s="21">
        <v>4</v>
      </c>
      <c r="E2662" s="21" t="s">
        <v>316</v>
      </c>
      <c r="F2662" s="21">
        <v>1</v>
      </c>
      <c r="G2662" s="21">
        <v>333.3</v>
      </c>
      <c r="H2662" s="21">
        <v>11425.79</v>
      </c>
      <c r="I2662" s="21">
        <v>342.81</v>
      </c>
    </row>
    <row r="2663" spans="1:9" ht="15" customHeight="1" x14ac:dyDescent="0.3">
      <c r="A2663" s="21" t="s">
        <v>2975</v>
      </c>
      <c r="B2663" s="21">
        <v>2023</v>
      </c>
      <c r="C2663" s="21">
        <v>11</v>
      </c>
      <c r="D2663" s="21">
        <v>5</v>
      </c>
      <c r="E2663" s="21" t="s">
        <v>319</v>
      </c>
      <c r="F2663" s="21">
        <v>1</v>
      </c>
      <c r="G2663" s="21">
        <v>322.04000000000002</v>
      </c>
      <c r="H2663" s="21">
        <v>11039.8</v>
      </c>
      <c r="I2663" s="21">
        <v>342.81</v>
      </c>
    </row>
    <row r="2664" spans="1:9" ht="15" customHeight="1" x14ac:dyDescent="0.3">
      <c r="A2664" s="21" t="s">
        <v>2976</v>
      </c>
      <c r="B2664" s="21">
        <v>2023</v>
      </c>
      <c r="C2664" s="21">
        <v>11</v>
      </c>
      <c r="D2664" s="21">
        <v>6</v>
      </c>
      <c r="E2664" s="21" t="s">
        <v>299</v>
      </c>
      <c r="F2664" s="21">
        <v>0</v>
      </c>
      <c r="G2664" s="21">
        <v>402.28</v>
      </c>
      <c r="H2664" s="21">
        <v>13790.34</v>
      </c>
      <c r="I2664" s="21">
        <v>342.8</v>
      </c>
    </row>
    <row r="2665" spans="1:9" ht="15" customHeight="1" x14ac:dyDescent="0.3">
      <c r="A2665" s="21" t="s">
        <v>2977</v>
      </c>
      <c r="B2665" s="21">
        <v>2023</v>
      </c>
      <c r="C2665" s="21">
        <v>11</v>
      </c>
      <c r="D2665" s="21">
        <v>7</v>
      </c>
      <c r="E2665" s="21" t="s">
        <v>303</v>
      </c>
      <c r="F2665" s="21">
        <v>0</v>
      </c>
      <c r="G2665" s="21">
        <v>364.82</v>
      </c>
      <c r="H2665" s="21">
        <v>12506.22</v>
      </c>
      <c r="I2665" s="21">
        <v>342.81</v>
      </c>
    </row>
    <row r="2666" spans="1:9" ht="15" customHeight="1" x14ac:dyDescent="0.3">
      <c r="A2666" s="21" t="s">
        <v>2978</v>
      </c>
      <c r="B2666" s="21">
        <v>2023</v>
      </c>
      <c r="C2666" s="21">
        <v>11</v>
      </c>
      <c r="D2666" s="21">
        <v>8</v>
      </c>
      <c r="E2666" s="21" t="s">
        <v>307</v>
      </c>
      <c r="F2666" s="21">
        <v>0</v>
      </c>
      <c r="G2666" s="21">
        <v>381.71</v>
      </c>
      <c r="H2666" s="21">
        <v>13085.06</v>
      </c>
      <c r="I2666" s="21">
        <v>342.8</v>
      </c>
    </row>
    <row r="2667" spans="1:9" ht="15" customHeight="1" x14ac:dyDescent="0.3">
      <c r="A2667" s="21" t="s">
        <v>2979</v>
      </c>
      <c r="B2667" s="21">
        <v>2023</v>
      </c>
      <c r="C2667" s="21">
        <v>11</v>
      </c>
      <c r="D2667" s="21">
        <v>9</v>
      </c>
      <c r="E2667" s="21" t="s">
        <v>310</v>
      </c>
      <c r="F2667" s="21">
        <v>0</v>
      </c>
      <c r="G2667" s="21">
        <v>359.98</v>
      </c>
      <c r="H2667" s="21">
        <v>12340.07</v>
      </c>
      <c r="I2667" s="21">
        <v>342.8</v>
      </c>
    </row>
    <row r="2668" spans="1:9" ht="15" customHeight="1" x14ac:dyDescent="0.3">
      <c r="A2668" s="21" t="s">
        <v>2980</v>
      </c>
      <c r="B2668" s="21">
        <v>2023</v>
      </c>
      <c r="C2668" s="21">
        <v>11</v>
      </c>
      <c r="D2668" s="21">
        <v>10</v>
      </c>
      <c r="E2668" s="21" t="s">
        <v>313</v>
      </c>
      <c r="F2668" s="21">
        <v>0</v>
      </c>
      <c r="G2668" s="21">
        <v>411.88</v>
      </c>
      <c r="H2668" s="21">
        <v>14119.37</v>
      </c>
      <c r="I2668" s="21">
        <v>342.8</v>
      </c>
    </row>
    <row r="2669" spans="1:9" ht="15" customHeight="1" x14ac:dyDescent="0.3">
      <c r="A2669" s="21" t="s">
        <v>2981</v>
      </c>
      <c r="B2669" s="21">
        <v>2023</v>
      </c>
      <c r="C2669" s="21">
        <v>11</v>
      </c>
      <c r="D2669" s="21">
        <v>11</v>
      </c>
      <c r="E2669" s="21" t="s">
        <v>316</v>
      </c>
      <c r="F2669" s="21">
        <v>1</v>
      </c>
      <c r="G2669" s="21">
        <v>318.26</v>
      </c>
      <c r="H2669" s="21">
        <v>10910.07</v>
      </c>
      <c r="I2669" s="21">
        <v>342.8</v>
      </c>
    </row>
    <row r="2670" spans="1:9" ht="15" customHeight="1" x14ac:dyDescent="0.3">
      <c r="A2670" s="21" t="s">
        <v>2982</v>
      </c>
      <c r="B2670" s="21">
        <v>2023</v>
      </c>
      <c r="C2670" s="21">
        <v>11</v>
      </c>
      <c r="D2670" s="21">
        <v>12</v>
      </c>
      <c r="E2670" s="21" t="s">
        <v>319</v>
      </c>
      <c r="F2670" s="21">
        <v>1</v>
      </c>
      <c r="G2670" s="21">
        <v>322.52</v>
      </c>
      <c r="H2670" s="21">
        <v>11056.05</v>
      </c>
      <c r="I2670" s="21">
        <v>342.8</v>
      </c>
    </row>
    <row r="2671" spans="1:9" ht="15" customHeight="1" x14ac:dyDescent="0.3">
      <c r="A2671" s="21" t="s">
        <v>2983</v>
      </c>
      <c r="B2671" s="21">
        <v>2023</v>
      </c>
      <c r="C2671" s="21">
        <v>11</v>
      </c>
      <c r="D2671" s="21">
        <v>13</v>
      </c>
      <c r="E2671" s="21" t="s">
        <v>299</v>
      </c>
      <c r="F2671" s="21">
        <v>0</v>
      </c>
      <c r="G2671" s="21">
        <v>377.65</v>
      </c>
      <c r="H2671" s="21">
        <v>12945.95</v>
      </c>
      <c r="I2671" s="21">
        <v>342.8</v>
      </c>
    </row>
    <row r="2672" spans="1:9" ht="15" customHeight="1" x14ac:dyDescent="0.3">
      <c r="A2672" s="21" t="s">
        <v>2984</v>
      </c>
      <c r="B2672" s="21">
        <v>2023</v>
      </c>
      <c r="C2672" s="21">
        <v>11</v>
      </c>
      <c r="D2672" s="21">
        <v>14</v>
      </c>
      <c r="E2672" s="21" t="s">
        <v>303</v>
      </c>
      <c r="F2672" s="21">
        <v>0</v>
      </c>
      <c r="G2672" s="21">
        <v>362.17</v>
      </c>
      <c r="H2672" s="21">
        <v>12415.42</v>
      </c>
      <c r="I2672" s="21">
        <v>342.81</v>
      </c>
    </row>
    <row r="2673" spans="1:9" ht="15" customHeight="1" x14ac:dyDescent="0.3">
      <c r="A2673" s="21" t="s">
        <v>2985</v>
      </c>
      <c r="B2673" s="21">
        <v>2023</v>
      </c>
      <c r="C2673" s="21">
        <v>11</v>
      </c>
      <c r="D2673" s="21">
        <v>15</v>
      </c>
      <c r="E2673" s="21" t="s">
        <v>307</v>
      </c>
      <c r="F2673" s="21">
        <v>0</v>
      </c>
      <c r="G2673" s="21">
        <v>416.72</v>
      </c>
      <c r="H2673" s="21">
        <v>14285.24</v>
      </c>
      <c r="I2673" s="21">
        <v>342.8</v>
      </c>
    </row>
    <row r="2674" spans="1:9" ht="15" customHeight="1" x14ac:dyDescent="0.3">
      <c r="A2674" s="21" t="s">
        <v>2986</v>
      </c>
      <c r="B2674" s="21">
        <v>2023</v>
      </c>
      <c r="C2674" s="21">
        <v>11</v>
      </c>
      <c r="D2674" s="21">
        <v>16</v>
      </c>
      <c r="E2674" s="21" t="s">
        <v>310</v>
      </c>
      <c r="F2674" s="21">
        <v>0</v>
      </c>
      <c r="G2674" s="21">
        <v>397.74</v>
      </c>
      <c r="H2674" s="21">
        <v>13634.53</v>
      </c>
      <c r="I2674" s="21">
        <v>342.8</v>
      </c>
    </row>
    <row r="2675" spans="1:9" ht="15" customHeight="1" x14ac:dyDescent="0.3">
      <c r="A2675" s="21" t="s">
        <v>2987</v>
      </c>
      <c r="B2675" s="21">
        <v>2023</v>
      </c>
      <c r="C2675" s="21">
        <v>11</v>
      </c>
      <c r="D2675" s="21">
        <v>17</v>
      </c>
      <c r="E2675" s="21" t="s">
        <v>313</v>
      </c>
      <c r="F2675" s="21">
        <v>0</v>
      </c>
      <c r="G2675" s="21">
        <v>447.82</v>
      </c>
      <c r="H2675" s="21">
        <v>15351.52</v>
      </c>
      <c r="I2675" s="21">
        <v>342.81</v>
      </c>
    </row>
    <row r="2676" spans="1:9" ht="15" customHeight="1" x14ac:dyDescent="0.3">
      <c r="A2676" s="21" t="s">
        <v>2988</v>
      </c>
      <c r="B2676" s="21">
        <v>2023</v>
      </c>
      <c r="C2676" s="21">
        <v>11</v>
      </c>
      <c r="D2676" s="21">
        <v>18</v>
      </c>
      <c r="E2676" s="21" t="s">
        <v>316</v>
      </c>
      <c r="F2676" s="21">
        <v>1</v>
      </c>
      <c r="G2676" s="21">
        <v>331.19</v>
      </c>
      <c r="H2676" s="21">
        <v>11353.15</v>
      </c>
      <c r="I2676" s="21">
        <v>342.8</v>
      </c>
    </row>
    <row r="2677" spans="1:9" ht="15" customHeight="1" x14ac:dyDescent="0.3">
      <c r="A2677" s="21" t="s">
        <v>2989</v>
      </c>
      <c r="B2677" s="21">
        <v>2023</v>
      </c>
      <c r="C2677" s="21">
        <v>11</v>
      </c>
      <c r="D2677" s="21">
        <v>19</v>
      </c>
      <c r="E2677" s="21" t="s">
        <v>319</v>
      </c>
      <c r="F2677" s="21">
        <v>1</v>
      </c>
      <c r="G2677" s="21">
        <v>358.39</v>
      </c>
      <c r="H2677" s="21">
        <v>12285.82</v>
      </c>
      <c r="I2677" s="21">
        <v>342.81</v>
      </c>
    </row>
    <row r="2678" spans="1:9" ht="15" customHeight="1" x14ac:dyDescent="0.3">
      <c r="A2678" s="21" t="s">
        <v>2990</v>
      </c>
      <c r="B2678" s="21">
        <v>2023</v>
      </c>
      <c r="C2678" s="21">
        <v>11</v>
      </c>
      <c r="D2678" s="21">
        <v>20</v>
      </c>
      <c r="E2678" s="21" t="s">
        <v>299</v>
      </c>
      <c r="F2678" s="21">
        <v>0</v>
      </c>
      <c r="G2678" s="21">
        <v>414.72</v>
      </c>
      <c r="H2678" s="21">
        <v>14216.58</v>
      </c>
      <c r="I2678" s="21">
        <v>342.8</v>
      </c>
    </row>
    <row r="2679" spans="1:9" ht="15" customHeight="1" x14ac:dyDescent="0.3">
      <c r="A2679" s="21" t="s">
        <v>2991</v>
      </c>
      <c r="B2679" s="21">
        <v>2023</v>
      </c>
      <c r="C2679" s="21">
        <v>11</v>
      </c>
      <c r="D2679" s="21">
        <v>21</v>
      </c>
      <c r="E2679" s="21" t="s">
        <v>303</v>
      </c>
      <c r="F2679" s="21">
        <v>0</v>
      </c>
      <c r="G2679" s="21">
        <v>416.17</v>
      </c>
      <c r="H2679" s="21">
        <v>14266.33</v>
      </c>
      <c r="I2679" s="21">
        <v>342.8</v>
      </c>
    </row>
    <row r="2680" spans="1:9" ht="15" customHeight="1" x14ac:dyDescent="0.3">
      <c r="A2680" s="21" t="s">
        <v>2992</v>
      </c>
      <c r="B2680" s="21">
        <v>2023</v>
      </c>
      <c r="C2680" s="21">
        <v>11</v>
      </c>
      <c r="D2680" s="21">
        <v>22</v>
      </c>
      <c r="E2680" s="21" t="s">
        <v>307</v>
      </c>
      <c r="F2680" s="21">
        <v>0</v>
      </c>
      <c r="G2680" s="21">
        <v>417.07</v>
      </c>
      <c r="H2680" s="21">
        <v>14297.2</v>
      </c>
      <c r="I2680" s="21">
        <v>342.8</v>
      </c>
    </row>
    <row r="2681" spans="1:9" ht="15" customHeight="1" x14ac:dyDescent="0.3">
      <c r="A2681" s="21" t="s">
        <v>2993</v>
      </c>
      <c r="B2681" s="21">
        <v>2023</v>
      </c>
      <c r="C2681" s="21">
        <v>11</v>
      </c>
      <c r="D2681" s="21">
        <v>23</v>
      </c>
      <c r="E2681" s="21" t="s">
        <v>310</v>
      </c>
      <c r="F2681" s="21">
        <v>0</v>
      </c>
      <c r="G2681" s="21">
        <v>400.83</v>
      </c>
      <c r="H2681" s="21">
        <v>13740.45</v>
      </c>
      <c r="I2681" s="21">
        <v>342.8</v>
      </c>
    </row>
    <row r="2682" spans="1:9" ht="15" customHeight="1" x14ac:dyDescent="0.3">
      <c r="A2682" s="21" t="s">
        <v>2994</v>
      </c>
      <c r="B2682" s="21">
        <v>2023</v>
      </c>
      <c r="C2682" s="21">
        <v>11</v>
      </c>
      <c r="D2682" s="21">
        <v>24</v>
      </c>
      <c r="E2682" s="21" t="s">
        <v>313</v>
      </c>
      <c r="F2682" s="21">
        <v>0</v>
      </c>
      <c r="G2682" s="21">
        <v>449.28</v>
      </c>
      <c r="H2682" s="21">
        <v>15401.55</v>
      </c>
      <c r="I2682" s="21">
        <v>342.81</v>
      </c>
    </row>
    <row r="2683" spans="1:9" ht="15" customHeight="1" x14ac:dyDescent="0.3">
      <c r="A2683" s="21" t="s">
        <v>2995</v>
      </c>
      <c r="B2683" s="21">
        <v>2023</v>
      </c>
      <c r="C2683" s="21">
        <v>11</v>
      </c>
      <c r="D2683" s="21">
        <v>25</v>
      </c>
      <c r="E2683" s="21" t="s">
        <v>316</v>
      </c>
      <c r="F2683" s="21">
        <v>1</v>
      </c>
      <c r="G2683" s="21">
        <v>351.17</v>
      </c>
      <c r="H2683" s="21">
        <v>12038.38</v>
      </c>
      <c r="I2683" s="21">
        <v>342.81</v>
      </c>
    </row>
    <row r="2684" spans="1:9" ht="15" customHeight="1" x14ac:dyDescent="0.3">
      <c r="A2684" s="21" t="s">
        <v>2996</v>
      </c>
      <c r="B2684" s="21">
        <v>2023</v>
      </c>
      <c r="C2684" s="21">
        <v>11</v>
      </c>
      <c r="D2684" s="21">
        <v>26</v>
      </c>
      <c r="E2684" s="21" t="s">
        <v>319</v>
      </c>
      <c r="F2684" s="21">
        <v>1</v>
      </c>
      <c r="G2684" s="21">
        <v>310.33</v>
      </c>
      <c r="H2684" s="21">
        <v>10638.06</v>
      </c>
      <c r="I2684" s="21">
        <v>342.8</v>
      </c>
    </row>
    <row r="2685" spans="1:9" ht="15" customHeight="1" x14ac:dyDescent="0.3">
      <c r="A2685" s="21" t="s">
        <v>2997</v>
      </c>
      <c r="B2685" s="21">
        <v>2023</v>
      </c>
      <c r="C2685" s="21">
        <v>11</v>
      </c>
      <c r="D2685" s="21">
        <v>27</v>
      </c>
      <c r="E2685" s="21" t="s">
        <v>299</v>
      </c>
      <c r="F2685" s="21">
        <v>0</v>
      </c>
      <c r="G2685" s="21">
        <v>379.51</v>
      </c>
      <c r="H2685" s="21">
        <v>13009.89</v>
      </c>
      <c r="I2685" s="21">
        <v>342.81</v>
      </c>
    </row>
    <row r="2686" spans="1:9" ht="15" customHeight="1" x14ac:dyDescent="0.3">
      <c r="A2686" s="21" t="s">
        <v>2998</v>
      </c>
      <c r="B2686" s="21">
        <v>2023</v>
      </c>
      <c r="C2686" s="21">
        <v>11</v>
      </c>
      <c r="D2686" s="21">
        <v>28</v>
      </c>
      <c r="E2686" s="21" t="s">
        <v>303</v>
      </c>
      <c r="F2686" s="21">
        <v>0</v>
      </c>
      <c r="G2686" s="21">
        <v>350.25</v>
      </c>
      <c r="H2686" s="21">
        <v>12006.82</v>
      </c>
      <c r="I2686" s="21">
        <v>342.81</v>
      </c>
    </row>
    <row r="2687" spans="1:9" ht="15" customHeight="1" x14ac:dyDescent="0.3">
      <c r="A2687" s="21" t="s">
        <v>2999</v>
      </c>
      <c r="B2687" s="21">
        <v>2023</v>
      </c>
      <c r="C2687" s="21">
        <v>11</v>
      </c>
      <c r="D2687" s="21">
        <v>29</v>
      </c>
      <c r="E2687" s="21" t="s">
        <v>307</v>
      </c>
      <c r="F2687" s="21">
        <v>0</v>
      </c>
      <c r="G2687" s="21">
        <v>432.48</v>
      </c>
      <c r="H2687" s="21">
        <v>14825.6</v>
      </c>
      <c r="I2687" s="21">
        <v>342.8</v>
      </c>
    </row>
    <row r="2688" spans="1:9" ht="15" customHeight="1" x14ac:dyDescent="0.3">
      <c r="A2688" s="21" t="s">
        <v>3000</v>
      </c>
      <c r="B2688" s="21">
        <v>2023</v>
      </c>
      <c r="C2688" s="21">
        <v>11</v>
      </c>
      <c r="D2688" s="21">
        <v>30</v>
      </c>
      <c r="E2688" s="21" t="s">
        <v>310</v>
      </c>
      <c r="F2688" s="21">
        <v>0</v>
      </c>
      <c r="G2688" s="21">
        <v>407.9</v>
      </c>
      <c r="H2688" s="21">
        <v>13982.95</v>
      </c>
      <c r="I2688" s="21">
        <v>342.8</v>
      </c>
    </row>
    <row r="2689" spans="1:9" ht="15" customHeight="1" x14ac:dyDescent="0.3">
      <c r="A2689" s="21" t="s">
        <v>186</v>
      </c>
      <c r="B2689" s="21">
        <v>2023</v>
      </c>
      <c r="C2689" s="21">
        <v>12</v>
      </c>
      <c r="D2689" s="21">
        <v>1</v>
      </c>
      <c r="E2689" s="21" t="s">
        <v>313</v>
      </c>
      <c r="F2689" s="21">
        <v>0</v>
      </c>
      <c r="G2689" s="21">
        <v>482.85</v>
      </c>
      <c r="H2689" s="21">
        <v>16480</v>
      </c>
      <c r="I2689" s="21">
        <v>341.31</v>
      </c>
    </row>
    <row r="2690" spans="1:9" ht="15" customHeight="1" x14ac:dyDescent="0.3">
      <c r="A2690" s="21" t="s">
        <v>3001</v>
      </c>
      <c r="B2690" s="21">
        <v>2023</v>
      </c>
      <c r="C2690" s="21">
        <v>12</v>
      </c>
      <c r="D2690" s="21">
        <v>2</v>
      </c>
      <c r="E2690" s="21" t="s">
        <v>316</v>
      </c>
      <c r="F2690" s="21">
        <v>1</v>
      </c>
      <c r="G2690" s="21">
        <v>375.49</v>
      </c>
      <c r="H2690" s="21">
        <v>12815.83</v>
      </c>
      <c r="I2690" s="21">
        <v>341.31</v>
      </c>
    </row>
    <row r="2691" spans="1:9" ht="15" customHeight="1" x14ac:dyDescent="0.3">
      <c r="A2691" s="21" t="s">
        <v>3002</v>
      </c>
      <c r="B2691" s="21">
        <v>2023</v>
      </c>
      <c r="C2691" s="21">
        <v>12</v>
      </c>
      <c r="D2691" s="21">
        <v>3</v>
      </c>
      <c r="E2691" s="21" t="s">
        <v>319</v>
      </c>
      <c r="F2691" s="21">
        <v>1</v>
      </c>
      <c r="G2691" s="21">
        <v>337.48</v>
      </c>
      <c r="H2691" s="21">
        <v>11518.42</v>
      </c>
      <c r="I2691" s="21">
        <v>341.31</v>
      </c>
    </row>
    <row r="2692" spans="1:9" ht="15" customHeight="1" x14ac:dyDescent="0.3">
      <c r="A2692" s="21" t="s">
        <v>3003</v>
      </c>
      <c r="B2692" s="21">
        <v>2023</v>
      </c>
      <c r="C2692" s="21">
        <v>12</v>
      </c>
      <c r="D2692" s="21">
        <v>4</v>
      </c>
      <c r="E2692" s="21" t="s">
        <v>299</v>
      </c>
      <c r="F2692" s="21">
        <v>0</v>
      </c>
      <c r="G2692" s="21">
        <v>403.62</v>
      </c>
      <c r="H2692" s="21">
        <v>13775.65</v>
      </c>
      <c r="I2692" s="21">
        <v>341.3</v>
      </c>
    </row>
    <row r="2693" spans="1:9" ht="15" customHeight="1" x14ac:dyDescent="0.3">
      <c r="A2693" s="21" t="s">
        <v>3004</v>
      </c>
      <c r="B2693" s="21">
        <v>2023</v>
      </c>
      <c r="C2693" s="21">
        <v>12</v>
      </c>
      <c r="D2693" s="21">
        <v>5</v>
      </c>
      <c r="E2693" s="21" t="s">
        <v>303</v>
      </c>
      <c r="F2693" s="21">
        <v>0</v>
      </c>
      <c r="G2693" s="21">
        <v>383.91</v>
      </c>
      <c r="H2693" s="21">
        <v>13103.07</v>
      </c>
      <c r="I2693" s="21">
        <v>341.31</v>
      </c>
    </row>
    <row r="2694" spans="1:9" ht="15" customHeight="1" x14ac:dyDescent="0.3">
      <c r="A2694" s="21" t="s">
        <v>3005</v>
      </c>
      <c r="B2694" s="21">
        <v>2023</v>
      </c>
      <c r="C2694" s="21">
        <v>12</v>
      </c>
      <c r="D2694" s="21">
        <v>6</v>
      </c>
      <c r="E2694" s="21" t="s">
        <v>307</v>
      </c>
      <c r="F2694" s="21">
        <v>0</v>
      </c>
      <c r="G2694" s="21">
        <v>396.26</v>
      </c>
      <c r="H2694" s="21">
        <v>13524.44</v>
      </c>
      <c r="I2694" s="21">
        <v>341.3</v>
      </c>
    </row>
    <row r="2695" spans="1:9" ht="15" customHeight="1" x14ac:dyDescent="0.3">
      <c r="A2695" s="21" t="s">
        <v>3006</v>
      </c>
      <c r="B2695" s="21">
        <v>2023</v>
      </c>
      <c r="C2695" s="21">
        <v>12</v>
      </c>
      <c r="D2695" s="21">
        <v>7</v>
      </c>
      <c r="E2695" s="21" t="s">
        <v>310</v>
      </c>
      <c r="F2695" s="21">
        <v>0</v>
      </c>
      <c r="G2695" s="21">
        <v>391.64</v>
      </c>
      <c r="H2695" s="21">
        <v>13366.89</v>
      </c>
      <c r="I2695" s="21">
        <v>341.31</v>
      </c>
    </row>
    <row r="2696" spans="1:9" ht="15" customHeight="1" x14ac:dyDescent="0.3">
      <c r="A2696" s="21" t="s">
        <v>3007</v>
      </c>
      <c r="B2696" s="21">
        <v>2023</v>
      </c>
      <c r="C2696" s="21">
        <v>12</v>
      </c>
      <c r="D2696" s="21">
        <v>8</v>
      </c>
      <c r="E2696" s="21" t="s">
        <v>313</v>
      </c>
      <c r="F2696" s="21">
        <v>0</v>
      </c>
      <c r="G2696" s="21">
        <v>422.44</v>
      </c>
      <c r="H2696" s="21">
        <v>14418.1</v>
      </c>
      <c r="I2696" s="21">
        <v>341.31</v>
      </c>
    </row>
    <row r="2697" spans="1:9" ht="15" customHeight="1" x14ac:dyDescent="0.3">
      <c r="A2697" s="21" t="s">
        <v>3008</v>
      </c>
      <c r="B2697" s="21">
        <v>2023</v>
      </c>
      <c r="C2697" s="21">
        <v>12</v>
      </c>
      <c r="D2697" s="21">
        <v>9</v>
      </c>
      <c r="E2697" s="21" t="s">
        <v>316</v>
      </c>
      <c r="F2697" s="21">
        <v>1</v>
      </c>
      <c r="G2697" s="21">
        <v>335.04</v>
      </c>
      <c r="H2697" s="21">
        <v>11435.1</v>
      </c>
      <c r="I2697" s="21">
        <v>341.31</v>
      </c>
    </row>
    <row r="2698" spans="1:9" ht="15" customHeight="1" x14ac:dyDescent="0.3">
      <c r="A2698" s="21" t="s">
        <v>3009</v>
      </c>
      <c r="B2698" s="21">
        <v>2023</v>
      </c>
      <c r="C2698" s="21">
        <v>12</v>
      </c>
      <c r="D2698" s="21">
        <v>10</v>
      </c>
      <c r="E2698" s="21" t="s">
        <v>319</v>
      </c>
      <c r="F2698" s="21">
        <v>1</v>
      </c>
      <c r="G2698" s="21">
        <v>311.72000000000003</v>
      </c>
      <c r="H2698" s="21">
        <v>10639.14</v>
      </c>
      <c r="I2698" s="21">
        <v>341.3</v>
      </c>
    </row>
    <row r="2699" spans="1:9" ht="15" customHeight="1" x14ac:dyDescent="0.3">
      <c r="A2699" s="21" t="s">
        <v>3010</v>
      </c>
      <c r="B2699" s="21">
        <v>2023</v>
      </c>
      <c r="C2699" s="21">
        <v>12</v>
      </c>
      <c r="D2699" s="21">
        <v>11</v>
      </c>
      <c r="E2699" s="21" t="s">
        <v>299</v>
      </c>
      <c r="F2699" s="21">
        <v>0</v>
      </c>
      <c r="G2699" s="21">
        <v>415.93</v>
      </c>
      <c r="H2699" s="21">
        <v>14196.02</v>
      </c>
      <c r="I2699" s="21">
        <v>341.31</v>
      </c>
    </row>
    <row r="2700" spans="1:9" ht="15" customHeight="1" x14ac:dyDescent="0.3">
      <c r="A2700" s="21" t="s">
        <v>3011</v>
      </c>
      <c r="B2700" s="21">
        <v>2023</v>
      </c>
      <c r="C2700" s="21">
        <v>12</v>
      </c>
      <c r="D2700" s="21">
        <v>12</v>
      </c>
      <c r="E2700" s="21" t="s">
        <v>303</v>
      </c>
      <c r="F2700" s="21">
        <v>0</v>
      </c>
      <c r="G2700" s="21">
        <v>394.87</v>
      </c>
      <c r="H2700" s="21">
        <v>13477.03</v>
      </c>
      <c r="I2700" s="21">
        <v>341.3</v>
      </c>
    </row>
    <row r="2701" spans="1:9" ht="15" customHeight="1" x14ac:dyDescent="0.3">
      <c r="A2701" s="21" t="s">
        <v>3012</v>
      </c>
      <c r="B2701" s="21">
        <v>2023</v>
      </c>
      <c r="C2701" s="21">
        <v>12</v>
      </c>
      <c r="D2701" s="21">
        <v>13</v>
      </c>
      <c r="E2701" s="21" t="s">
        <v>307</v>
      </c>
      <c r="F2701" s="21">
        <v>0</v>
      </c>
      <c r="G2701" s="21">
        <v>375.92</v>
      </c>
      <c r="H2701" s="21">
        <v>12830.23</v>
      </c>
      <c r="I2701" s="21">
        <v>341.3</v>
      </c>
    </row>
    <row r="2702" spans="1:9" ht="15" customHeight="1" x14ac:dyDescent="0.3">
      <c r="A2702" s="21" t="s">
        <v>3013</v>
      </c>
      <c r="B2702" s="21">
        <v>2023</v>
      </c>
      <c r="C2702" s="21">
        <v>12</v>
      </c>
      <c r="D2702" s="21">
        <v>14</v>
      </c>
      <c r="E2702" s="21" t="s">
        <v>310</v>
      </c>
      <c r="F2702" s="21">
        <v>0</v>
      </c>
      <c r="G2702" s="21">
        <v>384.9</v>
      </c>
      <c r="H2702" s="21">
        <v>13136.97</v>
      </c>
      <c r="I2702" s="21">
        <v>341.31</v>
      </c>
    </row>
    <row r="2703" spans="1:9" ht="15" customHeight="1" x14ac:dyDescent="0.3">
      <c r="A2703" s="21" t="s">
        <v>3014</v>
      </c>
      <c r="B2703" s="21">
        <v>2023</v>
      </c>
      <c r="C2703" s="21">
        <v>12</v>
      </c>
      <c r="D2703" s="21">
        <v>15</v>
      </c>
      <c r="E2703" s="21" t="s">
        <v>313</v>
      </c>
      <c r="F2703" s="21">
        <v>0</v>
      </c>
      <c r="G2703" s="21">
        <v>418.3</v>
      </c>
      <c r="H2703" s="21">
        <v>14276.98</v>
      </c>
      <c r="I2703" s="21">
        <v>341.31</v>
      </c>
    </row>
    <row r="2704" spans="1:9" ht="15" customHeight="1" x14ac:dyDescent="0.3">
      <c r="A2704" s="21" t="s">
        <v>3015</v>
      </c>
      <c r="B2704" s="21">
        <v>2023</v>
      </c>
      <c r="C2704" s="21">
        <v>12</v>
      </c>
      <c r="D2704" s="21">
        <v>16</v>
      </c>
      <c r="E2704" s="21" t="s">
        <v>316</v>
      </c>
      <c r="F2704" s="21">
        <v>1</v>
      </c>
      <c r="G2704" s="21">
        <v>328.02</v>
      </c>
      <c r="H2704" s="21">
        <v>11195.39</v>
      </c>
      <c r="I2704" s="21">
        <v>341.3</v>
      </c>
    </row>
    <row r="2705" spans="1:9" ht="15" customHeight="1" x14ac:dyDescent="0.3">
      <c r="A2705" s="21" t="s">
        <v>3016</v>
      </c>
      <c r="B2705" s="21">
        <v>2023</v>
      </c>
      <c r="C2705" s="21">
        <v>12</v>
      </c>
      <c r="D2705" s="21">
        <v>17</v>
      </c>
      <c r="E2705" s="21" t="s">
        <v>319</v>
      </c>
      <c r="F2705" s="21">
        <v>1</v>
      </c>
      <c r="G2705" s="21">
        <v>333.46</v>
      </c>
      <c r="H2705" s="21">
        <v>11381.34</v>
      </c>
      <c r="I2705" s="21">
        <v>341.31</v>
      </c>
    </row>
    <row r="2706" spans="1:9" ht="15" customHeight="1" x14ac:dyDescent="0.3">
      <c r="A2706" s="21" t="s">
        <v>3017</v>
      </c>
      <c r="B2706" s="21">
        <v>2023</v>
      </c>
      <c r="C2706" s="21">
        <v>12</v>
      </c>
      <c r="D2706" s="21">
        <v>18</v>
      </c>
      <c r="E2706" s="21" t="s">
        <v>299</v>
      </c>
      <c r="F2706" s="21">
        <v>0</v>
      </c>
      <c r="G2706" s="21">
        <v>423.78</v>
      </c>
      <c r="H2706" s="21">
        <v>14463.84</v>
      </c>
      <c r="I2706" s="21">
        <v>341.31</v>
      </c>
    </row>
    <row r="2707" spans="1:9" ht="15" customHeight="1" x14ac:dyDescent="0.3">
      <c r="A2707" s="21" t="s">
        <v>3018</v>
      </c>
      <c r="B2707" s="21">
        <v>2023</v>
      </c>
      <c r="C2707" s="21">
        <v>12</v>
      </c>
      <c r="D2707" s="21">
        <v>19</v>
      </c>
      <c r="E2707" s="21" t="s">
        <v>303</v>
      </c>
      <c r="F2707" s="21">
        <v>0</v>
      </c>
      <c r="G2707" s="21">
        <v>400.33</v>
      </c>
      <c r="H2707" s="21">
        <v>13663.35</v>
      </c>
      <c r="I2707" s="21">
        <v>341.3</v>
      </c>
    </row>
    <row r="2708" spans="1:9" ht="15" customHeight="1" x14ac:dyDescent="0.3">
      <c r="A2708" s="21" t="s">
        <v>3019</v>
      </c>
      <c r="B2708" s="21">
        <v>2023</v>
      </c>
      <c r="C2708" s="21">
        <v>12</v>
      </c>
      <c r="D2708" s="21">
        <v>20</v>
      </c>
      <c r="E2708" s="21" t="s">
        <v>307</v>
      </c>
      <c r="F2708" s="21">
        <v>0</v>
      </c>
      <c r="G2708" s="21">
        <v>372.48</v>
      </c>
      <c r="H2708" s="21">
        <v>12712.9</v>
      </c>
      <c r="I2708" s="21">
        <v>341.3</v>
      </c>
    </row>
    <row r="2709" spans="1:9" ht="15" customHeight="1" x14ac:dyDescent="0.3">
      <c r="A2709" s="21" t="s">
        <v>3020</v>
      </c>
      <c r="B2709" s="21">
        <v>2023</v>
      </c>
      <c r="C2709" s="21">
        <v>12</v>
      </c>
      <c r="D2709" s="21">
        <v>21</v>
      </c>
      <c r="E2709" s="21" t="s">
        <v>310</v>
      </c>
      <c r="F2709" s="21">
        <v>0</v>
      </c>
      <c r="G2709" s="21">
        <v>394.98</v>
      </c>
      <c r="H2709" s="21">
        <v>13480.84</v>
      </c>
      <c r="I2709" s="21">
        <v>341.3</v>
      </c>
    </row>
    <row r="2710" spans="1:9" ht="15" customHeight="1" x14ac:dyDescent="0.3">
      <c r="A2710" s="21" t="s">
        <v>3021</v>
      </c>
      <c r="B2710" s="21">
        <v>2023</v>
      </c>
      <c r="C2710" s="21">
        <v>12</v>
      </c>
      <c r="D2710" s="21">
        <v>22</v>
      </c>
      <c r="E2710" s="21" t="s">
        <v>313</v>
      </c>
      <c r="F2710" s="21">
        <v>0</v>
      </c>
      <c r="G2710" s="21">
        <v>434.22</v>
      </c>
      <c r="H2710" s="21">
        <v>14820.19</v>
      </c>
      <c r="I2710" s="21">
        <v>341.31</v>
      </c>
    </row>
    <row r="2711" spans="1:9" ht="15" customHeight="1" x14ac:dyDescent="0.3">
      <c r="A2711" s="21" t="s">
        <v>3022</v>
      </c>
      <c r="B2711" s="21">
        <v>2023</v>
      </c>
      <c r="C2711" s="21">
        <v>12</v>
      </c>
      <c r="D2711" s="21">
        <v>23</v>
      </c>
      <c r="E2711" s="21" t="s">
        <v>316</v>
      </c>
      <c r="F2711" s="21">
        <v>1</v>
      </c>
      <c r="G2711" s="21">
        <v>334.08</v>
      </c>
      <c r="H2711" s="21">
        <v>11402.36</v>
      </c>
      <c r="I2711" s="21">
        <v>341.31</v>
      </c>
    </row>
    <row r="2712" spans="1:9" ht="15" customHeight="1" x14ac:dyDescent="0.3">
      <c r="A2712" s="21" t="s">
        <v>3023</v>
      </c>
      <c r="B2712" s="21">
        <v>2023</v>
      </c>
      <c r="C2712" s="21">
        <v>12</v>
      </c>
      <c r="D2712" s="21">
        <v>24</v>
      </c>
      <c r="E2712" s="21" t="s">
        <v>319</v>
      </c>
      <c r="F2712" s="21">
        <v>1</v>
      </c>
      <c r="G2712" s="21">
        <v>342.27</v>
      </c>
      <c r="H2712" s="21">
        <v>11681.93</v>
      </c>
      <c r="I2712" s="21">
        <v>341.31</v>
      </c>
    </row>
    <row r="2713" spans="1:9" ht="15" customHeight="1" x14ac:dyDescent="0.3">
      <c r="A2713" s="21" t="s">
        <v>3024</v>
      </c>
      <c r="B2713" s="21">
        <v>2023</v>
      </c>
      <c r="C2713" s="21">
        <v>12</v>
      </c>
      <c r="D2713" s="21">
        <v>25</v>
      </c>
      <c r="E2713" s="21" t="s">
        <v>299</v>
      </c>
      <c r="F2713" s="21">
        <v>0</v>
      </c>
      <c r="G2713" s="21">
        <v>430.54</v>
      </c>
      <c r="H2713" s="21">
        <v>14694.47</v>
      </c>
      <c r="I2713" s="21">
        <v>341.3</v>
      </c>
    </row>
    <row r="2714" spans="1:9" ht="15" customHeight="1" x14ac:dyDescent="0.3">
      <c r="A2714" s="21" t="s">
        <v>3025</v>
      </c>
      <c r="B2714" s="21">
        <v>2023</v>
      </c>
      <c r="C2714" s="21">
        <v>12</v>
      </c>
      <c r="D2714" s="21">
        <v>26</v>
      </c>
      <c r="E2714" s="21" t="s">
        <v>303</v>
      </c>
      <c r="F2714" s="21">
        <v>0</v>
      </c>
      <c r="G2714" s="21">
        <v>399.65</v>
      </c>
      <c r="H2714" s="21">
        <v>13640.3</v>
      </c>
      <c r="I2714" s="21">
        <v>341.31</v>
      </c>
    </row>
    <row r="2715" spans="1:9" ht="15" customHeight="1" x14ac:dyDescent="0.3">
      <c r="A2715" s="21" t="s">
        <v>3026</v>
      </c>
      <c r="B2715" s="21">
        <v>2023</v>
      </c>
      <c r="C2715" s="21">
        <v>12</v>
      </c>
      <c r="D2715" s="21">
        <v>27</v>
      </c>
      <c r="E2715" s="21" t="s">
        <v>307</v>
      </c>
      <c r="F2715" s="21">
        <v>0</v>
      </c>
      <c r="G2715" s="21">
        <v>390.64</v>
      </c>
      <c r="H2715" s="21">
        <v>13332.85</v>
      </c>
      <c r="I2715" s="21">
        <v>341.31</v>
      </c>
    </row>
    <row r="2716" spans="1:9" ht="15" customHeight="1" x14ac:dyDescent="0.3">
      <c r="A2716" s="21" t="s">
        <v>3027</v>
      </c>
      <c r="B2716" s="21">
        <v>2023</v>
      </c>
      <c r="C2716" s="21">
        <v>12</v>
      </c>
      <c r="D2716" s="21">
        <v>28</v>
      </c>
      <c r="E2716" s="21" t="s">
        <v>310</v>
      </c>
      <c r="F2716" s="21">
        <v>0</v>
      </c>
      <c r="G2716" s="21">
        <v>399.9</v>
      </c>
      <c r="H2716" s="21">
        <v>13648.79</v>
      </c>
      <c r="I2716" s="21">
        <v>341.31</v>
      </c>
    </row>
    <row r="2717" spans="1:9" ht="15" customHeight="1" x14ac:dyDescent="0.3">
      <c r="A2717" s="21" t="s">
        <v>3028</v>
      </c>
      <c r="B2717" s="21">
        <v>2023</v>
      </c>
      <c r="C2717" s="21">
        <v>12</v>
      </c>
      <c r="D2717" s="21">
        <v>29</v>
      </c>
      <c r="E2717" s="21" t="s">
        <v>313</v>
      </c>
      <c r="F2717" s="21">
        <v>0</v>
      </c>
      <c r="G2717" s="21">
        <v>420.45</v>
      </c>
      <c r="H2717" s="21">
        <v>14350.1</v>
      </c>
      <c r="I2717" s="21">
        <v>341.3</v>
      </c>
    </row>
    <row r="2718" spans="1:9" ht="15" customHeight="1" x14ac:dyDescent="0.3">
      <c r="A2718" s="21" t="s">
        <v>3029</v>
      </c>
      <c r="B2718" s="21">
        <v>2023</v>
      </c>
      <c r="C2718" s="21">
        <v>12</v>
      </c>
      <c r="D2718" s="21">
        <v>30</v>
      </c>
      <c r="E2718" s="21" t="s">
        <v>316</v>
      </c>
      <c r="F2718" s="21">
        <v>1</v>
      </c>
      <c r="G2718" s="21">
        <v>379.34</v>
      </c>
      <c r="H2718" s="21">
        <v>12947.02</v>
      </c>
      <c r="I2718" s="21">
        <v>341.3</v>
      </c>
    </row>
    <row r="2719" spans="1:9" ht="15" customHeight="1" x14ac:dyDescent="0.3">
      <c r="A2719" s="21" t="s">
        <v>3030</v>
      </c>
      <c r="B2719" s="21">
        <v>2023</v>
      </c>
      <c r="C2719" s="21">
        <v>12</v>
      </c>
      <c r="D2719" s="21">
        <v>31</v>
      </c>
      <c r="E2719" s="21" t="s">
        <v>319</v>
      </c>
      <c r="F2719" s="21">
        <v>1</v>
      </c>
      <c r="G2719" s="21">
        <v>374.32</v>
      </c>
      <c r="H2719" s="21">
        <v>12775.66</v>
      </c>
      <c r="I2719" s="21">
        <v>341.3</v>
      </c>
    </row>
    <row r="2720" spans="1:9" ht="15" customHeight="1" x14ac:dyDescent="0.3">
      <c r="A2720" s="21" t="s">
        <v>187</v>
      </c>
      <c r="B2720" s="21">
        <v>2024</v>
      </c>
      <c r="C2720" s="21">
        <v>1</v>
      </c>
      <c r="D2720" s="21">
        <v>1</v>
      </c>
      <c r="E2720" s="21" t="s">
        <v>299</v>
      </c>
      <c r="F2720" s="21">
        <v>0</v>
      </c>
      <c r="G2720" s="21">
        <v>496.56</v>
      </c>
      <c r="H2720" s="21">
        <v>17026.97</v>
      </c>
      <c r="I2720" s="21">
        <v>342.9</v>
      </c>
    </row>
    <row r="2721" spans="1:9" ht="15" customHeight="1" x14ac:dyDescent="0.3">
      <c r="A2721" s="21" t="s">
        <v>3031</v>
      </c>
      <c r="B2721" s="21">
        <v>2024</v>
      </c>
      <c r="C2721" s="21">
        <v>1</v>
      </c>
      <c r="D2721" s="21">
        <v>2</v>
      </c>
      <c r="E2721" s="21" t="s">
        <v>303</v>
      </c>
      <c r="F2721" s="21">
        <v>0</v>
      </c>
      <c r="G2721" s="21">
        <v>441.58</v>
      </c>
      <c r="H2721" s="21">
        <v>15141.65</v>
      </c>
      <c r="I2721" s="21">
        <v>342.9</v>
      </c>
    </row>
    <row r="2722" spans="1:9" ht="15" customHeight="1" x14ac:dyDescent="0.3">
      <c r="A2722" s="21" t="s">
        <v>3032</v>
      </c>
      <c r="B2722" s="21">
        <v>2024</v>
      </c>
      <c r="C2722" s="21">
        <v>1</v>
      </c>
      <c r="D2722" s="21">
        <v>3</v>
      </c>
      <c r="E2722" s="21" t="s">
        <v>307</v>
      </c>
      <c r="F2722" s="21">
        <v>0</v>
      </c>
      <c r="G2722" s="21">
        <v>411.74</v>
      </c>
      <c r="H2722" s="21">
        <v>14118.58</v>
      </c>
      <c r="I2722" s="21">
        <v>342.9</v>
      </c>
    </row>
    <row r="2723" spans="1:9" ht="15" customHeight="1" x14ac:dyDescent="0.3">
      <c r="A2723" s="21" t="s">
        <v>3033</v>
      </c>
      <c r="B2723" s="21">
        <v>2024</v>
      </c>
      <c r="C2723" s="21">
        <v>1</v>
      </c>
      <c r="D2723" s="21">
        <v>4</v>
      </c>
      <c r="E2723" s="21" t="s">
        <v>310</v>
      </c>
      <c r="F2723" s="21">
        <v>0</v>
      </c>
      <c r="G2723" s="21">
        <v>399.55</v>
      </c>
      <c r="H2723" s="21">
        <v>13700.48</v>
      </c>
      <c r="I2723" s="21">
        <v>342.9</v>
      </c>
    </row>
    <row r="2724" spans="1:9" ht="15" customHeight="1" x14ac:dyDescent="0.3">
      <c r="A2724" s="21" t="s">
        <v>3034</v>
      </c>
      <c r="B2724" s="21">
        <v>2024</v>
      </c>
      <c r="C2724" s="21">
        <v>1</v>
      </c>
      <c r="D2724" s="21">
        <v>5</v>
      </c>
      <c r="E2724" s="21" t="s">
        <v>313</v>
      </c>
      <c r="F2724" s="21">
        <v>0</v>
      </c>
      <c r="G2724" s="21">
        <v>408.61</v>
      </c>
      <c r="H2724" s="21">
        <v>14011.27</v>
      </c>
      <c r="I2724" s="21">
        <v>342.9</v>
      </c>
    </row>
    <row r="2725" spans="1:9" ht="15" customHeight="1" x14ac:dyDescent="0.3">
      <c r="A2725" s="21" t="s">
        <v>3035</v>
      </c>
      <c r="B2725" s="21">
        <v>2024</v>
      </c>
      <c r="C2725" s="21">
        <v>1</v>
      </c>
      <c r="D2725" s="21">
        <v>6</v>
      </c>
      <c r="E2725" s="21" t="s">
        <v>316</v>
      </c>
      <c r="F2725" s="21">
        <v>1</v>
      </c>
      <c r="G2725" s="21">
        <v>338.94</v>
      </c>
      <c r="H2725" s="21">
        <v>11622.23</v>
      </c>
      <c r="I2725" s="21">
        <v>342.9</v>
      </c>
    </row>
    <row r="2726" spans="1:9" ht="15" customHeight="1" x14ac:dyDescent="0.3">
      <c r="A2726" s="21" t="s">
        <v>3036</v>
      </c>
      <c r="B2726" s="21">
        <v>2024</v>
      </c>
      <c r="C2726" s="21">
        <v>1</v>
      </c>
      <c r="D2726" s="21">
        <v>7</v>
      </c>
      <c r="E2726" s="21" t="s">
        <v>319</v>
      </c>
      <c r="F2726" s="21">
        <v>1</v>
      </c>
      <c r="G2726" s="21">
        <v>309.8</v>
      </c>
      <c r="H2726" s="21">
        <v>10622.97</v>
      </c>
      <c r="I2726" s="21">
        <v>342.9</v>
      </c>
    </row>
    <row r="2727" spans="1:9" ht="15" customHeight="1" x14ac:dyDescent="0.3">
      <c r="A2727" s="21" t="s">
        <v>3037</v>
      </c>
      <c r="B2727" s="21">
        <v>2024</v>
      </c>
      <c r="C2727" s="21">
        <v>1</v>
      </c>
      <c r="D2727" s="21">
        <v>8</v>
      </c>
      <c r="E2727" s="21" t="s">
        <v>299</v>
      </c>
      <c r="F2727" s="21">
        <v>0</v>
      </c>
      <c r="G2727" s="21">
        <v>420.71</v>
      </c>
      <c r="H2727" s="21">
        <v>14426.26</v>
      </c>
      <c r="I2727" s="21">
        <v>342.9</v>
      </c>
    </row>
    <row r="2728" spans="1:9" ht="15" customHeight="1" x14ac:dyDescent="0.3">
      <c r="A2728" s="21" t="s">
        <v>3038</v>
      </c>
      <c r="B2728" s="21">
        <v>2024</v>
      </c>
      <c r="C2728" s="21">
        <v>1</v>
      </c>
      <c r="D2728" s="21">
        <v>9</v>
      </c>
      <c r="E2728" s="21" t="s">
        <v>303</v>
      </c>
      <c r="F2728" s="21">
        <v>0</v>
      </c>
      <c r="G2728" s="21">
        <v>404.1</v>
      </c>
      <c r="H2728" s="21">
        <v>13856.53</v>
      </c>
      <c r="I2728" s="21">
        <v>342.9</v>
      </c>
    </row>
    <row r="2729" spans="1:9" ht="15" customHeight="1" x14ac:dyDescent="0.3">
      <c r="A2729" s="21" t="s">
        <v>3039</v>
      </c>
      <c r="B2729" s="21">
        <v>2024</v>
      </c>
      <c r="C2729" s="21">
        <v>1</v>
      </c>
      <c r="D2729" s="21">
        <v>10</v>
      </c>
      <c r="E2729" s="21" t="s">
        <v>307</v>
      </c>
      <c r="F2729" s="21">
        <v>0</v>
      </c>
      <c r="G2729" s="21">
        <v>386.65</v>
      </c>
      <c r="H2729" s="21">
        <v>13258.19</v>
      </c>
      <c r="I2729" s="21">
        <v>342.9</v>
      </c>
    </row>
    <row r="2730" spans="1:9" ht="15" customHeight="1" x14ac:dyDescent="0.3">
      <c r="A2730" s="21" t="s">
        <v>3040</v>
      </c>
      <c r="B2730" s="21">
        <v>2024</v>
      </c>
      <c r="C2730" s="21">
        <v>1</v>
      </c>
      <c r="D2730" s="21">
        <v>11</v>
      </c>
      <c r="E2730" s="21" t="s">
        <v>310</v>
      </c>
      <c r="F2730" s="21">
        <v>0</v>
      </c>
      <c r="G2730" s="21">
        <v>395.1</v>
      </c>
      <c r="H2730" s="21">
        <v>13548.09</v>
      </c>
      <c r="I2730" s="21">
        <v>342.9</v>
      </c>
    </row>
    <row r="2731" spans="1:9" ht="15" customHeight="1" x14ac:dyDescent="0.3">
      <c r="A2731" s="21" t="s">
        <v>3041</v>
      </c>
      <c r="B2731" s="21">
        <v>2024</v>
      </c>
      <c r="C2731" s="21">
        <v>1</v>
      </c>
      <c r="D2731" s="21">
        <v>12</v>
      </c>
      <c r="E2731" s="21" t="s">
        <v>313</v>
      </c>
      <c r="F2731" s="21">
        <v>0</v>
      </c>
      <c r="G2731" s="21">
        <v>448.21</v>
      </c>
      <c r="H2731" s="21">
        <v>15369.23</v>
      </c>
      <c r="I2731" s="21">
        <v>342.9</v>
      </c>
    </row>
    <row r="2732" spans="1:9" ht="15" customHeight="1" x14ac:dyDescent="0.3">
      <c r="A2732" s="21" t="s">
        <v>3042</v>
      </c>
      <c r="B2732" s="21">
        <v>2024</v>
      </c>
      <c r="C2732" s="21">
        <v>1</v>
      </c>
      <c r="D2732" s="21">
        <v>13</v>
      </c>
      <c r="E2732" s="21" t="s">
        <v>316</v>
      </c>
      <c r="F2732" s="21">
        <v>1</v>
      </c>
      <c r="G2732" s="21">
        <v>328.63</v>
      </c>
      <c r="H2732" s="21">
        <v>11268.56</v>
      </c>
      <c r="I2732" s="21">
        <v>342.9</v>
      </c>
    </row>
    <row r="2733" spans="1:9" ht="15" customHeight="1" x14ac:dyDescent="0.3">
      <c r="A2733" s="21" t="s">
        <v>3043</v>
      </c>
      <c r="B2733" s="21">
        <v>2024</v>
      </c>
      <c r="C2733" s="21">
        <v>1</v>
      </c>
      <c r="D2733" s="21">
        <v>14</v>
      </c>
      <c r="E2733" s="21" t="s">
        <v>319</v>
      </c>
      <c r="F2733" s="21">
        <v>1</v>
      </c>
      <c r="G2733" s="21">
        <v>322.08999999999997</v>
      </c>
      <c r="H2733" s="21">
        <v>11044.56</v>
      </c>
      <c r="I2733" s="21">
        <v>342.9</v>
      </c>
    </row>
    <row r="2734" spans="1:9" ht="15" customHeight="1" x14ac:dyDescent="0.3">
      <c r="A2734" s="21" t="s">
        <v>3044</v>
      </c>
      <c r="B2734" s="21">
        <v>2024</v>
      </c>
      <c r="C2734" s="21">
        <v>1</v>
      </c>
      <c r="D2734" s="21">
        <v>15</v>
      </c>
      <c r="E2734" s="21" t="s">
        <v>299</v>
      </c>
      <c r="F2734" s="21">
        <v>0</v>
      </c>
      <c r="G2734" s="21">
        <v>430.82</v>
      </c>
      <c r="H2734" s="21">
        <v>14772.96</v>
      </c>
      <c r="I2734" s="21">
        <v>342.9</v>
      </c>
    </row>
    <row r="2735" spans="1:9" ht="15" customHeight="1" x14ac:dyDescent="0.3">
      <c r="A2735" s="21" t="s">
        <v>3045</v>
      </c>
      <c r="B2735" s="21">
        <v>2024</v>
      </c>
      <c r="C2735" s="21">
        <v>1</v>
      </c>
      <c r="D2735" s="21">
        <v>16</v>
      </c>
      <c r="E2735" s="21" t="s">
        <v>303</v>
      </c>
      <c r="F2735" s="21">
        <v>0</v>
      </c>
      <c r="G2735" s="21">
        <v>416.82</v>
      </c>
      <c r="H2735" s="21">
        <v>14292.8</v>
      </c>
      <c r="I2735" s="21">
        <v>342.9</v>
      </c>
    </row>
    <row r="2736" spans="1:9" ht="15" customHeight="1" x14ac:dyDescent="0.3">
      <c r="A2736" s="21" t="s">
        <v>3046</v>
      </c>
      <c r="B2736" s="21">
        <v>2024</v>
      </c>
      <c r="C2736" s="21">
        <v>1</v>
      </c>
      <c r="D2736" s="21">
        <v>17</v>
      </c>
      <c r="E2736" s="21" t="s">
        <v>307</v>
      </c>
      <c r="F2736" s="21">
        <v>0</v>
      </c>
      <c r="G2736" s="21">
        <v>393.69</v>
      </c>
      <c r="H2736" s="21">
        <v>13499.56</v>
      </c>
      <c r="I2736" s="21">
        <v>342.9</v>
      </c>
    </row>
    <row r="2737" spans="1:9" ht="15" customHeight="1" x14ac:dyDescent="0.3">
      <c r="A2737" s="21" t="s">
        <v>3047</v>
      </c>
      <c r="B2737" s="21">
        <v>2024</v>
      </c>
      <c r="C2737" s="21">
        <v>1</v>
      </c>
      <c r="D2737" s="21">
        <v>18</v>
      </c>
      <c r="E2737" s="21" t="s">
        <v>310</v>
      </c>
      <c r="F2737" s="21">
        <v>0</v>
      </c>
      <c r="G2737" s="21">
        <v>405.59</v>
      </c>
      <c r="H2737" s="21">
        <v>13907.65</v>
      </c>
      <c r="I2737" s="21">
        <v>342.9</v>
      </c>
    </row>
    <row r="2738" spans="1:9" ht="15" customHeight="1" x14ac:dyDescent="0.3">
      <c r="A2738" s="21" t="s">
        <v>3048</v>
      </c>
      <c r="B2738" s="21">
        <v>2024</v>
      </c>
      <c r="C2738" s="21">
        <v>1</v>
      </c>
      <c r="D2738" s="21">
        <v>19</v>
      </c>
      <c r="E2738" s="21" t="s">
        <v>313</v>
      </c>
      <c r="F2738" s="21">
        <v>0</v>
      </c>
      <c r="G2738" s="21">
        <v>440.98</v>
      </c>
      <c r="H2738" s="21">
        <v>15121.13</v>
      </c>
      <c r="I2738" s="21">
        <v>342.9</v>
      </c>
    </row>
    <row r="2739" spans="1:9" ht="15" customHeight="1" x14ac:dyDescent="0.3">
      <c r="A2739" s="21" t="s">
        <v>3049</v>
      </c>
      <c r="B2739" s="21">
        <v>2024</v>
      </c>
      <c r="C2739" s="21">
        <v>1</v>
      </c>
      <c r="D2739" s="21">
        <v>20</v>
      </c>
      <c r="E2739" s="21" t="s">
        <v>316</v>
      </c>
      <c r="F2739" s="21">
        <v>1</v>
      </c>
      <c r="G2739" s="21">
        <v>325.83</v>
      </c>
      <c r="H2739" s="21">
        <v>11172.69</v>
      </c>
      <c r="I2739" s="21">
        <v>342.9</v>
      </c>
    </row>
    <row r="2740" spans="1:9" ht="15" customHeight="1" x14ac:dyDescent="0.3">
      <c r="A2740" s="21" t="s">
        <v>3050</v>
      </c>
      <c r="B2740" s="21">
        <v>2024</v>
      </c>
      <c r="C2740" s="21">
        <v>1</v>
      </c>
      <c r="D2740" s="21">
        <v>21</v>
      </c>
      <c r="E2740" s="21" t="s">
        <v>319</v>
      </c>
      <c r="F2740" s="21">
        <v>1</v>
      </c>
      <c r="G2740" s="21">
        <v>328.87</v>
      </c>
      <c r="H2740" s="21">
        <v>11276.83</v>
      </c>
      <c r="I2740" s="21">
        <v>342.9</v>
      </c>
    </row>
    <row r="2741" spans="1:9" ht="15" customHeight="1" x14ac:dyDescent="0.3">
      <c r="A2741" s="21" t="s">
        <v>3051</v>
      </c>
      <c r="B2741" s="21">
        <v>2024</v>
      </c>
      <c r="C2741" s="21">
        <v>1</v>
      </c>
      <c r="D2741" s="21">
        <v>22</v>
      </c>
      <c r="E2741" s="21" t="s">
        <v>299</v>
      </c>
      <c r="F2741" s="21">
        <v>0</v>
      </c>
      <c r="G2741" s="21">
        <v>427.86</v>
      </c>
      <c r="H2741" s="21">
        <v>14671.4</v>
      </c>
      <c r="I2741" s="21">
        <v>342.9</v>
      </c>
    </row>
    <row r="2742" spans="1:9" ht="15" customHeight="1" x14ac:dyDescent="0.3">
      <c r="A2742" s="21" t="s">
        <v>3052</v>
      </c>
      <c r="B2742" s="21">
        <v>2024</v>
      </c>
      <c r="C2742" s="21">
        <v>1</v>
      </c>
      <c r="D2742" s="21">
        <v>23</v>
      </c>
      <c r="E2742" s="21" t="s">
        <v>303</v>
      </c>
      <c r="F2742" s="21">
        <v>0</v>
      </c>
      <c r="G2742" s="21">
        <v>413.54</v>
      </c>
      <c r="H2742" s="21">
        <v>14180.4</v>
      </c>
      <c r="I2742" s="21">
        <v>342.9</v>
      </c>
    </row>
    <row r="2743" spans="1:9" ht="15" customHeight="1" x14ac:dyDescent="0.3">
      <c r="A2743" s="21" t="s">
        <v>3053</v>
      </c>
      <c r="B2743" s="21">
        <v>2024</v>
      </c>
      <c r="C2743" s="21">
        <v>1</v>
      </c>
      <c r="D2743" s="21">
        <v>24</v>
      </c>
      <c r="E2743" s="21" t="s">
        <v>307</v>
      </c>
      <c r="F2743" s="21">
        <v>0</v>
      </c>
      <c r="G2743" s="21">
        <v>400.29</v>
      </c>
      <c r="H2743" s="21">
        <v>13726</v>
      </c>
      <c r="I2743" s="21">
        <v>342.9</v>
      </c>
    </row>
    <row r="2744" spans="1:9" ht="15" customHeight="1" x14ac:dyDescent="0.3">
      <c r="A2744" s="21" t="s">
        <v>3054</v>
      </c>
      <c r="B2744" s="21">
        <v>2024</v>
      </c>
      <c r="C2744" s="21">
        <v>1</v>
      </c>
      <c r="D2744" s="21">
        <v>25</v>
      </c>
      <c r="E2744" s="21" t="s">
        <v>310</v>
      </c>
      <c r="F2744" s="21">
        <v>0</v>
      </c>
      <c r="G2744" s="21">
        <v>383.26</v>
      </c>
      <c r="H2744" s="21">
        <v>13141.79</v>
      </c>
      <c r="I2744" s="21">
        <v>342.89</v>
      </c>
    </row>
    <row r="2745" spans="1:9" ht="15" customHeight="1" x14ac:dyDescent="0.3">
      <c r="A2745" s="21" t="s">
        <v>3055</v>
      </c>
      <c r="B2745" s="21">
        <v>2024</v>
      </c>
      <c r="C2745" s="21">
        <v>1</v>
      </c>
      <c r="D2745" s="21">
        <v>26</v>
      </c>
      <c r="E2745" s="21" t="s">
        <v>313</v>
      </c>
      <c r="F2745" s="21">
        <v>0</v>
      </c>
      <c r="G2745" s="21">
        <v>448.6</v>
      </c>
      <c r="H2745" s="21">
        <v>15382.55</v>
      </c>
      <c r="I2745" s="21">
        <v>342.9</v>
      </c>
    </row>
    <row r="2746" spans="1:9" ht="15" customHeight="1" x14ac:dyDescent="0.3">
      <c r="A2746" s="21" t="s">
        <v>3056</v>
      </c>
      <c r="B2746" s="21">
        <v>2024</v>
      </c>
      <c r="C2746" s="21">
        <v>1</v>
      </c>
      <c r="D2746" s="21">
        <v>27</v>
      </c>
      <c r="E2746" s="21" t="s">
        <v>316</v>
      </c>
      <c r="F2746" s="21">
        <v>1</v>
      </c>
      <c r="G2746" s="21">
        <v>328.33</v>
      </c>
      <c r="H2746" s="21">
        <v>11258.34</v>
      </c>
      <c r="I2746" s="21">
        <v>342.9</v>
      </c>
    </row>
    <row r="2747" spans="1:9" ht="15" customHeight="1" x14ac:dyDescent="0.3">
      <c r="A2747" s="21" t="s">
        <v>3057</v>
      </c>
      <c r="B2747" s="21">
        <v>2024</v>
      </c>
      <c r="C2747" s="21">
        <v>1</v>
      </c>
      <c r="D2747" s="21">
        <v>28</v>
      </c>
      <c r="E2747" s="21" t="s">
        <v>319</v>
      </c>
      <c r="F2747" s="21">
        <v>1</v>
      </c>
      <c r="G2747" s="21">
        <v>330.64</v>
      </c>
      <c r="H2747" s="21">
        <v>11337.64</v>
      </c>
      <c r="I2747" s="21">
        <v>342.9</v>
      </c>
    </row>
    <row r="2748" spans="1:9" ht="15" customHeight="1" x14ac:dyDescent="0.3">
      <c r="A2748" s="21" t="s">
        <v>3058</v>
      </c>
      <c r="B2748" s="21">
        <v>2024</v>
      </c>
      <c r="C2748" s="21">
        <v>1</v>
      </c>
      <c r="D2748" s="21">
        <v>29</v>
      </c>
      <c r="E2748" s="21" t="s">
        <v>299</v>
      </c>
      <c r="F2748" s="21">
        <v>0</v>
      </c>
      <c r="G2748" s="21">
        <v>417.37</v>
      </c>
      <c r="H2748" s="21">
        <v>14311.59</v>
      </c>
      <c r="I2748" s="21">
        <v>342.9</v>
      </c>
    </row>
    <row r="2749" spans="1:9" ht="15" customHeight="1" x14ac:dyDescent="0.3">
      <c r="A2749" s="21" t="s">
        <v>3059</v>
      </c>
      <c r="B2749" s="21">
        <v>2024</v>
      </c>
      <c r="C2749" s="21">
        <v>1</v>
      </c>
      <c r="D2749" s="21">
        <v>30</v>
      </c>
      <c r="E2749" s="21" t="s">
        <v>303</v>
      </c>
      <c r="F2749" s="21">
        <v>0</v>
      </c>
      <c r="G2749" s="21">
        <v>473.8</v>
      </c>
      <c r="H2749" s="21">
        <v>16246.52</v>
      </c>
      <c r="I2749" s="21">
        <v>342.9</v>
      </c>
    </row>
    <row r="2750" spans="1:9" ht="15" customHeight="1" x14ac:dyDescent="0.3">
      <c r="A2750" s="21" t="s">
        <v>3060</v>
      </c>
      <c r="B2750" s="21">
        <v>2024</v>
      </c>
      <c r="C2750" s="21">
        <v>1</v>
      </c>
      <c r="D2750" s="21">
        <v>31</v>
      </c>
      <c r="E2750" s="21" t="s">
        <v>307</v>
      </c>
      <c r="F2750" s="21">
        <v>0</v>
      </c>
      <c r="G2750" s="21">
        <v>464.29</v>
      </c>
      <c r="H2750" s="21">
        <v>15920.46</v>
      </c>
      <c r="I2750" s="21">
        <v>342.9</v>
      </c>
    </row>
    <row r="2751" spans="1:9" ht="15" customHeight="1" x14ac:dyDescent="0.3">
      <c r="A2751" s="21" t="s">
        <v>188</v>
      </c>
      <c r="B2751" s="21">
        <v>2024</v>
      </c>
      <c r="C2751" s="21">
        <v>2</v>
      </c>
      <c r="D2751" s="21">
        <v>1</v>
      </c>
      <c r="E2751" s="21" t="s">
        <v>310</v>
      </c>
      <c r="F2751" s="21">
        <v>0</v>
      </c>
      <c r="G2751" s="21">
        <v>459.26</v>
      </c>
      <c r="H2751" s="21">
        <v>15755.56</v>
      </c>
      <c r="I2751" s="21">
        <v>343.06</v>
      </c>
    </row>
    <row r="2752" spans="1:9" ht="15" customHeight="1" x14ac:dyDescent="0.3">
      <c r="A2752" s="21" t="s">
        <v>3061</v>
      </c>
      <c r="B2752" s="21">
        <v>2024</v>
      </c>
      <c r="C2752" s="21">
        <v>2</v>
      </c>
      <c r="D2752" s="21">
        <v>2</v>
      </c>
      <c r="E2752" s="21" t="s">
        <v>313</v>
      </c>
      <c r="F2752" s="21">
        <v>0</v>
      </c>
      <c r="G2752" s="21">
        <v>496.21</v>
      </c>
      <c r="H2752" s="21">
        <v>17023.12</v>
      </c>
      <c r="I2752" s="21">
        <v>343.06</v>
      </c>
    </row>
    <row r="2753" spans="1:9" ht="15" customHeight="1" x14ac:dyDescent="0.3">
      <c r="A2753" s="21" t="s">
        <v>3062</v>
      </c>
      <c r="B2753" s="21">
        <v>2024</v>
      </c>
      <c r="C2753" s="21">
        <v>2</v>
      </c>
      <c r="D2753" s="21">
        <v>3</v>
      </c>
      <c r="E2753" s="21" t="s">
        <v>316</v>
      </c>
      <c r="F2753" s="21">
        <v>1</v>
      </c>
      <c r="G2753" s="21">
        <v>335.8</v>
      </c>
      <c r="H2753" s="21">
        <v>11519.92</v>
      </c>
      <c r="I2753" s="21">
        <v>343.06</v>
      </c>
    </row>
    <row r="2754" spans="1:9" ht="15" customHeight="1" x14ac:dyDescent="0.3">
      <c r="A2754" s="21" t="s">
        <v>3063</v>
      </c>
      <c r="B2754" s="21">
        <v>2024</v>
      </c>
      <c r="C2754" s="21">
        <v>2</v>
      </c>
      <c r="D2754" s="21">
        <v>4</v>
      </c>
      <c r="E2754" s="21" t="s">
        <v>319</v>
      </c>
      <c r="F2754" s="21">
        <v>1</v>
      </c>
      <c r="G2754" s="21">
        <v>341.89</v>
      </c>
      <c r="H2754" s="21">
        <v>11728.84</v>
      </c>
      <c r="I2754" s="21">
        <v>343.06</v>
      </c>
    </row>
    <row r="2755" spans="1:9" ht="15" customHeight="1" x14ac:dyDescent="0.3">
      <c r="A2755" s="21" t="s">
        <v>3064</v>
      </c>
      <c r="B2755" s="21">
        <v>2024</v>
      </c>
      <c r="C2755" s="21">
        <v>2</v>
      </c>
      <c r="D2755" s="21">
        <v>5</v>
      </c>
      <c r="E2755" s="21" t="s">
        <v>299</v>
      </c>
      <c r="F2755" s="21">
        <v>0</v>
      </c>
      <c r="G2755" s="21">
        <v>384.24</v>
      </c>
      <c r="H2755" s="21">
        <v>13181.77</v>
      </c>
      <c r="I2755" s="21">
        <v>343.06</v>
      </c>
    </row>
    <row r="2756" spans="1:9" ht="15" customHeight="1" x14ac:dyDescent="0.3">
      <c r="A2756" s="21" t="s">
        <v>3065</v>
      </c>
      <c r="B2756" s="21">
        <v>2024</v>
      </c>
      <c r="C2756" s="21">
        <v>2</v>
      </c>
      <c r="D2756" s="21">
        <v>6</v>
      </c>
      <c r="E2756" s="21" t="s">
        <v>303</v>
      </c>
      <c r="F2756" s="21">
        <v>0</v>
      </c>
      <c r="G2756" s="21">
        <v>390.94</v>
      </c>
      <c r="H2756" s="21">
        <v>13411.66</v>
      </c>
      <c r="I2756" s="21">
        <v>343.06</v>
      </c>
    </row>
    <row r="2757" spans="1:9" ht="15" customHeight="1" x14ac:dyDescent="0.3">
      <c r="A2757" s="21" t="s">
        <v>3066</v>
      </c>
      <c r="B2757" s="21">
        <v>2024</v>
      </c>
      <c r="C2757" s="21">
        <v>2</v>
      </c>
      <c r="D2757" s="21">
        <v>7</v>
      </c>
      <c r="E2757" s="21" t="s">
        <v>307</v>
      </c>
      <c r="F2757" s="21">
        <v>0</v>
      </c>
      <c r="G2757" s="21">
        <v>397.3</v>
      </c>
      <c r="H2757" s="21">
        <v>13630.04</v>
      </c>
      <c r="I2757" s="21">
        <v>343.07</v>
      </c>
    </row>
    <row r="2758" spans="1:9" ht="15" customHeight="1" x14ac:dyDescent="0.3">
      <c r="A2758" s="21" t="s">
        <v>3067</v>
      </c>
      <c r="B2758" s="21">
        <v>2024</v>
      </c>
      <c r="C2758" s="21">
        <v>2</v>
      </c>
      <c r="D2758" s="21">
        <v>8</v>
      </c>
      <c r="E2758" s="21" t="s">
        <v>310</v>
      </c>
      <c r="F2758" s="21">
        <v>0</v>
      </c>
      <c r="G2758" s="21">
        <v>380.83</v>
      </c>
      <c r="H2758" s="21">
        <v>13064.8</v>
      </c>
      <c r="I2758" s="21">
        <v>343.06</v>
      </c>
    </row>
    <row r="2759" spans="1:9" ht="15" customHeight="1" x14ac:dyDescent="0.3">
      <c r="A2759" s="21" t="s">
        <v>3068</v>
      </c>
      <c r="B2759" s="21">
        <v>2024</v>
      </c>
      <c r="C2759" s="21">
        <v>2</v>
      </c>
      <c r="D2759" s="21">
        <v>9</v>
      </c>
      <c r="E2759" s="21" t="s">
        <v>313</v>
      </c>
      <c r="F2759" s="21">
        <v>0</v>
      </c>
      <c r="G2759" s="21">
        <v>430.58</v>
      </c>
      <c r="H2759" s="21">
        <v>14771.47</v>
      </c>
      <c r="I2759" s="21">
        <v>343.06</v>
      </c>
    </row>
    <row r="2760" spans="1:9" ht="15" customHeight="1" x14ac:dyDescent="0.3">
      <c r="A2760" s="21" t="s">
        <v>3069</v>
      </c>
      <c r="B2760" s="21">
        <v>2024</v>
      </c>
      <c r="C2760" s="21">
        <v>2</v>
      </c>
      <c r="D2760" s="21">
        <v>10</v>
      </c>
      <c r="E2760" s="21" t="s">
        <v>316</v>
      </c>
      <c r="F2760" s="21">
        <v>1</v>
      </c>
      <c r="G2760" s="21">
        <v>332.86</v>
      </c>
      <c r="H2760" s="21">
        <v>11419.25</v>
      </c>
      <c r="I2760" s="21">
        <v>343.06</v>
      </c>
    </row>
    <row r="2761" spans="1:9" ht="15" customHeight="1" x14ac:dyDescent="0.3">
      <c r="A2761" s="21" t="s">
        <v>3070</v>
      </c>
      <c r="B2761" s="21">
        <v>2024</v>
      </c>
      <c r="C2761" s="21">
        <v>2</v>
      </c>
      <c r="D2761" s="21">
        <v>11</v>
      </c>
      <c r="E2761" s="21" t="s">
        <v>319</v>
      </c>
      <c r="F2761" s="21">
        <v>1</v>
      </c>
      <c r="G2761" s="21">
        <v>356.05</v>
      </c>
      <c r="H2761" s="21">
        <v>12214.92</v>
      </c>
      <c r="I2761" s="21">
        <v>343.07</v>
      </c>
    </row>
    <row r="2762" spans="1:9" ht="15" customHeight="1" x14ac:dyDescent="0.3">
      <c r="A2762" s="21" t="s">
        <v>3071</v>
      </c>
      <c r="B2762" s="21">
        <v>2024</v>
      </c>
      <c r="C2762" s="21">
        <v>2</v>
      </c>
      <c r="D2762" s="21">
        <v>12</v>
      </c>
      <c r="E2762" s="21" t="s">
        <v>299</v>
      </c>
      <c r="F2762" s="21">
        <v>0</v>
      </c>
      <c r="G2762" s="21">
        <v>432.78</v>
      </c>
      <c r="H2762" s="21">
        <v>14847.26</v>
      </c>
      <c r="I2762" s="21">
        <v>343.07</v>
      </c>
    </row>
    <row r="2763" spans="1:9" ht="15" customHeight="1" x14ac:dyDescent="0.3">
      <c r="A2763" s="21" t="s">
        <v>3072</v>
      </c>
      <c r="B2763" s="21">
        <v>2024</v>
      </c>
      <c r="C2763" s="21">
        <v>2</v>
      </c>
      <c r="D2763" s="21">
        <v>13</v>
      </c>
      <c r="E2763" s="21" t="s">
        <v>303</v>
      </c>
      <c r="F2763" s="21">
        <v>0</v>
      </c>
      <c r="G2763" s="21">
        <v>388.94</v>
      </c>
      <c r="H2763" s="21">
        <v>13342.97</v>
      </c>
      <c r="I2763" s="21">
        <v>343.06</v>
      </c>
    </row>
    <row r="2764" spans="1:9" ht="15" customHeight="1" x14ac:dyDescent="0.3">
      <c r="A2764" s="21" t="s">
        <v>3073</v>
      </c>
      <c r="B2764" s="21">
        <v>2024</v>
      </c>
      <c r="C2764" s="21">
        <v>2</v>
      </c>
      <c r="D2764" s="21">
        <v>14</v>
      </c>
      <c r="E2764" s="21" t="s">
        <v>307</v>
      </c>
      <c r="F2764" s="21">
        <v>0</v>
      </c>
      <c r="G2764" s="21">
        <v>392.66</v>
      </c>
      <c r="H2764" s="21">
        <v>13470.83</v>
      </c>
      <c r="I2764" s="21">
        <v>343.07</v>
      </c>
    </row>
    <row r="2765" spans="1:9" ht="15" customHeight="1" x14ac:dyDescent="0.3">
      <c r="A2765" s="21" t="s">
        <v>3074</v>
      </c>
      <c r="B2765" s="21">
        <v>2024</v>
      </c>
      <c r="C2765" s="21">
        <v>2</v>
      </c>
      <c r="D2765" s="21">
        <v>15</v>
      </c>
      <c r="E2765" s="21" t="s">
        <v>310</v>
      </c>
      <c r="F2765" s="21">
        <v>0</v>
      </c>
      <c r="G2765" s="21">
        <v>393.57</v>
      </c>
      <c r="H2765" s="21">
        <v>13502.05</v>
      </c>
      <c r="I2765" s="21">
        <v>343.07</v>
      </c>
    </row>
    <row r="2766" spans="1:9" ht="15" customHeight="1" x14ac:dyDescent="0.3">
      <c r="A2766" s="21" t="s">
        <v>3075</v>
      </c>
      <c r="B2766" s="21">
        <v>2024</v>
      </c>
      <c r="C2766" s="21">
        <v>2</v>
      </c>
      <c r="D2766" s="21">
        <v>16</v>
      </c>
      <c r="E2766" s="21" t="s">
        <v>313</v>
      </c>
      <c r="F2766" s="21">
        <v>0</v>
      </c>
      <c r="G2766" s="21">
        <v>420.66</v>
      </c>
      <c r="H2766" s="21">
        <v>14431.28</v>
      </c>
      <c r="I2766" s="21">
        <v>343.06</v>
      </c>
    </row>
    <row r="2767" spans="1:9" ht="15" customHeight="1" x14ac:dyDescent="0.3">
      <c r="A2767" s="21" t="s">
        <v>3076</v>
      </c>
      <c r="B2767" s="21">
        <v>2024</v>
      </c>
      <c r="C2767" s="21">
        <v>2</v>
      </c>
      <c r="D2767" s="21">
        <v>17</v>
      </c>
      <c r="E2767" s="21" t="s">
        <v>316</v>
      </c>
      <c r="F2767" s="21">
        <v>1</v>
      </c>
      <c r="G2767" s="21">
        <v>337.59</v>
      </c>
      <c r="H2767" s="21">
        <v>11581.43</v>
      </c>
      <c r="I2767" s="21">
        <v>343.06</v>
      </c>
    </row>
    <row r="2768" spans="1:9" ht="15" customHeight="1" x14ac:dyDescent="0.3">
      <c r="A2768" s="21" t="s">
        <v>3077</v>
      </c>
      <c r="B2768" s="21">
        <v>2024</v>
      </c>
      <c r="C2768" s="21">
        <v>2</v>
      </c>
      <c r="D2768" s="21">
        <v>18</v>
      </c>
      <c r="E2768" s="21" t="s">
        <v>319</v>
      </c>
      <c r="F2768" s="21">
        <v>1</v>
      </c>
      <c r="G2768" s="21">
        <v>326.31</v>
      </c>
      <c r="H2768" s="21">
        <v>11194.42</v>
      </c>
      <c r="I2768" s="21">
        <v>343.06</v>
      </c>
    </row>
    <row r="2769" spans="1:9" ht="15" customHeight="1" x14ac:dyDescent="0.3">
      <c r="A2769" s="21" t="s">
        <v>3078</v>
      </c>
      <c r="B2769" s="21">
        <v>2024</v>
      </c>
      <c r="C2769" s="21">
        <v>2</v>
      </c>
      <c r="D2769" s="21">
        <v>19</v>
      </c>
      <c r="E2769" s="21" t="s">
        <v>299</v>
      </c>
      <c r="F2769" s="21">
        <v>0</v>
      </c>
      <c r="G2769" s="21">
        <v>400.79</v>
      </c>
      <c r="H2769" s="21">
        <v>13749.69</v>
      </c>
      <c r="I2769" s="21">
        <v>343.06</v>
      </c>
    </row>
    <row r="2770" spans="1:9" ht="15" customHeight="1" x14ac:dyDescent="0.3">
      <c r="A2770" s="21" t="s">
        <v>3079</v>
      </c>
      <c r="B2770" s="21">
        <v>2024</v>
      </c>
      <c r="C2770" s="21">
        <v>2</v>
      </c>
      <c r="D2770" s="21">
        <v>20</v>
      </c>
      <c r="E2770" s="21" t="s">
        <v>303</v>
      </c>
      <c r="F2770" s="21">
        <v>0</v>
      </c>
      <c r="G2770" s="21">
        <v>401.82</v>
      </c>
      <c r="H2770" s="21">
        <v>13784.87</v>
      </c>
      <c r="I2770" s="21">
        <v>343.06</v>
      </c>
    </row>
    <row r="2771" spans="1:9" ht="15" customHeight="1" x14ac:dyDescent="0.3">
      <c r="A2771" s="21" t="s">
        <v>3080</v>
      </c>
      <c r="B2771" s="21">
        <v>2024</v>
      </c>
      <c r="C2771" s="21">
        <v>2</v>
      </c>
      <c r="D2771" s="21">
        <v>21</v>
      </c>
      <c r="E2771" s="21" t="s">
        <v>307</v>
      </c>
      <c r="F2771" s="21">
        <v>0</v>
      </c>
      <c r="G2771" s="21">
        <v>401.9</v>
      </c>
      <c r="H2771" s="21">
        <v>13787.63</v>
      </c>
      <c r="I2771" s="21">
        <v>343.06</v>
      </c>
    </row>
    <row r="2772" spans="1:9" ht="15" customHeight="1" x14ac:dyDescent="0.3">
      <c r="A2772" s="21" t="s">
        <v>3081</v>
      </c>
      <c r="B2772" s="21">
        <v>2024</v>
      </c>
      <c r="C2772" s="21">
        <v>2</v>
      </c>
      <c r="D2772" s="21">
        <v>22</v>
      </c>
      <c r="E2772" s="21" t="s">
        <v>310</v>
      </c>
      <c r="F2772" s="21">
        <v>0</v>
      </c>
      <c r="G2772" s="21">
        <v>384.93</v>
      </c>
      <c r="H2772" s="21">
        <v>13205.55</v>
      </c>
      <c r="I2772" s="21">
        <v>343.06</v>
      </c>
    </row>
    <row r="2773" spans="1:9" ht="15" customHeight="1" x14ac:dyDescent="0.3">
      <c r="A2773" s="21" t="s">
        <v>3082</v>
      </c>
      <c r="B2773" s="21">
        <v>2024</v>
      </c>
      <c r="C2773" s="21">
        <v>2</v>
      </c>
      <c r="D2773" s="21">
        <v>23</v>
      </c>
      <c r="E2773" s="21" t="s">
        <v>313</v>
      </c>
      <c r="F2773" s="21">
        <v>0</v>
      </c>
      <c r="G2773" s="21">
        <v>436.6</v>
      </c>
      <c r="H2773" s="21">
        <v>14978.11</v>
      </c>
      <c r="I2773" s="21">
        <v>343.06</v>
      </c>
    </row>
    <row r="2774" spans="1:9" ht="15" customHeight="1" x14ac:dyDescent="0.3">
      <c r="A2774" s="21" t="s">
        <v>3083</v>
      </c>
      <c r="B2774" s="21">
        <v>2024</v>
      </c>
      <c r="C2774" s="21">
        <v>2</v>
      </c>
      <c r="D2774" s="21">
        <v>24</v>
      </c>
      <c r="E2774" s="21" t="s">
        <v>316</v>
      </c>
      <c r="F2774" s="21">
        <v>1</v>
      </c>
      <c r="G2774" s="21">
        <v>327.81</v>
      </c>
      <c r="H2774" s="21">
        <v>11245.86</v>
      </c>
      <c r="I2774" s="21">
        <v>343.06</v>
      </c>
    </row>
    <row r="2775" spans="1:9" ht="15" customHeight="1" x14ac:dyDescent="0.3">
      <c r="A2775" s="21" t="s">
        <v>3084</v>
      </c>
      <c r="B2775" s="21">
        <v>2024</v>
      </c>
      <c r="C2775" s="21">
        <v>2</v>
      </c>
      <c r="D2775" s="21">
        <v>25</v>
      </c>
      <c r="E2775" s="21" t="s">
        <v>319</v>
      </c>
      <c r="F2775" s="21">
        <v>1</v>
      </c>
      <c r="G2775" s="21">
        <v>338.28</v>
      </c>
      <c r="H2775" s="21">
        <v>11605.03</v>
      </c>
      <c r="I2775" s="21">
        <v>343.06</v>
      </c>
    </row>
    <row r="2776" spans="1:9" ht="15" customHeight="1" x14ac:dyDescent="0.3">
      <c r="A2776" s="21" t="s">
        <v>3085</v>
      </c>
      <c r="B2776" s="21">
        <v>2024</v>
      </c>
      <c r="C2776" s="21">
        <v>2</v>
      </c>
      <c r="D2776" s="21">
        <v>26</v>
      </c>
      <c r="E2776" s="21" t="s">
        <v>299</v>
      </c>
      <c r="F2776" s="21">
        <v>0</v>
      </c>
      <c r="G2776" s="21">
        <v>423.88</v>
      </c>
      <c r="H2776" s="21">
        <v>14541.7</v>
      </c>
      <c r="I2776" s="21">
        <v>343.06</v>
      </c>
    </row>
    <row r="2777" spans="1:9" ht="15" customHeight="1" x14ac:dyDescent="0.3">
      <c r="A2777" s="21" t="s">
        <v>3086</v>
      </c>
      <c r="B2777" s="21">
        <v>2024</v>
      </c>
      <c r="C2777" s="21">
        <v>2</v>
      </c>
      <c r="D2777" s="21">
        <v>27</v>
      </c>
      <c r="E2777" s="21" t="s">
        <v>303</v>
      </c>
      <c r="F2777" s="21">
        <v>0</v>
      </c>
      <c r="G2777" s="21">
        <v>394.05</v>
      </c>
      <c r="H2777" s="21">
        <v>13518.42</v>
      </c>
      <c r="I2777" s="21">
        <v>343.06</v>
      </c>
    </row>
    <row r="2778" spans="1:9" ht="15" customHeight="1" x14ac:dyDescent="0.3">
      <c r="A2778" s="21" t="s">
        <v>3087</v>
      </c>
      <c r="B2778" s="21">
        <v>2024</v>
      </c>
      <c r="C2778" s="21">
        <v>2</v>
      </c>
      <c r="D2778" s="21">
        <v>28</v>
      </c>
      <c r="E2778" s="21" t="s">
        <v>307</v>
      </c>
      <c r="F2778" s="21">
        <v>0</v>
      </c>
      <c r="G2778" s="21">
        <v>459.8</v>
      </c>
      <c r="H2778" s="21">
        <v>15774.18</v>
      </c>
      <c r="I2778" s="21">
        <v>343.07</v>
      </c>
    </row>
    <row r="2779" spans="1:9" ht="15" customHeight="1" x14ac:dyDescent="0.3">
      <c r="A2779" s="21" t="s">
        <v>3088</v>
      </c>
      <c r="B2779" s="21">
        <v>2024</v>
      </c>
      <c r="C2779" s="21">
        <v>2</v>
      </c>
      <c r="D2779" s="21">
        <v>29</v>
      </c>
      <c r="E2779" s="21" t="s">
        <v>310</v>
      </c>
      <c r="F2779" s="21">
        <v>0</v>
      </c>
      <c r="G2779" s="21">
        <v>446.59</v>
      </c>
      <c r="H2779" s="21">
        <v>15320.78</v>
      </c>
      <c r="I2779" s="21">
        <v>343.06</v>
      </c>
    </row>
    <row r="2780" spans="1:9" ht="15" customHeight="1" x14ac:dyDescent="0.3">
      <c r="A2780" s="21" t="s">
        <v>189</v>
      </c>
      <c r="B2780" s="21">
        <v>2024</v>
      </c>
      <c r="C2780" s="21">
        <v>3</v>
      </c>
      <c r="D2780" s="21">
        <v>1</v>
      </c>
      <c r="E2780" s="21" t="s">
        <v>313</v>
      </c>
      <c r="F2780" s="21">
        <v>0</v>
      </c>
      <c r="G2780" s="21">
        <v>535.73</v>
      </c>
      <c r="H2780" s="21">
        <v>18346.23</v>
      </c>
      <c r="I2780" s="21">
        <v>342.45</v>
      </c>
    </row>
    <row r="2781" spans="1:9" ht="15" customHeight="1" x14ac:dyDescent="0.3">
      <c r="A2781" s="21" t="s">
        <v>3089</v>
      </c>
      <c r="B2781" s="21">
        <v>2024</v>
      </c>
      <c r="C2781" s="21">
        <v>3</v>
      </c>
      <c r="D2781" s="21">
        <v>2</v>
      </c>
      <c r="E2781" s="21" t="s">
        <v>316</v>
      </c>
      <c r="F2781" s="21">
        <v>1</v>
      </c>
      <c r="G2781" s="21">
        <v>420.87</v>
      </c>
      <c r="H2781" s="21">
        <v>14412.91</v>
      </c>
      <c r="I2781" s="21">
        <v>342.46</v>
      </c>
    </row>
    <row r="2782" spans="1:9" ht="15" customHeight="1" x14ac:dyDescent="0.3">
      <c r="A2782" s="21" t="s">
        <v>3090</v>
      </c>
      <c r="B2782" s="21">
        <v>2024</v>
      </c>
      <c r="C2782" s="21">
        <v>3</v>
      </c>
      <c r="D2782" s="21">
        <v>3</v>
      </c>
      <c r="E2782" s="21" t="s">
        <v>319</v>
      </c>
      <c r="F2782" s="21">
        <v>1</v>
      </c>
      <c r="G2782" s="21">
        <v>358.94</v>
      </c>
      <c r="H2782" s="21">
        <v>12292.04</v>
      </c>
      <c r="I2782" s="21">
        <v>342.45</v>
      </c>
    </row>
    <row r="2783" spans="1:9" ht="15" customHeight="1" x14ac:dyDescent="0.3">
      <c r="A2783" s="21" t="s">
        <v>3091</v>
      </c>
      <c r="B2783" s="21">
        <v>2024</v>
      </c>
      <c r="C2783" s="21">
        <v>3</v>
      </c>
      <c r="D2783" s="21">
        <v>4</v>
      </c>
      <c r="E2783" s="21" t="s">
        <v>299</v>
      </c>
      <c r="F2783" s="21">
        <v>0</v>
      </c>
      <c r="G2783" s="21">
        <v>453.1</v>
      </c>
      <c r="H2783" s="21">
        <v>15516.44</v>
      </c>
      <c r="I2783" s="21">
        <v>342.45</v>
      </c>
    </row>
    <row r="2784" spans="1:9" ht="15" customHeight="1" x14ac:dyDescent="0.3">
      <c r="A2784" s="21" t="s">
        <v>3092</v>
      </c>
      <c r="B2784" s="21">
        <v>2024</v>
      </c>
      <c r="C2784" s="21">
        <v>3</v>
      </c>
      <c r="D2784" s="21">
        <v>5</v>
      </c>
      <c r="E2784" s="21" t="s">
        <v>303</v>
      </c>
      <c r="F2784" s="21">
        <v>0</v>
      </c>
      <c r="G2784" s="21">
        <v>413.56</v>
      </c>
      <c r="H2784" s="21">
        <v>14162.55</v>
      </c>
      <c r="I2784" s="21">
        <v>342.45</v>
      </c>
    </row>
    <row r="2785" spans="1:9" ht="15" customHeight="1" x14ac:dyDescent="0.3">
      <c r="A2785" s="21" t="s">
        <v>3093</v>
      </c>
      <c r="B2785" s="21">
        <v>2024</v>
      </c>
      <c r="C2785" s="21">
        <v>3</v>
      </c>
      <c r="D2785" s="21">
        <v>6</v>
      </c>
      <c r="E2785" s="21" t="s">
        <v>307</v>
      </c>
      <c r="F2785" s="21">
        <v>0</v>
      </c>
      <c r="G2785" s="21">
        <v>427.32</v>
      </c>
      <c r="H2785" s="21">
        <v>14633.73</v>
      </c>
      <c r="I2785" s="21">
        <v>342.45</v>
      </c>
    </row>
    <row r="2786" spans="1:9" ht="15" customHeight="1" x14ac:dyDescent="0.3">
      <c r="A2786" s="21" t="s">
        <v>3094</v>
      </c>
      <c r="B2786" s="21">
        <v>2024</v>
      </c>
      <c r="C2786" s="21">
        <v>3</v>
      </c>
      <c r="D2786" s="21">
        <v>7</v>
      </c>
      <c r="E2786" s="21" t="s">
        <v>310</v>
      </c>
      <c r="F2786" s="21">
        <v>0</v>
      </c>
      <c r="G2786" s="21">
        <v>430</v>
      </c>
      <c r="H2786" s="21">
        <v>14725.65</v>
      </c>
      <c r="I2786" s="21">
        <v>342.46</v>
      </c>
    </row>
    <row r="2787" spans="1:9" ht="15" customHeight="1" x14ac:dyDescent="0.3">
      <c r="A2787" s="21" t="s">
        <v>3095</v>
      </c>
      <c r="B2787" s="21">
        <v>2024</v>
      </c>
      <c r="C2787" s="21">
        <v>3</v>
      </c>
      <c r="D2787" s="21">
        <v>8</v>
      </c>
      <c r="E2787" s="21" t="s">
        <v>313</v>
      </c>
      <c r="F2787" s="21">
        <v>0</v>
      </c>
      <c r="G2787" s="21">
        <v>465.07</v>
      </c>
      <c r="H2787" s="21">
        <v>15926.64</v>
      </c>
      <c r="I2787" s="21">
        <v>342.46</v>
      </c>
    </row>
    <row r="2788" spans="1:9" ht="15" customHeight="1" x14ac:dyDescent="0.3">
      <c r="A2788" s="21" t="s">
        <v>3096</v>
      </c>
      <c r="B2788" s="21">
        <v>2024</v>
      </c>
      <c r="C2788" s="21">
        <v>3</v>
      </c>
      <c r="D2788" s="21">
        <v>9</v>
      </c>
      <c r="E2788" s="21" t="s">
        <v>316</v>
      </c>
      <c r="F2788" s="21">
        <v>1</v>
      </c>
      <c r="G2788" s="21">
        <v>365.51</v>
      </c>
      <c r="H2788" s="21">
        <v>12517.09</v>
      </c>
      <c r="I2788" s="21">
        <v>342.46</v>
      </c>
    </row>
    <row r="2789" spans="1:9" ht="15" customHeight="1" x14ac:dyDescent="0.3">
      <c r="A2789" s="21" t="s">
        <v>3097</v>
      </c>
      <c r="B2789" s="21">
        <v>2024</v>
      </c>
      <c r="C2789" s="21">
        <v>3</v>
      </c>
      <c r="D2789" s="21">
        <v>10</v>
      </c>
      <c r="E2789" s="21" t="s">
        <v>319</v>
      </c>
      <c r="F2789" s="21">
        <v>1</v>
      </c>
      <c r="G2789" s="21">
        <v>367.85</v>
      </c>
      <c r="H2789" s="21">
        <v>12597.17</v>
      </c>
      <c r="I2789" s="21">
        <v>342.45</v>
      </c>
    </row>
    <row r="2790" spans="1:9" ht="15" customHeight="1" x14ac:dyDescent="0.3">
      <c r="A2790" s="21" t="s">
        <v>3098</v>
      </c>
      <c r="B2790" s="21">
        <v>2024</v>
      </c>
      <c r="C2790" s="21">
        <v>3</v>
      </c>
      <c r="D2790" s="21">
        <v>11</v>
      </c>
      <c r="E2790" s="21" t="s">
        <v>299</v>
      </c>
      <c r="F2790" s="21">
        <v>0</v>
      </c>
      <c r="G2790" s="21">
        <v>461.63</v>
      </c>
      <c r="H2790" s="21">
        <v>15808.84</v>
      </c>
      <c r="I2790" s="21">
        <v>342.46</v>
      </c>
    </row>
    <row r="2791" spans="1:9" ht="15" customHeight="1" x14ac:dyDescent="0.3">
      <c r="A2791" s="21" t="s">
        <v>3099</v>
      </c>
      <c r="B2791" s="21">
        <v>2024</v>
      </c>
      <c r="C2791" s="21">
        <v>3</v>
      </c>
      <c r="D2791" s="21">
        <v>12</v>
      </c>
      <c r="E2791" s="21" t="s">
        <v>303</v>
      </c>
      <c r="F2791" s="21">
        <v>0</v>
      </c>
      <c r="G2791" s="21">
        <v>445.09</v>
      </c>
      <c r="H2791" s="21">
        <v>15242.25</v>
      </c>
      <c r="I2791" s="21">
        <v>342.45</v>
      </c>
    </row>
    <row r="2792" spans="1:9" ht="15" customHeight="1" x14ac:dyDescent="0.3">
      <c r="A2792" s="21" t="s">
        <v>3100</v>
      </c>
      <c r="B2792" s="21">
        <v>2024</v>
      </c>
      <c r="C2792" s="21">
        <v>3</v>
      </c>
      <c r="D2792" s="21">
        <v>13</v>
      </c>
      <c r="E2792" s="21" t="s">
        <v>307</v>
      </c>
      <c r="F2792" s="21">
        <v>0</v>
      </c>
      <c r="G2792" s="21">
        <v>425.26</v>
      </c>
      <c r="H2792" s="21">
        <v>14563.06</v>
      </c>
      <c r="I2792" s="21">
        <v>342.45</v>
      </c>
    </row>
    <row r="2793" spans="1:9" ht="15" customHeight="1" x14ac:dyDescent="0.3">
      <c r="A2793" s="21" t="s">
        <v>3101</v>
      </c>
      <c r="B2793" s="21">
        <v>2024</v>
      </c>
      <c r="C2793" s="21">
        <v>3</v>
      </c>
      <c r="D2793" s="21">
        <v>14</v>
      </c>
      <c r="E2793" s="21" t="s">
        <v>310</v>
      </c>
      <c r="F2793" s="21">
        <v>0</v>
      </c>
      <c r="G2793" s="21">
        <v>418.05</v>
      </c>
      <c r="H2793" s="21">
        <v>14316.46</v>
      </c>
      <c r="I2793" s="21">
        <v>342.46</v>
      </c>
    </row>
    <row r="2794" spans="1:9" ht="15" customHeight="1" x14ac:dyDescent="0.3">
      <c r="A2794" s="21" t="s">
        <v>3102</v>
      </c>
      <c r="B2794" s="21">
        <v>2024</v>
      </c>
      <c r="C2794" s="21">
        <v>3</v>
      </c>
      <c r="D2794" s="21">
        <v>15</v>
      </c>
      <c r="E2794" s="21" t="s">
        <v>313</v>
      </c>
      <c r="F2794" s="21">
        <v>0</v>
      </c>
      <c r="G2794" s="21">
        <v>454.85</v>
      </c>
      <c r="H2794" s="21">
        <v>15576.48</v>
      </c>
      <c r="I2794" s="21">
        <v>342.45</v>
      </c>
    </row>
    <row r="2795" spans="1:9" ht="15" customHeight="1" x14ac:dyDescent="0.3">
      <c r="A2795" s="21" t="s">
        <v>3103</v>
      </c>
      <c r="B2795" s="21">
        <v>2024</v>
      </c>
      <c r="C2795" s="21">
        <v>3</v>
      </c>
      <c r="D2795" s="21">
        <v>16</v>
      </c>
      <c r="E2795" s="21" t="s">
        <v>316</v>
      </c>
      <c r="F2795" s="21">
        <v>1</v>
      </c>
      <c r="G2795" s="21">
        <v>362.31</v>
      </c>
      <c r="H2795" s="21">
        <v>12407.61</v>
      </c>
      <c r="I2795" s="21">
        <v>342.46</v>
      </c>
    </row>
    <row r="2796" spans="1:9" ht="15" customHeight="1" x14ac:dyDescent="0.3">
      <c r="A2796" s="21" t="s">
        <v>3104</v>
      </c>
      <c r="B2796" s="21">
        <v>2024</v>
      </c>
      <c r="C2796" s="21">
        <v>3</v>
      </c>
      <c r="D2796" s="21">
        <v>17</v>
      </c>
      <c r="E2796" s="21" t="s">
        <v>319</v>
      </c>
      <c r="F2796" s="21">
        <v>1</v>
      </c>
      <c r="G2796" s="21">
        <v>364.07</v>
      </c>
      <c r="H2796" s="21">
        <v>12467.89</v>
      </c>
      <c r="I2796" s="21">
        <v>342.46</v>
      </c>
    </row>
    <row r="2797" spans="1:9" ht="15" customHeight="1" x14ac:dyDescent="0.3">
      <c r="A2797" s="21" t="s">
        <v>3105</v>
      </c>
      <c r="B2797" s="21">
        <v>2024</v>
      </c>
      <c r="C2797" s="21">
        <v>3</v>
      </c>
      <c r="D2797" s="21">
        <v>18</v>
      </c>
      <c r="E2797" s="21" t="s">
        <v>299</v>
      </c>
      <c r="F2797" s="21">
        <v>0</v>
      </c>
      <c r="G2797" s="21">
        <v>445.38</v>
      </c>
      <c r="H2797" s="21">
        <v>15252.12</v>
      </c>
      <c r="I2797" s="21">
        <v>342.45</v>
      </c>
    </row>
    <row r="2798" spans="1:9" ht="15" customHeight="1" x14ac:dyDescent="0.3">
      <c r="A2798" s="21" t="s">
        <v>3106</v>
      </c>
      <c r="B2798" s="21">
        <v>2024</v>
      </c>
      <c r="C2798" s="21">
        <v>3</v>
      </c>
      <c r="D2798" s="21">
        <v>19</v>
      </c>
      <c r="E2798" s="21" t="s">
        <v>303</v>
      </c>
      <c r="F2798" s="21">
        <v>0</v>
      </c>
      <c r="G2798" s="21">
        <v>416.85</v>
      </c>
      <c r="H2798" s="21">
        <v>14275.06</v>
      </c>
      <c r="I2798" s="21">
        <v>342.45</v>
      </c>
    </row>
    <row r="2799" spans="1:9" ht="15" customHeight="1" x14ac:dyDescent="0.3">
      <c r="A2799" s="21" t="s">
        <v>3107</v>
      </c>
      <c r="B2799" s="21">
        <v>2024</v>
      </c>
      <c r="C2799" s="21">
        <v>3</v>
      </c>
      <c r="D2799" s="21">
        <v>20</v>
      </c>
      <c r="E2799" s="21" t="s">
        <v>307</v>
      </c>
      <c r="F2799" s="21">
        <v>0</v>
      </c>
      <c r="G2799" s="21">
        <v>427.77</v>
      </c>
      <c r="H2799" s="21">
        <v>14649.34</v>
      </c>
      <c r="I2799" s="21">
        <v>342.46</v>
      </c>
    </row>
    <row r="2800" spans="1:9" ht="15" customHeight="1" x14ac:dyDescent="0.3">
      <c r="A2800" s="21" t="s">
        <v>3108</v>
      </c>
      <c r="B2800" s="21">
        <v>2024</v>
      </c>
      <c r="C2800" s="21">
        <v>3</v>
      </c>
      <c r="D2800" s="21">
        <v>21</v>
      </c>
      <c r="E2800" s="21" t="s">
        <v>310</v>
      </c>
      <c r="F2800" s="21">
        <v>0</v>
      </c>
      <c r="G2800" s="21">
        <v>436.07</v>
      </c>
      <c r="H2800" s="21">
        <v>14933.42</v>
      </c>
      <c r="I2800" s="21">
        <v>342.45</v>
      </c>
    </row>
    <row r="2801" spans="1:9" ht="15" customHeight="1" x14ac:dyDescent="0.3">
      <c r="A2801" s="21" t="s">
        <v>3109</v>
      </c>
      <c r="B2801" s="21">
        <v>2024</v>
      </c>
      <c r="C2801" s="21">
        <v>3</v>
      </c>
      <c r="D2801" s="21">
        <v>22</v>
      </c>
      <c r="E2801" s="21" t="s">
        <v>313</v>
      </c>
      <c r="F2801" s="21">
        <v>0</v>
      </c>
      <c r="G2801" s="21">
        <v>476.15</v>
      </c>
      <c r="H2801" s="21">
        <v>16305.92</v>
      </c>
      <c r="I2801" s="21">
        <v>342.45</v>
      </c>
    </row>
    <row r="2802" spans="1:9" ht="15" customHeight="1" x14ac:dyDescent="0.3">
      <c r="A2802" s="21" t="s">
        <v>3110</v>
      </c>
      <c r="B2802" s="21">
        <v>2024</v>
      </c>
      <c r="C2802" s="21">
        <v>3</v>
      </c>
      <c r="D2802" s="21">
        <v>23</v>
      </c>
      <c r="E2802" s="21" t="s">
        <v>316</v>
      </c>
      <c r="F2802" s="21">
        <v>1</v>
      </c>
      <c r="G2802" s="21">
        <v>361.4</v>
      </c>
      <c r="H2802" s="21">
        <v>12376.32</v>
      </c>
      <c r="I2802" s="21">
        <v>342.45</v>
      </c>
    </row>
    <row r="2803" spans="1:9" ht="15" customHeight="1" x14ac:dyDescent="0.3">
      <c r="A2803" s="21" t="s">
        <v>3111</v>
      </c>
      <c r="B2803" s="21">
        <v>2024</v>
      </c>
      <c r="C2803" s="21">
        <v>3</v>
      </c>
      <c r="D2803" s="21">
        <v>24</v>
      </c>
      <c r="E2803" s="21" t="s">
        <v>319</v>
      </c>
      <c r="F2803" s="21">
        <v>1</v>
      </c>
      <c r="G2803" s="21">
        <v>363.28</v>
      </c>
      <c r="H2803" s="21">
        <v>12440.67</v>
      </c>
      <c r="I2803" s="21">
        <v>342.45</v>
      </c>
    </row>
    <row r="2804" spans="1:9" ht="15" customHeight="1" x14ac:dyDescent="0.3">
      <c r="A2804" s="21" t="s">
        <v>3112</v>
      </c>
      <c r="B2804" s="21">
        <v>2024</v>
      </c>
      <c r="C2804" s="21">
        <v>3</v>
      </c>
      <c r="D2804" s="21">
        <v>25</v>
      </c>
      <c r="E2804" s="21" t="s">
        <v>299</v>
      </c>
      <c r="F2804" s="21">
        <v>0</v>
      </c>
      <c r="G2804" s="21">
        <v>443.34</v>
      </c>
      <c r="H2804" s="21">
        <v>15182.29</v>
      </c>
      <c r="I2804" s="21">
        <v>342.45</v>
      </c>
    </row>
    <row r="2805" spans="1:9" ht="15" customHeight="1" x14ac:dyDescent="0.3">
      <c r="A2805" s="21" t="s">
        <v>3113</v>
      </c>
      <c r="B2805" s="21">
        <v>2024</v>
      </c>
      <c r="C2805" s="21">
        <v>3</v>
      </c>
      <c r="D2805" s="21">
        <v>26</v>
      </c>
      <c r="E2805" s="21" t="s">
        <v>303</v>
      </c>
      <c r="F2805" s="21">
        <v>0</v>
      </c>
      <c r="G2805" s="21">
        <v>433.3</v>
      </c>
      <c r="H2805" s="21">
        <v>14838.57</v>
      </c>
      <c r="I2805" s="21">
        <v>342.45</v>
      </c>
    </row>
    <row r="2806" spans="1:9" ht="15" customHeight="1" x14ac:dyDescent="0.3">
      <c r="A2806" s="21" t="s">
        <v>3114</v>
      </c>
      <c r="B2806" s="21">
        <v>2024</v>
      </c>
      <c r="C2806" s="21">
        <v>3</v>
      </c>
      <c r="D2806" s="21">
        <v>27</v>
      </c>
      <c r="E2806" s="21" t="s">
        <v>307</v>
      </c>
      <c r="F2806" s="21">
        <v>0</v>
      </c>
      <c r="G2806" s="21">
        <v>422.67</v>
      </c>
      <c r="H2806" s="21">
        <v>14474.54</v>
      </c>
      <c r="I2806" s="21">
        <v>342.45</v>
      </c>
    </row>
    <row r="2807" spans="1:9" ht="15" customHeight="1" x14ac:dyDescent="0.3">
      <c r="A2807" s="21" t="s">
        <v>3115</v>
      </c>
      <c r="B2807" s="21">
        <v>2024</v>
      </c>
      <c r="C2807" s="21">
        <v>3</v>
      </c>
      <c r="D2807" s="21">
        <v>28</v>
      </c>
      <c r="E2807" s="21" t="s">
        <v>310</v>
      </c>
      <c r="F2807" s="21">
        <v>0</v>
      </c>
      <c r="G2807" s="21">
        <v>441.17</v>
      </c>
      <c r="H2807" s="21">
        <v>15107.95</v>
      </c>
      <c r="I2807" s="21">
        <v>342.45</v>
      </c>
    </row>
    <row r="2808" spans="1:9" ht="15" customHeight="1" x14ac:dyDescent="0.3">
      <c r="A2808" s="21" t="s">
        <v>3116</v>
      </c>
      <c r="B2808" s="21">
        <v>2024</v>
      </c>
      <c r="C2808" s="21">
        <v>3</v>
      </c>
      <c r="D2808" s="21">
        <v>29</v>
      </c>
      <c r="E2808" s="21" t="s">
        <v>313</v>
      </c>
      <c r="F2808" s="21">
        <v>0</v>
      </c>
      <c r="G2808" s="21">
        <v>445.17</v>
      </c>
      <c r="H2808" s="21">
        <v>15245.05</v>
      </c>
      <c r="I2808" s="21">
        <v>342.45</v>
      </c>
    </row>
    <row r="2809" spans="1:9" ht="15" customHeight="1" x14ac:dyDescent="0.3">
      <c r="A2809" s="21" t="s">
        <v>3117</v>
      </c>
      <c r="B2809" s="21">
        <v>2024</v>
      </c>
      <c r="C2809" s="21">
        <v>3</v>
      </c>
      <c r="D2809" s="21">
        <v>30</v>
      </c>
      <c r="E2809" s="21" t="s">
        <v>316</v>
      </c>
      <c r="F2809" s="21">
        <v>1</v>
      </c>
      <c r="G2809" s="21">
        <v>418.57</v>
      </c>
      <c r="H2809" s="21">
        <v>14334.12</v>
      </c>
      <c r="I2809" s="21">
        <v>342.45</v>
      </c>
    </row>
    <row r="2810" spans="1:9" ht="15" customHeight="1" x14ac:dyDescent="0.3">
      <c r="A2810" s="21" t="s">
        <v>3118</v>
      </c>
      <c r="B2810" s="21">
        <v>2024</v>
      </c>
      <c r="C2810" s="21">
        <v>3</v>
      </c>
      <c r="D2810" s="21">
        <v>31</v>
      </c>
      <c r="E2810" s="21" t="s">
        <v>319</v>
      </c>
      <c r="F2810" s="21">
        <v>1</v>
      </c>
      <c r="G2810" s="21">
        <v>428.46</v>
      </c>
      <c r="H2810" s="21">
        <v>14672.69</v>
      </c>
      <c r="I2810" s="21">
        <v>342.45</v>
      </c>
    </row>
    <row r="2811" spans="1:9" ht="15" customHeight="1" x14ac:dyDescent="0.3">
      <c r="A2811" s="21" t="s">
        <v>190</v>
      </c>
      <c r="B2811" s="21">
        <v>2024</v>
      </c>
      <c r="C2811" s="21">
        <v>4</v>
      </c>
      <c r="D2811" s="21">
        <v>1</v>
      </c>
      <c r="E2811" s="21" t="s">
        <v>299</v>
      </c>
      <c r="F2811" s="21">
        <v>0</v>
      </c>
      <c r="G2811" s="21">
        <v>539.03</v>
      </c>
      <c r="H2811" s="21">
        <v>18465.78</v>
      </c>
      <c r="I2811" s="21">
        <v>342.57</v>
      </c>
    </row>
    <row r="2812" spans="1:9" ht="15" customHeight="1" x14ac:dyDescent="0.3">
      <c r="A2812" s="21" t="s">
        <v>3119</v>
      </c>
      <c r="B2812" s="21">
        <v>2024</v>
      </c>
      <c r="C2812" s="21">
        <v>4</v>
      </c>
      <c r="D2812" s="21">
        <v>2</v>
      </c>
      <c r="E2812" s="21" t="s">
        <v>303</v>
      </c>
      <c r="F2812" s="21">
        <v>0</v>
      </c>
      <c r="G2812" s="21">
        <v>551.92999999999995</v>
      </c>
      <c r="H2812" s="21">
        <v>18907.97</v>
      </c>
      <c r="I2812" s="21">
        <v>342.58</v>
      </c>
    </row>
    <row r="2813" spans="1:9" ht="15" customHeight="1" x14ac:dyDescent="0.3">
      <c r="A2813" s="21" t="s">
        <v>3120</v>
      </c>
      <c r="B2813" s="21">
        <v>2024</v>
      </c>
      <c r="C2813" s="21">
        <v>4</v>
      </c>
      <c r="D2813" s="21">
        <v>3</v>
      </c>
      <c r="E2813" s="21" t="s">
        <v>307</v>
      </c>
      <c r="F2813" s="21">
        <v>0</v>
      </c>
      <c r="G2813" s="21">
        <v>448.73</v>
      </c>
      <c r="H2813" s="21">
        <v>15372.31</v>
      </c>
      <c r="I2813" s="21">
        <v>342.57</v>
      </c>
    </row>
    <row r="2814" spans="1:9" ht="15" customHeight="1" x14ac:dyDescent="0.3">
      <c r="A2814" s="21" t="s">
        <v>3121</v>
      </c>
      <c r="B2814" s="21">
        <v>2024</v>
      </c>
      <c r="C2814" s="21">
        <v>4</v>
      </c>
      <c r="D2814" s="21">
        <v>4</v>
      </c>
      <c r="E2814" s="21" t="s">
        <v>310</v>
      </c>
      <c r="F2814" s="21">
        <v>0</v>
      </c>
      <c r="G2814" s="21">
        <v>430.69</v>
      </c>
      <c r="H2814" s="21">
        <v>14754.44</v>
      </c>
      <c r="I2814" s="21">
        <v>342.58</v>
      </c>
    </row>
    <row r="2815" spans="1:9" ht="15" customHeight="1" x14ac:dyDescent="0.3">
      <c r="A2815" s="21" t="s">
        <v>3122</v>
      </c>
      <c r="B2815" s="21">
        <v>2024</v>
      </c>
      <c r="C2815" s="21">
        <v>4</v>
      </c>
      <c r="D2815" s="21">
        <v>5</v>
      </c>
      <c r="E2815" s="21" t="s">
        <v>313</v>
      </c>
      <c r="F2815" s="21">
        <v>0</v>
      </c>
      <c r="G2815" s="21">
        <v>478.32</v>
      </c>
      <c r="H2815" s="21">
        <v>16386.11</v>
      </c>
      <c r="I2815" s="21">
        <v>342.58</v>
      </c>
    </row>
    <row r="2816" spans="1:9" ht="15" customHeight="1" x14ac:dyDescent="0.3">
      <c r="A2816" s="21" t="s">
        <v>3123</v>
      </c>
      <c r="B2816" s="21">
        <v>2024</v>
      </c>
      <c r="C2816" s="21">
        <v>4</v>
      </c>
      <c r="D2816" s="21">
        <v>6</v>
      </c>
      <c r="E2816" s="21" t="s">
        <v>316</v>
      </c>
      <c r="F2816" s="21">
        <v>1</v>
      </c>
      <c r="G2816" s="21">
        <v>353.79</v>
      </c>
      <c r="H2816" s="21">
        <v>12120.12</v>
      </c>
      <c r="I2816" s="21">
        <v>342.58</v>
      </c>
    </row>
    <row r="2817" spans="1:9" ht="15" customHeight="1" x14ac:dyDescent="0.3">
      <c r="A2817" s="21" t="s">
        <v>3124</v>
      </c>
      <c r="B2817" s="21">
        <v>2024</v>
      </c>
      <c r="C2817" s="21">
        <v>4</v>
      </c>
      <c r="D2817" s="21">
        <v>7</v>
      </c>
      <c r="E2817" s="21" t="s">
        <v>319</v>
      </c>
      <c r="F2817" s="21">
        <v>1</v>
      </c>
      <c r="G2817" s="21">
        <v>376.38</v>
      </c>
      <c r="H2817" s="21">
        <v>12893.98</v>
      </c>
      <c r="I2817" s="21">
        <v>342.58</v>
      </c>
    </row>
    <row r="2818" spans="1:9" ht="15" customHeight="1" x14ac:dyDescent="0.3">
      <c r="A2818" s="21" t="s">
        <v>3125</v>
      </c>
      <c r="B2818" s="21">
        <v>2024</v>
      </c>
      <c r="C2818" s="21">
        <v>4</v>
      </c>
      <c r="D2818" s="21">
        <v>8</v>
      </c>
      <c r="E2818" s="21" t="s">
        <v>299</v>
      </c>
      <c r="F2818" s="21">
        <v>0</v>
      </c>
      <c r="G2818" s="21">
        <v>455.17</v>
      </c>
      <c r="H2818" s="21">
        <v>15593.11</v>
      </c>
      <c r="I2818" s="21">
        <v>342.58</v>
      </c>
    </row>
    <row r="2819" spans="1:9" ht="15" customHeight="1" x14ac:dyDescent="0.3">
      <c r="A2819" s="21" t="s">
        <v>3126</v>
      </c>
      <c r="B2819" s="21">
        <v>2024</v>
      </c>
      <c r="C2819" s="21">
        <v>4</v>
      </c>
      <c r="D2819" s="21">
        <v>9</v>
      </c>
      <c r="E2819" s="21" t="s">
        <v>303</v>
      </c>
      <c r="F2819" s="21">
        <v>0</v>
      </c>
      <c r="G2819" s="21">
        <v>456.26</v>
      </c>
      <c r="H2819" s="21">
        <v>15630.43</v>
      </c>
      <c r="I2819" s="21">
        <v>342.58</v>
      </c>
    </row>
    <row r="2820" spans="1:9" ht="15" customHeight="1" x14ac:dyDescent="0.3">
      <c r="A2820" s="21" t="s">
        <v>3127</v>
      </c>
      <c r="B2820" s="21">
        <v>2024</v>
      </c>
      <c r="C2820" s="21">
        <v>4</v>
      </c>
      <c r="D2820" s="21">
        <v>10</v>
      </c>
      <c r="E2820" s="21" t="s">
        <v>307</v>
      </c>
      <c r="F2820" s="21">
        <v>0</v>
      </c>
      <c r="G2820" s="21">
        <v>436.75</v>
      </c>
      <c r="H2820" s="21">
        <v>14961.87</v>
      </c>
      <c r="I2820" s="21">
        <v>342.57</v>
      </c>
    </row>
    <row r="2821" spans="1:9" ht="15" customHeight="1" x14ac:dyDescent="0.3">
      <c r="A2821" s="21" t="s">
        <v>3128</v>
      </c>
      <c r="B2821" s="21">
        <v>2024</v>
      </c>
      <c r="C2821" s="21">
        <v>4</v>
      </c>
      <c r="D2821" s="21">
        <v>11</v>
      </c>
      <c r="E2821" s="21" t="s">
        <v>310</v>
      </c>
      <c r="F2821" s="21">
        <v>0</v>
      </c>
      <c r="G2821" s="21">
        <v>442.51</v>
      </c>
      <c r="H2821" s="21">
        <v>15159.38</v>
      </c>
      <c r="I2821" s="21">
        <v>342.58</v>
      </c>
    </row>
    <row r="2822" spans="1:9" ht="15" customHeight="1" x14ac:dyDescent="0.3">
      <c r="A2822" s="21" t="s">
        <v>3129</v>
      </c>
      <c r="B2822" s="21">
        <v>2024</v>
      </c>
      <c r="C2822" s="21">
        <v>4</v>
      </c>
      <c r="D2822" s="21">
        <v>12</v>
      </c>
      <c r="E2822" s="21" t="s">
        <v>313</v>
      </c>
      <c r="F2822" s="21">
        <v>0</v>
      </c>
      <c r="G2822" s="21">
        <v>471.13</v>
      </c>
      <c r="H2822" s="21">
        <v>16139.62</v>
      </c>
      <c r="I2822" s="21">
        <v>342.57</v>
      </c>
    </row>
    <row r="2823" spans="1:9" ht="15" customHeight="1" x14ac:dyDescent="0.3">
      <c r="A2823" s="21" t="s">
        <v>3130</v>
      </c>
      <c r="B2823" s="21">
        <v>2024</v>
      </c>
      <c r="C2823" s="21">
        <v>4</v>
      </c>
      <c r="D2823" s="21">
        <v>13</v>
      </c>
      <c r="E2823" s="21" t="s">
        <v>316</v>
      </c>
      <c r="F2823" s="21">
        <v>1</v>
      </c>
      <c r="G2823" s="21">
        <v>400.62</v>
      </c>
      <c r="H2823" s="21">
        <v>13724.34</v>
      </c>
      <c r="I2823" s="21">
        <v>342.58</v>
      </c>
    </row>
    <row r="2824" spans="1:9" ht="15" customHeight="1" x14ac:dyDescent="0.3">
      <c r="A2824" s="21" t="s">
        <v>3131</v>
      </c>
      <c r="B2824" s="21">
        <v>2024</v>
      </c>
      <c r="C2824" s="21">
        <v>4</v>
      </c>
      <c r="D2824" s="21">
        <v>14</v>
      </c>
      <c r="E2824" s="21" t="s">
        <v>319</v>
      </c>
      <c r="F2824" s="21">
        <v>1</v>
      </c>
      <c r="G2824" s="21">
        <v>373.18</v>
      </c>
      <c r="H2824" s="21">
        <v>12784.16</v>
      </c>
      <c r="I2824" s="21">
        <v>342.57</v>
      </c>
    </row>
    <row r="2825" spans="1:9" ht="15" customHeight="1" x14ac:dyDescent="0.3">
      <c r="A2825" s="21" t="s">
        <v>3132</v>
      </c>
      <c r="B2825" s="21">
        <v>2024</v>
      </c>
      <c r="C2825" s="21">
        <v>4</v>
      </c>
      <c r="D2825" s="21">
        <v>15</v>
      </c>
      <c r="E2825" s="21" t="s">
        <v>299</v>
      </c>
      <c r="F2825" s="21">
        <v>0</v>
      </c>
      <c r="G2825" s="21">
        <v>490.68</v>
      </c>
      <c r="H2825" s="21">
        <v>16809.64</v>
      </c>
      <c r="I2825" s="21">
        <v>342.58</v>
      </c>
    </row>
    <row r="2826" spans="1:9" ht="15" customHeight="1" x14ac:dyDescent="0.3">
      <c r="A2826" s="21" t="s">
        <v>3133</v>
      </c>
      <c r="B2826" s="21">
        <v>2024</v>
      </c>
      <c r="C2826" s="21">
        <v>4</v>
      </c>
      <c r="D2826" s="21">
        <v>16</v>
      </c>
      <c r="E2826" s="21" t="s">
        <v>303</v>
      </c>
      <c r="F2826" s="21">
        <v>0</v>
      </c>
      <c r="G2826" s="21">
        <v>454.91</v>
      </c>
      <c r="H2826" s="21">
        <v>15584.23</v>
      </c>
      <c r="I2826" s="21">
        <v>342.58</v>
      </c>
    </row>
    <row r="2827" spans="1:9" ht="15" customHeight="1" x14ac:dyDescent="0.3">
      <c r="A2827" s="21" t="s">
        <v>3134</v>
      </c>
      <c r="B2827" s="21">
        <v>2024</v>
      </c>
      <c r="C2827" s="21">
        <v>4</v>
      </c>
      <c r="D2827" s="21">
        <v>17</v>
      </c>
      <c r="E2827" s="21" t="s">
        <v>307</v>
      </c>
      <c r="F2827" s="21">
        <v>0</v>
      </c>
      <c r="G2827" s="21">
        <v>450.49</v>
      </c>
      <c r="H2827" s="21">
        <v>15432.67</v>
      </c>
      <c r="I2827" s="21">
        <v>342.58</v>
      </c>
    </row>
    <row r="2828" spans="1:9" ht="15" customHeight="1" x14ac:dyDescent="0.3">
      <c r="A2828" s="21" t="s">
        <v>3135</v>
      </c>
      <c r="B2828" s="21">
        <v>2024</v>
      </c>
      <c r="C2828" s="21">
        <v>4</v>
      </c>
      <c r="D2828" s="21">
        <v>18</v>
      </c>
      <c r="E2828" s="21" t="s">
        <v>310</v>
      </c>
      <c r="F2828" s="21">
        <v>0</v>
      </c>
      <c r="G2828" s="21">
        <v>448.98</v>
      </c>
      <c r="H2828" s="21">
        <v>15380.95</v>
      </c>
      <c r="I2828" s="21">
        <v>342.58</v>
      </c>
    </row>
    <row r="2829" spans="1:9" ht="15" customHeight="1" x14ac:dyDescent="0.3">
      <c r="A2829" s="21" t="s">
        <v>3136</v>
      </c>
      <c r="B2829" s="21">
        <v>2024</v>
      </c>
      <c r="C2829" s="21">
        <v>4</v>
      </c>
      <c r="D2829" s="21">
        <v>19</v>
      </c>
      <c r="E2829" s="21" t="s">
        <v>313</v>
      </c>
      <c r="F2829" s="21">
        <v>0</v>
      </c>
      <c r="G2829" s="21">
        <v>484.84</v>
      </c>
      <c r="H2829" s="21">
        <v>16609.400000000001</v>
      </c>
      <c r="I2829" s="21">
        <v>342.57</v>
      </c>
    </row>
    <row r="2830" spans="1:9" ht="15" customHeight="1" x14ac:dyDescent="0.3">
      <c r="A2830" s="21" t="s">
        <v>3137</v>
      </c>
      <c r="B2830" s="21">
        <v>2024</v>
      </c>
      <c r="C2830" s="21">
        <v>4</v>
      </c>
      <c r="D2830" s="21">
        <v>20</v>
      </c>
      <c r="E2830" s="21" t="s">
        <v>316</v>
      </c>
      <c r="F2830" s="21">
        <v>1</v>
      </c>
      <c r="G2830" s="21">
        <v>351.78</v>
      </c>
      <c r="H2830" s="21">
        <v>12051.02</v>
      </c>
      <c r="I2830" s="21">
        <v>342.57</v>
      </c>
    </row>
    <row r="2831" spans="1:9" ht="15" customHeight="1" x14ac:dyDescent="0.3">
      <c r="A2831" s="21" t="s">
        <v>3138</v>
      </c>
      <c r="B2831" s="21">
        <v>2024</v>
      </c>
      <c r="C2831" s="21">
        <v>4</v>
      </c>
      <c r="D2831" s="21">
        <v>21</v>
      </c>
      <c r="E2831" s="21" t="s">
        <v>319</v>
      </c>
      <c r="F2831" s="21">
        <v>1</v>
      </c>
      <c r="G2831" s="21">
        <v>373.74</v>
      </c>
      <c r="H2831" s="21">
        <v>12803.49</v>
      </c>
      <c r="I2831" s="21">
        <v>342.58</v>
      </c>
    </row>
    <row r="2832" spans="1:9" ht="15" customHeight="1" x14ac:dyDescent="0.3">
      <c r="A2832" s="21" t="s">
        <v>3139</v>
      </c>
      <c r="B2832" s="21">
        <v>2024</v>
      </c>
      <c r="C2832" s="21">
        <v>4</v>
      </c>
      <c r="D2832" s="21">
        <v>22</v>
      </c>
      <c r="E2832" s="21" t="s">
        <v>299</v>
      </c>
      <c r="F2832" s="21">
        <v>0</v>
      </c>
      <c r="G2832" s="21">
        <v>477.53</v>
      </c>
      <c r="H2832" s="21">
        <v>16359.01</v>
      </c>
      <c r="I2832" s="21">
        <v>342.58</v>
      </c>
    </row>
    <row r="2833" spans="1:9" ht="15" customHeight="1" x14ac:dyDescent="0.3">
      <c r="A2833" s="21" t="s">
        <v>3140</v>
      </c>
      <c r="B2833" s="21">
        <v>2024</v>
      </c>
      <c r="C2833" s="21">
        <v>4</v>
      </c>
      <c r="D2833" s="21">
        <v>23</v>
      </c>
      <c r="E2833" s="21" t="s">
        <v>303</v>
      </c>
      <c r="F2833" s="21">
        <v>0</v>
      </c>
      <c r="G2833" s="21">
        <v>443.42</v>
      </c>
      <c r="H2833" s="21">
        <v>15190.35</v>
      </c>
      <c r="I2833" s="21">
        <v>342.57</v>
      </c>
    </row>
    <row r="2834" spans="1:9" ht="15" customHeight="1" x14ac:dyDescent="0.3">
      <c r="A2834" s="21" t="s">
        <v>3141</v>
      </c>
      <c r="B2834" s="21">
        <v>2024</v>
      </c>
      <c r="C2834" s="21">
        <v>4</v>
      </c>
      <c r="D2834" s="21">
        <v>24</v>
      </c>
      <c r="E2834" s="21" t="s">
        <v>307</v>
      </c>
      <c r="F2834" s="21">
        <v>0</v>
      </c>
      <c r="G2834" s="21">
        <v>425.35</v>
      </c>
      <c r="H2834" s="21">
        <v>14571.37</v>
      </c>
      <c r="I2834" s="21">
        <v>342.57</v>
      </c>
    </row>
    <row r="2835" spans="1:9" ht="15" customHeight="1" x14ac:dyDescent="0.3">
      <c r="A2835" s="21" t="s">
        <v>3142</v>
      </c>
      <c r="B2835" s="21">
        <v>2024</v>
      </c>
      <c r="C2835" s="21">
        <v>4</v>
      </c>
      <c r="D2835" s="21">
        <v>25</v>
      </c>
      <c r="E2835" s="21" t="s">
        <v>310</v>
      </c>
      <c r="F2835" s="21">
        <v>0</v>
      </c>
      <c r="G2835" s="21">
        <v>443.37</v>
      </c>
      <c r="H2835" s="21">
        <v>15188.75</v>
      </c>
      <c r="I2835" s="21">
        <v>342.58</v>
      </c>
    </row>
    <row r="2836" spans="1:9" ht="15" customHeight="1" x14ac:dyDescent="0.3">
      <c r="A2836" s="21" t="s">
        <v>3143</v>
      </c>
      <c r="B2836" s="21">
        <v>2024</v>
      </c>
      <c r="C2836" s="21">
        <v>4</v>
      </c>
      <c r="D2836" s="21">
        <v>26</v>
      </c>
      <c r="E2836" s="21" t="s">
        <v>313</v>
      </c>
      <c r="F2836" s="21">
        <v>0</v>
      </c>
      <c r="G2836" s="21">
        <v>502.29</v>
      </c>
      <c r="H2836" s="21">
        <v>17207.400000000001</v>
      </c>
      <c r="I2836" s="21">
        <v>342.58</v>
      </c>
    </row>
    <row r="2837" spans="1:9" ht="15" customHeight="1" x14ac:dyDescent="0.3">
      <c r="A2837" s="21" t="s">
        <v>3144</v>
      </c>
      <c r="B2837" s="21">
        <v>2024</v>
      </c>
      <c r="C2837" s="21">
        <v>4</v>
      </c>
      <c r="D2837" s="21">
        <v>27</v>
      </c>
      <c r="E2837" s="21" t="s">
        <v>316</v>
      </c>
      <c r="F2837" s="21">
        <v>1</v>
      </c>
      <c r="G2837" s="21">
        <v>394.07</v>
      </c>
      <c r="H2837" s="21">
        <v>13499.82</v>
      </c>
      <c r="I2837" s="21">
        <v>342.57</v>
      </c>
    </row>
    <row r="2838" spans="1:9" ht="15" customHeight="1" x14ac:dyDescent="0.3">
      <c r="A2838" s="21" t="s">
        <v>3145</v>
      </c>
      <c r="B2838" s="21">
        <v>2024</v>
      </c>
      <c r="C2838" s="21">
        <v>4</v>
      </c>
      <c r="D2838" s="21">
        <v>28</v>
      </c>
      <c r="E2838" s="21" t="s">
        <v>319</v>
      </c>
      <c r="F2838" s="21">
        <v>1</v>
      </c>
      <c r="G2838" s="21">
        <v>376.63</v>
      </c>
      <c r="H2838" s="21">
        <v>12902.47</v>
      </c>
      <c r="I2838" s="21">
        <v>342.58</v>
      </c>
    </row>
    <row r="2839" spans="1:9" ht="15" customHeight="1" x14ac:dyDescent="0.3">
      <c r="A2839" s="21" t="s">
        <v>3146</v>
      </c>
      <c r="B2839" s="21">
        <v>2024</v>
      </c>
      <c r="C2839" s="21">
        <v>4</v>
      </c>
      <c r="D2839" s="21">
        <v>29</v>
      </c>
      <c r="E2839" s="21" t="s">
        <v>299</v>
      </c>
      <c r="F2839" s="21">
        <v>0</v>
      </c>
      <c r="G2839" s="21">
        <v>550.79</v>
      </c>
      <c r="H2839" s="21">
        <v>18868.650000000001</v>
      </c>
      <c r="I2839" s="21">
        <v>342.57</v>
      </c>
    </row>
    <row r="2840" spans="1:9" ht="15" customHeight="1" x14ac:dyDescent="0.3">
      <c r="A2840" s="21" t="s">
        <v>3147</v>
      </c>
      <c r="B2840" s="21">
        <v>2024</v>
      </c>
      <c r="C2840" s="21">
        <v>4</v>
      </c>
      <c r="D2840" s="21">
        <v>30</v>
      </c>
      <c r="E2840" s="21" t="s">
        <v>303</v>
      </c>
      <c r="F2840" s="21">
        <v>0</v>
      </c>
      <c r="G2840" s="21">
        <v>505.06</v>
      </c>
      <c r="H2840" s="21">
        <v>17302.21</v>
      </c>
      <c r="I2840" s="21">
        <v>342.58</v>
      </c>
    </row>
    <row r="2841" spans="1:9" ht="15" customHeight="1" x14ac:dyDescent="0.3">
      <c r="A2841" s="21" t="s">
        <v>191</v>
      </c>
      <c r="B2841" s="21">
        <v>2024</v>
      </c>
      <c r="C2841" s="21">
        <v>5</v>
      </c>
      <c r="D2841" s="21">
        <v>1</v>
      </c>
      <c r="E2841" s="21" t="s">
        <v>307</v>
      </c>
      <c r="F2841" s="21">
        <v>0</v>
      </c>
      <c r="G2841" s="21">
        <v>494.07</v>
      </c>
      <c r="H2841" s="21">
        <v>16910.330000000002</v>
      </c>
      <c r="I2841" s="21">
        <v>342.27</v>
      </c>
    </row>
    <row r="2842" spans="1:9" ht="15" customHeight="1" x14ac:dyDescent="0.3">
      <c r="A2842" s="21" t="s">
        <v>3148</v>
      </c>
      <c r="B2842" s="21">
        <v>2024</v>
      </c>
      <c r="C2842" s="21">
        <v>5</v>
      </c>
      <c r="D2842" s="21">
        <v>2</v>
      </c>
      <c r="E2842" s="21" t="s">
        <v>310</v>
      </c>
      <c r="F2842" s="21">
        <v>0</v>
      </c>
      <c r="G2842" s="21">
        <v>506.25</v>
      </c>
      <c r="H2842" s="21">
        <v>17327.04</v>
      </c>
      <c r="I2842" s="21">
        <v>342.26</v>
      </c>
    </row>
    <row r="2843" spans="1:9" ht="15" customHeight="1" x14ac:dyDescent="0.3">
      <c r="A2843" s="21" t="s">
        <v>3149</v>
      </c>
      <c r="B2843" s="21">
        <v>2024</v>
      </c>
      <c r="C2843" s="21">
        <v>5</v>
      </c>
      <c r="D2843" s="21">
        <v>3</v>
      </c>
      <c r="E2843" s="21" t="s">
        <v>313</v>
      </c>
      <c r="F2843" s="21">
        <v>0</v>
      </c>
      <c r="G2843" s="21">
        <v>510.23</v>
      </c>
      <c r="H2843" s="21">
        <v>17463.11</v>
      </c>
      <c r="I2843" s="21">
        <v>342.26</v>
      </c>
    </row>
    <row r="2844" spans="1:9" ht="15" customHeight="1" x14ac:dyDescent="0.3">
      <c r="A2844" s="21" t="s">
        <v>3150</v>
      </c>
      <c r="B2844" s="21">
        <v>2024</v>
      </c>
      <c r="C2844" s="21">
        <v>5</v>
      </c>
      <c r="D2844" s="21">
        <v>4</v>
      </c>
      <c r="E2844" s="21" t="s">
        <v>316</v>
      </c>
      <c r="F2844" s="21">
        <v>1</v>
      </c>
      <c r="G2844" s="21">
        <v>381.14</v>
      </c>
      <c r="H2844" s="21">
        <v>13044.88</v>
      </c>
      <c r="I2844" s="21">
        <v>342.26</v>
      </c>
    </row>
    <row r="2845" spans="1:9" ht="15" customHeight="1" x14ac:dyDescent="0.3">
      <c r="A2845" s="21" t="s">
        <v>3151</v>
      </c>
      <c r="B2845" s="21">
        <v>2024</v>
      </c>
      <c r="C2845" s="21">
        <v>5</v>
      </c>
      <c r="D2845" s="21">
        <v>5</v>
      </c>
      <c r="E2845" s="21" t="s">
        <v>319</v>
      </c>
      <c r="F2845" s="21">
        <v>1</v>
      </c>
      <c r="G2845" s="21">
        <v>381.55</v>
      </c>
      <c r="H2845" s="21">
        <v>13059.11</v>
      </c>
      <c r="I2845" s="21">
        <v>342.26</v>
      </c>
    </row>
    <row r="2846" spans="1:9" ht="15" customHeight="1" x14ac:dyDescent="0.3">
      <c r="A2846" s="21" t="s">
        <v>3152</v>
      </c>
      <c r="B2846" s="21">
        <v>2024</v>
      </c>
      <c r="C2846" s="21">
        <v>5</v>
      </c>
      <c r="D2846" s="21">
        <v>6</v>
      </c>
      <c r="E2846" s="21" t="s">
        <v>299</v>
      </c>
      <c r="F2846" s="21">
        <v>0</v>
      </c>
      <c r="G2846" s="21">
        <v>471.34</v>
      </c>
      <c r="H2846" s="21">
        <v>16132.22</v>
      </c>
      <c r="I2846" s="21">
        <v>342.26</v>
      </c>
    </row>
    <row r="2847" spans="1:9" ht="15" customHeight="1" x14ac:dyDescent="0.3">
      <c r="A2847" s="21" t="s">
        <v>3153</v>
      </c>
      <c r="B2847" s="21">
        <v>2024</v>
      </c>
      <c r="C2847" s="21">
        <v>5</v>
      </c>
      <c r="D2847" s="21">
        <v>7</v>
      </c>
      <c r="E2847" s="21" t="s">
        <v>303</v>
      </c>
      <c r="F2847" s="21">
        <v>0</v>
      </c>
      <c r="G2847" s="21">
        <v>478.64</v>
      </c>
      <c r="H2847" s="21">
        <v>16382.01</v>
      </c>
      <c r="I2847" s="21">
        <v>342.26</v>
      </c>
    </row>
    <row r="2848" spans="1:9" ht="15" customHeight="1" x14ac:dyDescent="0.3">
      <c r="A2848" s="21" t="s">
        <v>3154</v>
      </c>
      <c r="B2848" s="21">
        <v>2024</v>
      </c>
      <c r="C2848" s="21">
        <v>5</v>
      </c>
      <c r="D2848" s="21">
        <v>8</v>
      </c>
      <c r="E2848" s="21" t="s">
        <v>307</v>
      </c>
      <c r="F2848" s="21">
        <v>0</v>
      </c>
      <c r="G2848" s="21">
        <v>474.86</v>
      </c>
      <c r="H2848" s="21">
        <v>16252.69</v>
      </c>
      <c r="I2848" s="21">
        <v>342.26</v>
      </c>
    </row>
    <row r="2849" spans="1:9" ht="15" customHeight="1" x14ac:dyDescent="0.3">
      <c r="A2849" s="21" t="s">
        <v>3155</v>
      </c>
      <c r="B2849" s="21">
        <v>2024</v>
      </c>
      <c r="C2849" s="21">
        <v>5</v>
      </c>
      <c r="D2849" s="21">
        <v>9</v>
      </c>
      <c r="E2849" s="21" t="s">
        <v>310</v>
      </c>
      <c r="F2849" s="21">
        <v>0</v>
      </c>
      <c r="G2849" s="21">
        <v>482.91</v>
      </c>
      <c r="H2849" s="21">
        <v>16528.29</v>
      </c>
      <c r="I2849" s="21">
        <v>342.26</v>
      </c>
    </row>
    <row r="2850" spans="1:9" ht="15" customHeight="1" x14ac:dyDescent="0.3">
      <c r="A2850" s="21" t="s">
        <v>3156</v>
      </c>
      <c r="B2850" s="21">
        <v>2024</v>
      </c>
      <c r="C2850" s="21">
        <v>5</v>
      </c>
      <c r="D2850" s="21">
        <v>10</v>
      </c>
      <c r="E2850" s="21" t="s">
        <v>313</v>
      </c>
      <c r="F2850" s="21">
        <v>0</v>
      </c>
      <c r="G2850" s="21">
        <v>486.84</v>
      </c>
      <c r="H2850" s="21">
        <v>16662.580000000002</v>
      </c>
      <c r="I2850" s="21">
        <v>342.26</v>
      </c>
    </row>
    <row r="2851" spans="1:9" ht="15" customHeight="1" x14ac:dyDescent="0.3">
      <c r="A2851" s="21" t="s">
        <v>3157</v>
      </c>
      <c r="B2851" s="21">
        <v>2024</v>
      </c>
      <c r="C2851" s="21">
        <v>5</v>
      </c>
      <c r="D2851" s="21">
        <v>11</v>
      </c>
      <c r="E2851" s="21" t="s">
        <v>316</v>
      </c>
      <c r="F2851" s="21">
        <v>1</v>
      </c>
      <c r="G2851" s="21">
        <v>388.87</v>
      </c>
      <c r="H2851" s="21">
        <v>13309.69</v>
      </c>
      <c r="I2851" s="21">
        <v>342.27</v>
      </c>
    </row>
    <row r="2852" spans="1:9" ht="15" customHeight="1" x14ac:dyDescent="0.3">
      <c r="A2852" s="21" t="s">
        <v>3158</v>
      </c>
      <c r="B2852" s="21">
        <v>2024</v>
      </c>
      <c r="C2852" s="21">
        <v>5</v>
      </c>
      <c r="D2852" s="21">
        <v>12</v>
      </c>
      <c r="E2852" s="21" t="s">
        <v>319</v>
      </c>
      <c r="F2852" s="21">
        <v>1</v>
      </c>
      <c r="G2852" s="21">
        <v>364.26</v>
      </c>
      <c r="H2852" s="21">
        <v>12467.17</v>
      </c>
      <c r="I2852" s="21">
        <v>342.26</v>
      </c>
    </row>
    <row r="2853" spans="1:9" ht="15" customHeight="1" x14ac:dyDescent="0.3">
      <c r="A2853" s="21" t="s">
        <v>3159</v>
      </c>
      <c r="B2853" s="21">
        <v>2024</v>
      </c>
      <c r="C2853" s="21">
        <v>5</v>
      </c>
      <c r="D2853" s="21">
        <v>13</v>
      </c>
      <c r="E2853" s="21" t="s">
        <v>299</v>
      </c>
      <c r="F2853" s="21">
        <v>0</v>
      </c>
      <c r="G2853" s="21">
        <v>495.47</v>
      </c>
      <c r="H2853" s="21">
        <v>16958.240000000002</v>
      </c>
      <c r="I2853" s="21">
        <v>342.27</v>
      </c>
    </row>
    <row r="2854" spans="1:9" ht="15" customHeight="1" x14ac:dyDescent="0.3">
      <c r="A2854" s="21" t="s">
        <v>3160</v>
      </c>
      <c r="B2854" s="21">
        <v>2024</v>
      </c>
      <c r="C2854" s="21">
        <v>5</v>
      </c>
      <c r="D2854" s="21">
        <v>14</v>
      </c>
      <c r="E2854" s="21" t="s">
        <v>303</v>
      </c>
      <c r="F2854" s="21">
        <v>0</v>
      </c>
      <c r="G2854" s="21">
        <v>436.91</v>
      </c>
      <c r="H2854" s="21">
        <v>14953.87</v>
      </c>
      <c r="I2854" s="21">
        <v>342.26</v>
      </c>
    </row>
    <row r="2855" spans="1:9" ht="15" customHeight="1" x14ac:dyDescent="0.3">
      <c r="A2855" s="21" t="s">
        <v>3161</v>
      </c>
      <c r="B2855" s="21">
        <v>2024</v>
      </c>
      <c r="C2855" s="21">
        <v>5</v>
      </c>
      <c r="D2855" s="21">
        <v>15</v>
      </c>
      <c r="E2855" s="21" t="s">
        <v>307</v>
      </c>
      <c r="F2855" s="21">
        <v>0</v>
      </c>
      <c r="G2855" s="21">
        <v>455.72</v>
      </c>
      <c r="H2855" s="21">
        <v>15597.55</v>
      </c>
      <c r="I2855" s="21">
        <v>342.26</v>
      </c>
    </row>
    <row r="2856" spans="1:9" ht="15" customHeight="1" x14ac:dyDescent="0.3">
      <c r="A2856" s="21" t="s">
        <v>3162</v>
      </c>
      <c r="B2856" s="21">
        <v>2024</v>
      </c>
      <c r="C2856" s="21">
        <v>5</v>
      </c>
      <c r="D2856" s="21">
        <v>16</v>
      </c>
      <c r="E2856" s="21" t="s">
        <v>310</v>
      </c>
      <c r="F2856" s="21">
        <v>0</v>
      </c>
      <c r="G2856" s="21">
        <v>437.87</v>
      </c>
      <c r="H2856" s="21">
        <v>14986.63</v>
      </c>
      <c r="I2856" s="21">
        <v>342.26</v>
      </c>
    </row>
    <row r="2857" spans="1:9" ht="15" customHeight="1" x14ac:dyDescent="0.3">
      <c r="A2857" s="21" t="s">
        <v>3163</v>
      </c>
      <c r="B2857" s="21">
        <v>2024</v>
      </c>
      <c r="C2857" s="21">
        <v>5</v>
      </c>
      <c r="D2857" s="21">
        <v>17</v>
      </c>
      <c r="E2857" s="21" t="s">
        <v>313</v>
      </c>
      <c r="F2857" s="21">
        <v>0</v>
      </c>
      <c r="G2857" s="21">
        <v>481</v>
      </c>
      <c r="H2857" s="21">
        <v>16462.75</v>
      </c>
      <c r="I2857" s="21">
        <v>342.26</v>
      </c>
    </row>
    <row r="2858" spans="1:9" ht="15" customHeight="1" x14ac:dyDescent="0.3">
      <c r="A2858" s="21" t="s">
        <v>3164</v>
      </c>
      <c r="B2858" s="21">
        <v>2024</v>
      </c>
      <c r="C2858" s="21">
        <v>5</v>
      </c>
      <c r="D2858" s="21">
        <v>18</v>
      </c>
      <c r="E2858" s="21" t="s">
        <v>316</v>
      </c>
      <c r="F2858" s="21">
        <v>1</v>
      </c>
      <c r="G2858" s="21">
        <v>373.49</v>
      </c>
      <c r="H2858" s="21">
        <v>12783.01</v>
      </c>
      <c r="I2858" s="21">
        <v>342.26</v>
      </c>
    </row>
    <row r="2859" spans="1:9" ht="15" customHeight="1" x14ac:dyDescent="0.3">
      <c r="A2859" s="21" t="s">
        <v>3165</v>
      </c>
      <c r="B2859" s="21">
        <v>2024</v>
      </c>
      <c r="C2859" s="21">
        <v>5</v>
      </c>
      <c r="D2859" s="21">
        <v>19</v>
      </c>
      <c r="E2859" s="21" t="s">
        <v>319</v>
      </c>
      <c r="F2859" s="21">
        <v>1</v>
      </c>
      <c r="G2859" s="21">
        <v>376.6</v>
      </c>
      <c r="H2859" s="21">
        <v>12889.65</v>
      </c>
      <c r="I2859" s="21">
        <v>342.26</v>
      </c>
    </row>
    <row r="2860" spans="1:9" ht="15" customHeight="1" x14ac:dyDescent="0.3">
      <c r="A2860" s="21" t="s">
        <v>3166</v>
      </c>
      <c r="B2860" s="21">
        <v>2024</v>
      </c>
      <c r="C2860" s="21">
        <v>5</v>
      </c>
      <c r="D2860" s="21">
        <v>20</v>
      </c>
      <c r="E2860" s="21" t="s">
        <v>299</v>
      </c>
      <c r="F2860" s="21">
        <v>0</v>
      </c>
      <c r="G2860" s="21">
        <v>468.09</v>
      </c>
      <c r="H2860" s="21">
        <v>16020.97</v>
      </c>
      <c r="I2860" s="21">
        <v>342.26</v>
      </c>
    </row>
    <row r="2861" spans="1:9" ht="15" customHeight="1" x14ac:dyDescent="0.3">
      <c r="A2861" s="21" t="s">
        <v>3167</v>
      </c>
      <c r="B2861" s="21">
        <v>2024</v>
      </c>
      <c r="C2861" s="21">
        <v>5</v>
      </c>
      <c r="D2861" s="21">
        <v>21</v>
      </c>
      <c r="E2861" s="21" t="s">
        <v>303</v>
      </c>
      <c r="F2861" s="21">
        <v>0</v>
      </c>
      <c r="G2861" s="21">
        <v>445.33</v>
      </c>
      <c r="H2861" s="21">
        <v>15241.88</v>
      </c>
      <c r="I2861" s="21">
        <v>342.26</v>
      </c>
    </row>
    <row r="2862" spans="1:9" ht="15" customHeight="1" x14ac:dyDescent="0.3">
      <c r="A2862" s="21" t="s">
        <v>3168</v>
      </c>
      <c r="B2862" s="21">
        <v>2024</v>
      </c>
      <c r="C2862" s="21">
        <v>5</v>
      </c>
      <c r="D2862" s="21">
        <v>22</v>
      </c>
      <c r="E2862" s="21" t="s">
        <v>307</v>
      </c>
      <c r="F2862" s="21">
        <v>0</v>
      </c>
      <c r="G2862" s="21">
        <v>464.09</v>
      </c>
      <c r="H2862" s="21">
        <v>15884.19</v>
      </c>
      <c r="I2862" s="21">
        <v>342.27</v>
      </c>
    </row>
    <row r="2863" spans="1:9" ht="15" customHeight="1" x14ac:dyDescent="0.3">
      <c r="A2863" s="21" t="s">
        <v>3169</v>
      </c>
      <c r="B2863" s="21">
        <v>2024</v>
      </c>
      <c r="C2863" s="21">
        <v>5</v>
      </c>
      <c r="D2863" s="21">
        <v>23</v>
      </c>
      <c r="E2863" s="21" t="s">
        <v>310</v>
      </c>
      <c r="F2863" s="21">
        <v>0</v>
      </c>
      <c r="G2863" s="21">
        <v>437.77</v>
      </c>
      <c r="H2863" s="21">
        <v>14983.12</v>
      </c>
      <c r="I2863" s="21">
        <v>342.26</v>
      </c>
    </row>
    <row r="2864" spans="1:9" ht="15" customHeight="1" x14ac:dyDescent="0.3">
      <c r="A2864" s="21" t="s">
        <v>3170</v>
      </c>
      <c r="B2864" s="21">
        <v>2024</v>
      </c>
      <c r="C2864" s="21">
        <v>5</v>
      </c>
      <c r="D2864" s="21">
        <v>24</v>
      </c>
      <c r="E2864" s="21" t="s">
        <v>313</v>
      </c>
      <c r="F2864" s="21">
        <v>0</v>
      </c>
      <c r="G2864" s="21">
        <v>491.99</v>
      </c>
      <c r="H2864" s="21">
        <v>16839.05</v>
      </c>
      <c r="I2864" s="21">
        <v>342.26</v>
      </c>
    </row>
    <row r="2865" spans="1:9" ht="15" customHeight="1" x14ac:dyDescent="0.3">
      <c r="A2865" s="21" t="s">
        <v>3171</v>
      </c>
      <c r="B2865" s="21">
        <v>2024</v>
      </c>
      <c r="C2865" s="21">
        <v>5</v>
      </c>
      <c r="D2865" s="21">
        <v>25</v>
      </c>
      <c r="E2865" s="21" t="s">
        <v>316</v>
      </c>
      <c r="F2865" s="21">
        <v>1</v>
      </c>
      <c r="G2865" s="21">
        <v>401.4</v>
      </c>
      <c r="H2865" s="21">
        <v>13738.49</v>
      </c>
      <c r="I2865" s="21">
        <v>342.26</v>
      </c>
    </row>
    <row r="2866" spans="1:9" ht="15" customHeight="1" x14ac:dyDescent="0.3">
      <c r="A2866" s="21" t="s">
        <v>3172</v>
      </c>
      <c r="B2866" s="21">
        <v>2024</v>
      </c>
      <c r="C2866" s="21">
        <v>5</v>
      </c>
      <c r="D2866" s="21">
        <v>26</v>
      </c>
      <c r="E2866" s="21" t="s">
        <v>319</v>
      </c>
      <c r="F2866" s="21">
        <v>1</v>
      </c>
      <c r="G2866" s="21">
        <v>377.89</v>
      </c>
      <c r="H2866" s="21">
        <v>12933.67</v>
      </c>
      <c r="I2866" s="21">
        <v>342.26</v>
      </c>
    </row>
    <row r="2867" spans="1:9" ht="15" customHeight="1" x14ac:dyDescent="0.3">
      <c r="A2867" s="21" t="s">
        <v>3173</v>
      </c>
      <c r="B2867" s="21">
        <v>2024</v>
      </c>
      <c r="C2867" s="21">
        <v>5</v>
      </c>
      <c r="D2867" s="21">
        <v>27</v>
      </c>
      <c r="E2867" s="21" t="s">
        <v>299</v>
      </c>
      <c r="F2867" s="21">
        <v>0</v>
      </c>
      <c r="G2867" s="21">
        <v>465.66</v>
      </c>
      <c r="H2867" s="21">
        <v>15937.85</v>
      </c>
      <c r="I2867" s="21">
        <v>342.26</v>
      </c>
    </row>
    <row r="2868" spans="1:9" ht="15" customHeight="1" x14ac:dyDescent="0.3">
      <c r="A2868" s="21" t="s">
        <v>3174</v>
      </c>
      <c r="B2868" s="21">
        <v>2024</v>
      </c>
      <c r="C2868" s="21">
        <v>5</v>
      </c>
      <c r="D2868" s="21">
        <v>28</v>
      </c>
      <c r="E2868" s="21" t="s">
        <v>303</v>
      </c>
      <c r="F2868" s="21">
        <v>0</v>
      </c>
      <c r="G2868" s="21">
        <v>449.64</v>
      </c>
      <c r="H2868" s="21">
        <v>15389.6</v>
      </c>
      <c r="I2868" s="21">
        <v>342.26</v>
      </c>
    </row>
    <row r="2869" spans="1:9" ht="15" customHeight="1" x14ac:dyDescent="0.3">
      <c r="A2869" s="21" t="s">
        <v>3175</v>
      </c>
      <c r="B2869" s="21">
        <v>2024</v>
      </c>
      <c r="C2869" s="21">
        <v>5</v>
      </c>
      <c r="D2869" s="21">
        <v>29</v>
      </c>
      <c r="E2869" s="21" t="s">
        <v>307</v>
      </c>
      <c r="F2869" s="21">
        <v>0</v>
      </c>
      <c r="G2869" s="21">
        <v>468.8</v>
      </c>
      <c r="H2869" s="21">
        <v>16045.23</v>
      </c>
      <c r="I2869" s="21">
        <v>342.26</v>
      </c>
    </row>
    <row r="2870" spans="1:9" ht="15" customHeight="1" x14ac:dyDescent="0.3">
      <c r="A2870" s="21" t="s">
        <v>3176</v>
      </c>
      <c r="B2870" s="21">
        <v>2024</v>
      </c>
      <c r="C2870" s="21">
        <v>5</v>
      </c>
      <c r="D2870" s="21">
        <v>30</v>
      </c>
      <c r="E2870" s="21" t="s">
        <v>310</v>
      </c>
      <c r="F2870" s="21">
        <v>0</v>
      </c>
      <c r="G2870" s="21">
        <v>523.72</v>
      </c>
      <c r="H2870" s="21">
        <v>17925.07</v>
      </c>
      <c r="I2870" s="21">
        <v>342.26</v>
      </c>
    </row>
    <row r="2871" spans="1:9" ht="15" customHeight="1" x14ac:dyDescent="0.3">
      <c r="A2871" s="21" t="s">
        <v>3177</v>
      </c>
      <c r="B2871" s="21">
        <v>2024</v>
      </c>
      <c r="C2871" s="21">
        <v>5</v>
      </c>
      <c r="D2871" s="21">
        <v>31</v>
      </c>
      <c r="E2871" s="21" t="s">
        <v>313</v>
      </c>
      <c r="F2871" s="21">
        <v>0</v>
      </c>
      <c r="G2871" s="21">
        <v>554.04999999999995</v>
      </c>
      <c r="H2871" s="21">
        <v>18962.990000000002</v>
      </c>
      <c r="I2871" s="21">
        <v>342.26</v>
      </c>
    </row>
    <row r="2872" spans="1:9" ht="15" customHeight="1" x14ac:dyDescent="0.3">
      <c r="A2872" s="21" t="s">
        <v>192</v>
      </c>
      <c r="B2872" s="21">
        <v>2024</v>
      </c>
      <c r="C2872" s="21">
        <v>6</v>
      </c>
      <c r="D2872" s="21">
        <v>1</v>
      </c>
      <c r="E2872" s="21" t="s">
        <v>316</v>
      </c>
      <c r="F2872" s="21">
        <v>1</v>
      </c>
      <c r="G2872" s="21">
        <v>460.15</v>
      </c>
      <c r="H2872" s="21">
        <v>15749.35</v>
      </c>
      <c r="I2872" s="21">
        <v>342.27</v>
      </c>
    </row>
    <row r="2873" spans="1:9" ht="15" customHeight="1" x14ac:dyDescent="0.3">
      <c r="A2873" s="21" t="s">
        <v>3178</v>
      </c>
      <c r="B2873" s="21">
        <v>2024</v>
      </c>
      <c r="C2873" s="21">
        <v>6</v>
      </c>
      <c r="D2873" s="21">
        <v>2</v>
      </c>
      <c r="E2873" s="21" t="s">
        <v>319</v>
      </c>
      <c r="F2873" s="21">
        <v>1</v>
      </c>
      <c r="G2873" s="21">
        <v>434.82</v>
      </c>
      <c r="H2873" s="21">
        <v>14882.47</v>
      </c>
      <c r="I2873" s="21">
        <v>342.27</v>
      </c>
    </row>
    <row r="2874" spans="1:9" ht="15" customHeight="1" x14ac:dyDescent="0.3">
      <c r="A2874" s="21" t="s">
        <v>3179</v>
      </c>
      <c r="B2874" s="21">
        <v>2024</v>
      </c>
      <c r="C2874" s="21">
        <v>6</v>
      </c>
      <c r="D2874" s="21">
        <v>3</v>
      </c>
      <c r="E2874" s="21" t="s">
        <v>299</v>
      </c>
      <c r="F2874" s="21">
        <v>0</v>
      </c>
      <c r="G2874" s="21">
        <v>495.44</v>
      </c>
      <c r="H2874" s="21">
        <v>16957.21</v>
      </c>
      <c r="I2874" s="21">
        <v>342.27</v>
      </c>
    </row>
    <row r="2875" spans="1:9" ht="15" customHeight="1" x14ac:dyDescent="0.3">
      <c r="A2875" s="21" t="s">
        <v>3180</v>
      </c>
      <c r="B2875" s="21">
        <v>2024</v>
      </c>
      <c r="C2875" s="21">
        <v>6</v>
      </c>
      <c r="D2875" s="21">
        <v>4</v>
      </c>
      <c r="E2875" s="21" t="s">
        <v>303</v>
      </c>
      <c r="F2875" s="21">
        <v>0</v>
      </c>
      <c r="G2875" s="21">
        <v>468.51</v>
      </c>
      <c r="H2875" s="21">
        <v>16035.52</v>
      </c>
      <c r="I2875" s="21">
        <v>342.27</v>
      </c>
    </row>
    <row r="2876" spans="1:9" ht="15" customHeight="1" x14ac:dyDescent="0.3">
      <c r="A2876" s="21" t="s">
        <v>3181</v>
      </c>
      <c r="B2876" s="21">
        <v>2024</v>
      </c>
      <c r="C2876" s="21">
        <v>6</v>
      </c>
      <c r="D2876" s="21">
        <v>5</v>
      </c>
      <c r="E2876" s="21" t="s">
        <v>307</v>
      </c>
      <c r="F2876" s="21">
        <v>0</v>
      </c>
      <c r="G2876" s="21">
        <v>458.56</v>
      </c>
      <c r="H2876" s="21">
        <v>15695.05</v>
      </c>
      <c r="I2876" s="21">
        <v>342.27</v>
      </c>
    </row>
    <row r="2877" spans="1:9" ht="15" customHeight="1" x14ac:dyDescent="0.3">
      <c r="A2877" s="21" t="s">
        <v>3182</v>
      </c>
      <c r="B2877" s="21">
        <v>2024</v>
      </c>
      <c r="C2877" s="21">
        <v>6</v>
      </c>
      <c r="D2877" s="21">
        <v>6</v>
      </c>
      <c r="E2877" s="21" t="s">
        <v>310</v>
      </c>
      <c r="F2877" s="21">
        <v>0</v>
      </c>
      <c r="G2877" s="21">
        <v>451.19</v>
      </c>
      <c r="H2877" s="21">
        <v>15442.8</v>
      </c>
      <c r="I2877" s="21">
        <v>342.27</v>
      </c>
    </row>
    <row r="2878" spans="1:9" ht="15" customHeight="1" x14ac:dyDescent="0.3">
      <c r="A2878" s="21" t="s">
        <v>3183</v>
      </c>
      <c r="B2878" s="21">
        <v>2024</v>
      </c>
      <c r="C2878" s="21">
        <v>6</v>
      </c>
      <c r="D2878" s="21">
        <v>7</v>
      </c>
      <c r="E2878" s="21" t="s">
        <v>313</v>
      </c>
      <c r="F2878" s="21">
        <v>0</v>
      </c>
      <c r="G2878" s="21">
        <v>487.55</v>
      </c>
      <c r="H2878" s="21">
        <v>16687.25</v>
      </c>
      <c r="I2878" s="21">
        <v>342.27</v>
      </c>
    </row>
    <row r="2879" spans="1:9" ht="15" customHeight="1" x14ac:dyDescent="0.3">
      <c r="A2879" s="21" t="s">
        <v>3184</v>
      </c>
      <c r="B2879" s="21">
        <v>2024</v>
      </c>
      <c r="C2879" s="21">
        <v>6</v>
      </c>
      <c r="D2879" s="21">
        <v>8</v>
      </c>
      <c r="E2879" s="21" t="s">
        <v>316</v>
      </c>
      <c r="F2879" s="21">
        <v>1</v>
      </c>
      <c r="G2879" s="21">
        <v>400.83</v>
      </c>
      <c r="H2879" s="21">
        <v>13719.3</v>
      </c>
      <c r="I2879" s="21">
        <v>342.27</v>
      </c>
    </row>
    <row r="2880" spans="1:9" ht="15" customHeight="1" x14ac:dyDescent="0.3">
      <c r="A2880" s="21" t="s">
        <v>3185</v>
      </c>
      <c r="B2880" s="21">
        <v>2024</v>
      </c>
      <c r="C2880" s="21">
        <v>6</v>
      </c>
      <c r="D2880" s="21">
        <v>9</v>
      </c>
      <c r="E2880" s="21" t="s">
        <v>319</v>
      </c>
      <c r="F2880" s="21">
        <v>1</v>
      </c>
      <c r="G2880" s="21">
        <v>410.47</v>
      </c>
      <c r="H2880" s="21">
        <v>14049.19</v>
      </c>
      <c r="I2880" s="21">
        <v>342.27</v>
      </c>
    </row>
    <row r="2881" spans="1:9" ht="15" customHeight="1" x14ac:dyDescent="0.3">
      <c r="A2881" s="21" t="s">
        <v>3186</v>
      </c>
      <c r="B2881" s="21">
        <v>2024</v>
      </c>
      <c r="C2881" s="21">
        <v>6</v>
      </c>
      <c r="D2881" s="21">
        <v>10</v>
      </c>
      <c r="E2881" s="21" t="s">
        <v>299</v>
      </c>
      <c r="F2881" s="21">
        <v>0</v>
      </c>
      <c r="G2881" s="21">
        <v>477.13</v>
      </c>
      <c r="H2881" s="21">
        <v>16330.53</v>
      </c>
      <c r="I2881" s="21">
        <v>342.27</v>
      </c>
    </row>
    <row r="2882" spans="1:9" ht="15" customHeight="1" x14ac:dyDescent="0.3">
      <c r="A2882" s="21" t="s">
        <v>3187</v>
      </c>
      <c r="B2882" s="21">
        <v>2024</v>
      </c>
      <c r="C2882" s="21">
        <v>6</v>
      </c>
      <c r="D2882" s="21">
        <v>11</v>
      </c>
      <c r="E2882" s="21" t="s">
        <v>303</v>
      </c>
      <c r="F2882" s="21">
        <v>0</v>
      </c>
      <c r="G2882" s="21">
        <v>469.2</v>
      </c>
      <c r="H2882" s="21">
        <v>16059.18</v>
      </c>
      <c r="I2882" s="21">
        <v>342.27</v>
      </c>
    </row>
    <row r="2883" spans="1:9" ht="15" customHeight="1" x14ac:dyDescent="0.3">
      <c r="A2883" s="21" t="s">
        <v>3188</v>
      </c>
      <c r="B2883" s="21">
        <v>2024</v>
      </c>
      <c r="C2883" s="21">
        <v>6</v>
      </c>
      <c r="D2883" s="21">
        <v>12</v>
      </c>
      <c r="E2883" s="21" t="s">
        <v>307</v>
      </c>
      <c r="F2883" s="21">
        <v>0</v>
      </c>
      <c r="G2883" s="21">
        <v>433.85</v>
      </c>
      <c r="H2883" s="21">
        <v>14849.49</v>
      </c>
      <c r="I2883" s="21">
        <v>342.27</v>
      </c>
    </row>
    <row r="2884" spans="1:9" ht="15" customHeight="1" x14ac:dyDescent="0.3">
      <c r="A2884" s="21" t="s">
        <v>3189</v>
      </c>
      <c r="B2884" s="21">
        <v>2024</v>
      </c>
      <c r="C2884" s="21">
        <v>6</v>
      </c>
      <c r="D2884" s="21">
        <v>13</v>
      </c>
      <c r="E2884" s="21" t="s">
        <v>310</v>
      </c>
      <c r="F2884" s="21">
        <v>0</v>
      </c>
      <c r="G2884" s="21">
        <v>454.72</v>
      </c>
      <c r="H2884" s="21">
        <v>15563.5</v>
      </c>
      <c r="I2884" s="21">
        <v>342.27</v>
      </c>
    </row>
    <row r="2885" spans="1:9" ht="15" customHeight="1" x14ac:dyDescent="0.3">
      <c r="A2885" s="21" t="s">
        <v>3190</v>
      </c>
      <c r="B2885" s="21">
        <v>2024</v>
      </c>
      <c r="C2885" s="21">
        <v>6</v>
      </c>
      <c r="D2885" s="21">
        <v>14</v>
      </c>
      <c r="E2885" s="21" t="s">
        <v>313</v>
      </c>
      <c r="F2885" s="21">
        <v>0</v>
      </c>
      <c r="G2885" s="21">
        <v>499.43</v>
      </c>
      <c r="H2885" s="21">
        <v>17093.88</v>
      </c>
      <c r="I2885" s="21">
        <v>342.27</v>
      </c>
    </row>
    <row r="2886" spans="1:9" ht="15" customHeight="1" x14ac:dyDescent="0.3">
      <c r="A2886" s="21" t="s">
        <v>3191</v>
      </c>
      <c r="B2886" s="21">
        <v>2024</v>
      </c>
      <c r="C2886" s="21">
        <v>6</v>
      </c>
      <c r="D2886" s="21">
        <v>15</v>
      </c>
      <c r="E2886" s="21" t="s">
        <v>316</v>
      </c>
      <c r="F2886" s="21">
        <v>1</v>
      </c>
      <c r="G2886" s="21">
        <v>380.78</v>
      </c>
      <c r="H2886" s="21">
        <v>13032.82</v>
      </c>
      <c r="I2886" s="21">
        <v>342.27</v>
      </c>
    </row>
    <row r="2887" spans="1:9" ht="15" customHeight="1" x14ac:dyDescent="0.3">
      <c r="A2887" s="21" t="s">
        <v>3192</v>
      </c>
      <c r="B2887" s="21">
        <v>2024</v>
      </c>
      <c r="C2887" s="21">
        <v>6</v>
      </c>
      <c r="D2887" s="21">
        <v>16</v>
      </c>
      <c r="E2887" s="21" t="s">
        <v>319</v>
      </c>
      <c r="F2887" s="21">
        <v>1</v>
      </c>
      <c r="G2887" s="21">
        <v>380.4</v>
      </c>
      <c r="H2887" s="21">
        <v>13020.07</v>
      </c>
      <c r="I2887" s="21">
        <v>342.27</v>
      </c>
    </row>
    <row r="2888" spans="1:9" ht="15" customHeight="1" x14ac:dyDescent="0.3">
      <c r="A2888" s="21" t="s">
        <v>3193</v>
      </c>
      <c r="B2888" s="21">
        <v>2024</v>
      </c>
      <c r="C2888" s="21">
        <v>6</v>
      </c>
      <c r="D2888" s="21">
        <v>17</v>
      </c>
      <c r="E2888" s="21" t="s">
        <v>299</v>
      </c>
      <c r="F2888" s="21">
        <v>0</v>
      </c>
      <c r="G2888" s="21">
        <v>476.7</v>
      </c>
      <c r="H2888" s="21">
        <v>16316.04</v>
      </c>
      <c r="I2888" s="21">
        <v>342.27</v>
      </c>
    </row>
    <row r="2889" spans="1:9" ht="15" customHeight="1" x14ac:dyDescent="0.3">
      <c r="A2889" s="21" t="s">
        <v>3194</v>
      </c>
      <c r="B2889" s="21">
        <v>2024</v>
      </c>
      <c r="C2889" s="21">
        <v>6</v>
      </c>
      <c r="D2889" s="21">
        <v>18</v>
      </c>
      <c r="E2889" s="21" t="s">
        <v>303</v>
      </c>
      <c r="F2889" s="21">
        <v>0</v>
      </c>
      <c r="G2889" s="21">
        <v>466.89</v>
      </c>
      <c r="H2889" s="21">
        <v>15980.2</v>
      </c>
      <c r="I2889" s="21">
        <v>342.27</v>
      </c>
    </row>
    <row r="2890" spans="1:9" ht="15" customHeight="1" x14ac:dyDescent="0.3">
      <c r="A2890" s="21" t="s">
        <v>3195</v>
      </c>
      <c r="B2890" s="21">
        <v>2024</v>
      </c>
      <c r="C2890" s="21">
        <v>6</v>
      </c>
      <c r="D2890" s="21">
        <v>19</v>
      </c>
      <c r="E2890" s="21" t="s">
        <v>307</v>
      </c>
      <c r="F2890" s="21">
        <v>0</v>
      </c>
      <c r="G2890" s="21">
        <v>460.23</v>
      </c>
      <c r="H2890" s="21">
        <v>15752.31</v>
      </c>
      <c r="I2890" s="21">
        <v>342.27</v>
      </c>
    </row>
    <row r="2891" spans="1:9" ht="15" customHeight="1" x14ac:dyDescent="0.3">
      <c r="A2891" s="21" t="s">
        <v>3196</v>
      </c>
      <c r="B2891" s="21">
        <v>2024</v>
      </c>
      <c r="C2891" s="21">
        <v>6</v>
      </c>
      <c r="D2891" s="21">
        <v>20</v>
      </c>
      <c r="E2891" s="21" t="s">
        <v>310</v>
      </c>
      <c r="F2891" s="21">
        <v>0</v>
      </c>
      <c r="G2891" s="21">
        <v>431.76</v>
      </c>
      <c r="H2891" s="21">
        <v>14777.64</v>
      </c>
      <c r="I2891" s="21">
        <v>342.27</v>
      </c>
    </row>
    <row r="2892" spans="1:9" ht="15" customHeight="1" x14ac:dyDescent="0.3">
      <c r="A2892" s="21" t="s">
        <v>3197</v>
      </c>
      <c r="B2892" s="21">
        <v>2024</v>
      </c>
      <c r="C2892" s="21">
        <v>6</v>
      </c>
      <c r="D2892" s="21">
        <v>21</v>
      </c>
      <c r="E2892" s="21" t="s">
        <v>313</v>
      </c>
      <c r="F2892" s="21">
        <v>0</v>
      </c>
      <c r="G2892" s="21">
        <v>470.41</v>
      </c>
      <c r="H2892" s="21">
        <v>16100.8</v>
      </c>
      <c r="I2892" s="21">
        <v>342.27</v>
      </c>
    </row>
    <row r="2893" spans="1:9" ht="15" customHeight="1" x14ac:dyDescent="0.3">
      <c r="A2893" s="21" t="s">
        <v>3198</v>
      </c>
      <c r="B2893" s="21">
        <v>2024</v>
      </c>
      <c r="C2893" s="21">
        <v>6</v>
      </c>
      <c r="D2893" s="21">
        <v>22</v>
      </c>
      <c r="E2893" s="21" t="s">
        <v>316</v>
      </c>
      <c r="F2893" s="21">
        <v>1</v>
      </c>
      <c r="G2893" s="21">
        <v>384.98</v>
      </c>
      <c r="H2893" s="21">
        <v>13176.73</v>
      </c>
      <c r="I2893" s="21">
        <v>342.27</v>
      </c>
    </row>
    <row r="2894" spans="1:9" ht="15" customHeight="1" x14ac:dyDescent="0.3">
      <c r="A2894" s="21" t="s">
        <v>3199</v>
      </c>
      <c r="B2894" s="21">
        <v>2024</v>
      </c>
      <c r="C2894" s="21">
        <v>6</v>
      </c>
      <c r="D2894" s="21">
        <v>23</v>
      </c>
      <c r="E2894" s="21" t="s">
        <v>319</v>
      </c>
      <c r="F2894" s="21">
        <v>1</v>
      </c>
      <c r="G2894" s="21">
        <v>399.76</v>
      </c>
      <c r="H2894" s="21">
        <v>13682.64</v>
      </c>
      <c r="I2894" s="21">
        <v>342.27</v>
      </c>
    </row>
    <row r="2895" spans="1:9" ht="15" customHeight="1" x14ac:dyDescent="0.3">
      <c r="A2895" s="21" t="s">
        <v>3200</v>
      </c>
      <c r="B2895" s="21">
        <v>2024</v>
      </c>
      <c r="C2895" s="21">
        <v>6</v>
      </c>
      <c r="D2895" s="21">
        <v>24</v>
      </c>
      <c r="E2895" s="21" t="s">
        <v>299</v>
      </c>
      <c r="F2895" s="21">
        <v>0</v>
      </c>
      <c r="G2895" s="21">
        <v>447.83</v>
      </c>
      <c r="H2895" s="21">
        <v>15327.68</v>
      </c>
      <c r="I2895" s="21">
        <v>342.27</v>
      </c>
    </row>
    <row r="2896" spans="1:9" ht="15" customHeight="1" x14ac:dyDescent="0.3">
      <c r="A2896" s="21" t="s">
        <v>3201</v>
      </c>
      <c r="B2896" s="21">
        <v>2024</v>
      </c>
      <c r="C2896" s="21">
        <v>6</v>
      </c>
      <c r="D2896" s="21">
        <v>25</v>
      </c>
      <c r="E2896" s="21" t="s">
        <v>303</v>
      </c>
      <c r="F2896" s="21">
        <v>0</v>
      </c>
      <c r="G2896" s="21">
        <v>455.89</v>
      </c>
      <c r="H2896" s="21">
        <v>15603.84</v>
      </c>
      <c r="I2896" s="21">
        <v>342.27</v>
      </c>
    </row>
    <row r="2897" spans="1:9" ht="15" customHeight="1" x14ac:dyDescent="0.3">
      <c r="A2897" s="21" t="s">
        <v>3202</v>
      </c>
      <c r="B2897" s="21">
        <v>2024</v>
      </c>
      <c r="C2897" s="21">
        <v>6</v>
      </c>
      <c r="D2897" s="21">
        <v>26</v>
      </c>
      <c r="E2897" s="21" t="s">
        <v>307</v>
      </c>
      <c r="F2897" s="21">
        <v>0</v>
      </c>
      <c r="G2897" s="21">
        <v>455.53</v>
      </c>
      <c r="H2897" s="21">
        <v>15591.24</v>
      </c>
      <c r="I2897" s="21">
        <v>342.27</v>
      </c>
    </row>
    <row r="2898" spans="1:9" ht="15" customHeight="1" x14ac:dyDescent="0.3">
      <c r="A2898" s="21" t="s">
        <v>3203</v>
      </c>
      <c r="B2898" s="21">
        <v>2024</v>
      </c>
      <c r="C2898" s="21">
        <v>6</v>
      </c>
      <c r="D2898" s="21">
        <v>27</v>
      </c>
      <c r="E2898" s="21" t="s">
        <v>310</v>
      </c>
      <c r="F2898" s="21">
        <v>0</v>
      </c>
      <c r="G2898" s="21">
        <v>482.11</v>
      </c>
      <c r="H2898" s="21">
        <v>16501.13</v>
      </c>
      <c r="I2898" s="21">
        <v>342.27</v>
      </c>
    </row>
    <row r="2899" spans="1:9" ht="15" customHeight="1" x14ac:dyDescent="0.3">
      <c r="A2899" s="21" t="s">
        <v>3204</v>
      </c>
      <c r="B2899" s="21">
        <v>2024</v>
      </c>
      <c r="C2899" s="21">
        <v>6</v>
      </c>
      <c r="D2899" s="21">
        <v>28</v>
      </c>
      <c r="E2899" s="21" t="s">
        <v>313</v>
      </c>
      <c r="F2899" s="21">
        <v>0</v>
      </c>
      <c r="G2899" s="21">
        <v>494.51</v>
      </c>
      <c r="H2899" s="21">
        <v>16925.66</v>
      </c>
      <c r="I2899" s="21">
        <v>342.27</v>
      </c>
    </row>
    <row r="2900" spans="1:9" ht="15" customHeight="1" x14ac:dyDescent="0.3">
      <c r="A2900" s="21" t="s">
        <v>3205</v>
      </c>
      <c r="B2900" s="21">
        <v>2024</v>
      </c>
      <c r="C2900" s="21">
        <v>6</v>
      </c>
      <c r="D2900" s="21">
        <v>29</v>
      </c>
      <c r="E2900" s="21" t="s">
        <v>316</v>
      </c>
      <c r="F2900" s="21">
        <v>1</v>
      </c>
      <c r="G2900" s="21">
        <v>458.54</v>
      </c>
      <c r="H2900" s="21">
        <v>15694.22</v>
      </c>
      <c r="I2900" s="21">
        <v>342.27</v>
      </c>
    </row>
    <row r="2901" spans="1:9" ht="15" customHeight="1" x14ac:dyDescent="0.3">
      <c r="A2901" s="21" t="s">
        <v>3206</v>
      </c>
      <c r="B2901" s="21">
        <v>2024</v>
      </c>
      <c r="C2901" s="21">
        <v>6</v>
      </c>
      <c r="D2901" s="21">
        <v>30</v>
      </c>
      <c r="E2901" s="21" t="s">
        <v>319</v>
      </c>
      <c r="F2901" s="21">
        <v>1</v>
      </c>
      <c r="G2901" s="21">
        <v>454.68</v>
      </c>
      <c r="H2901" s="21">
        <v>15562.1</v>
      </c>
      <c r="I2901" s="21">
        <v>342.26</v>
      </c>
    </row>
    <row r="2902" spans="1:9" ht="15" customHeight="1" x14ac:dyDescent="0.3">
      <c r="A2902" s="21" t="s">
        <v>193</v>
      </c>
      <c r="B2902" s="21">
        <v>2024</v>
      </c>
      <c r="C2902" s="21">
        <v>7</v>
      </c>
      <c r="D2902" s="21">
        <v>1</v>
      </c>
      <c r="E2902" s="21" t="s">
        <v>299</v>
      </c>
      <c r="F2902" s="21">
        <v>0</v>
      </c>
      <c r="G2902" s="21">
        <v>528.11</v>
      </c>
      <c r="H2902" s="21">
        <v>18049.919999999998</v>
      </c>
      <c r="I2902" s="21">
        <v>341.78</v>
      </c>
    </row>
    <row r="2903" spans="1:9" ht="15" customHeight="1" x14ac:dyDescent="0.3">
      <c r="A2903" s="21" t="s">
        <v>3207</v>
      </c>
      <c r="B2903" s="21">
        <v>2024</v>
      </c>
      <c r="C2903" s="21">
        <v>7</v>
      </c>
      <c r="D2903" s="21">
        <v>2</v>
      </c>
      <c r="E2903" s="21" t="s">
        <v>303</v>
      </c>
      <c r="F2903" s="21">
        <v>0</v>
      </c>
      <c r="G2903" s="21">
        <v>547.91</v>
      </c>
      <c r="H2903" s="21">
        <v>18726.509999999998</v>
      </c>
      <c r="I2903" s="21">
        <v>341.78</v>
      </c>
    </row>
    <row r="2904" spans="1:9" ht="15" customHeight="1" x14ac:dyDescent="0.3">
      <c r="A2904" s="21" t="s">
        <v>3208</v>
      </c>
      <c r="B2904" s="21">
        <v>2024</v>
      </c>
      <c r="C2904" s="21">
        <v>7</v>
      </c>
      <c r="D2904" s="21">
        <v>3</v>
      </c>
      <c r="E2904" s="21" t="s">
        <v>307</v>
      </c>
      <c r="F2904" s="21">
        <v>0</v>
      </c>
      <c r="G2904" s="21">
        <v>468.72</v>
      </c>
      <c r="H2904" s="21">
        <v>16019.95</v>
      </c>
      <c r="I2904" s="21">
        <v>341.78</v>
      </c>
    </row>
    <row r="2905" spans="1:9" ht="15" customHeight="1" x14ac:dyDescent="0.3">
      <c r="A2905" s="21" t="s">
        <v>3209</v>
      </c>
      <c r="B2905" s="21">
        <v>2024</v>
      </c>
      <c r="C2905" s="21">
        <v>7</v>
      </c>
      <c r="D2905" s="21">
        <v>4</v>
      </c>
      <c r="E2905" s="21" t="s">
        <v>310</v>
      </c>
      <c r="F2905" s="21">
        <v>0</v>
      </c>
      <c r="G2905" s="21">
        <v>472.81</v>
      </c>
      <c r="H2905" s="21">
        <v>16159.8</v>
      </c>
      <c r="I2905" s="21">
        <v>341.78</v>
      </c>
    </row>
    <row r="2906" spans="1:9" ht="15" customHeight="1" x14ac:dyDescent="0.3">
      <c r="A2906" s="21" t="s">
        <v>3210</v>
      </c>
      <c r="B2906" s="21">
        <v>2024</v>
      </c>
      <c r="C2906" s="21">
        <v>7</v>
      </c>
      <c r="D2906" s="21">
        <v>5</v>
      </c>
      <c r="E2906" s="21" t="s">
        <v>313</v>
      </c>
      <c r="F2906" s="21">
        <v>0</v>
      </c>
      <c r="G2906" s="21">
        <v>557.82000000000005</v>
      </c>
      <c r="H2906" s="21">
        <v>19065.29</v>
      </c>
      <c r="I2906" s="21">
        <v>341.78</v>
      </c>
    </row>
    <row r="2907" spans="1:9" ht="15" customHeight="1" x14ac:dyDescent="0.3">
      <c r="A2907" s="21" t="s">
        <v>3211</v>
      </c>
      <c r="B2907" s="21">
        <v>2024</v>
      </c>
      <c r="C2907" s="21">
        <v>7</v>
      </c>
      <c r="D2907" s="21">
        <v>6</v>
      </c>
      <c r="E2907" s="21" t="s">
        <v>316</v>
      </c>
      <c r="F2907" s="21">
        <v>1</v>
      </c>
      <c r="G2907" s="21">
        <v>366.74</v>
      </c>
      <c r="H2907" s="21">
        <v>12534.34</v>
      </c>
      <c r="I2907" s="21">
        <v>341.78</v>
      </c>
    </row>
    <row r="2908" spans="1:9" ht="15" customHeight="1" x14ac:dyDescent="0.3">
      <c r="A2908" s="21" t="s">
        <v>3212</v>
      </c>
      <c r="B2908" s="21">
        <v>2024</v>
      </c>
      <c r="C2908" s="21">
        <v>7</v>
      </c>
      <c r="D2908" s="21">
        <v>7</v>
      </c>
      <c r="E2908" s="21" t="s">
        <v>319</v>
      </c>
      <c r="F2908" s="21">
        <v>1</v>
      </c>
      <c r="G2908" s="21">
        <v>419.95</v>
      </c>
      <c r="H2908" s="21">
        <v>14353.1</v>
      </c>
      <c r="I2908" s="21">
        <v>341.78</v>
      </c>
    </row>
    <row r="2909" spans="1:9" ht="15" customHeight="1" x14ac:dyDescent="0.3">
      <c r="A2909" s="21" t="s">
        <v>3213</v>
      </c>
      <c r="B2909" s="21">
        <v>2024</v>
      </c>
      <c r="C2909" s="21">
        <v>7</v>
      </c>
      <c r="D2909" s="21">
        <v>8</v>
      </c>
      <c r="E2909" s="21" t="s">
        <v>299</v>
      </c>
      <c r="F2909" s="21">
        <v>0</v>
      </c>
      <c r="G2909" s="21">
        <v>484.98</v>
      </c>
      <c r="H2909" s="21">
        <v>16575.689999999999</v>
      </c>
      <c r="I2909" s="21">
        <v>341.78</v>
      </c>
    </row>
    <row r="2910" spans="1:9" ht="15" customHeight="1" x14ac:dyDescent="0.3">
      <c r="A2910" s="21" t="s">
        <v>3214</v>
      </c>
      <c r="B2910" s="21">
        <v>2024</v>
      </c>
      <c r="C2910" s="21">
        <v>7</v>
      </c>
      <c r="D2910" s="21">
        <v>9</v>
      </c>
      <c r="E2910" s="21" t="s">
        <v>303</v>
      </c>
      <c r="F2910" s="21">
        <v>0</v>
      </c>
      <c r="G2910" s="21">
        <v>469.72</v>
      </c>
      <c r="H2910" s="21">
        <v>16054.3</v>
      </c>
      <c r="I2910" s="21">
        <v>341.78</v>
      </c>
    </row>
    <row r="2911" spans="1:9" ht="15" customHeight="1" x14ac:dyDescent="0.3">
      <c r="A2911" s="21" t="s">
        <v>3215</v>
      </c>
      <c r="B2911" s="21">
        <v>2024</v>
      </c>
      <c r="C2911" s="21">
        <v>7</v>
      </c>
      <c r="D2911" s="21">
        <v>10</v>
      </c>
      <c r="E2911" s="21" t="s">
        <v>307</v>
      </c>
      <c r="F2911" s="21">
        <v>0</v>
      </c>
      <c r="G2911" s="21">
        <v>465.07</v>
      </c>
      <c r="H2911" s="21">
        <v>15895.36</v>
      </c>
      <c r="I2911" s="21">
        <v>341.78</v>
      </c>
    </row>
    <row r="2912" spans="1:9" ht="15" customHeight="1" x14ac:dyDescent="0.3">
      <c r="A2912" s="21" t="s">
        <v>3216</v>
      </c>
      <c r="B2912" s="21">
        <v>2024</v>
      </c>
      <c r="C2912" s="21">
        <v>7</v>
      </c>
      <c r="D2912" s="21">
        <v>11</v>
      </c>
      <c r="E2912" s="21" t="s">
        <v>310</v>
      </c>
      <c r="F2912" s="21">
        <v>0</v>
      </c>
      <c r="G2912" s="21">
        <v>459.78</v>
      </c>
      <c r="H2912" s="21">
        <v>15714.52</v>
      </c>
      <c r="I2912" s="21">
        <v>341.78</v>
      </c>
    </row>
    <row r="2913" spans="1:9" ht="15" customHeight="1" x14ac:dyDescent="0.3">
      <c r="A2913" s="21" t="s">
        <v>3217</v>
      </c>
      <c r="B2913" s="21">
        <v>2024</v>
      </c>
      <c r="C2913" s="21">
        <v>7</v>
      </c>
      <c r="D2913" s="21">
        <v>12</v>
      </c>
      <c r="E2913" s="21" t="s">
        <v>313</v>
      </c>
      <c r="F2913" s="21">
        <v>0</v>
      </c>
      <c r="G2913" s="21">
        <v>495.01</v>
      </c>
      <c r="H2913" s="21">
        <v>16918.36</v>
      </c>
      <c r="I2913" s="21">
        <v>341.78</v>
      </c>
    </row>
    <row r="2914" spans="1:9" ht="15" customHeight="1" x14ac:dyDescent="0.3">
      <c r="A2914" s="21" t="s">
        <v>3218</v>
      </c>
      <c r="B2914" s="21">
        <v>2024</v>
      </c>
      <c r="C2914" s="21">
        <v>7</v>
      </c>
      <c r="D2914" s="21">
        <v>13</v>
      </c>
      <c r="E2914" s="21" t="s">
        <v>316</v>
      </c>
      <c r="F2914" s="21">
        <v>1</v>
      </c>
      <c r="G2914" s="21">
        <v>400.46</v>
      </c>
      <c r="H2914" s="21">
        <v>13686.88</v>
      </c>
      <c r="I2914" s="21">
        <v>341.78</v>
      </c>
    </row>
    <row r="2915" spans="1:9" ht="15" customHeight="1" x14ac:dyDescent="0.3">
      <c r="A2915" s="21" t="s">
        <v>3219</v>
      </c>
      <c r="B2915" s="21">
        <v>2024</v>
      </c>
      <c r="C2915" s="21">
        <v>7</v>
      </c>
      <c r="D2915" s="21">
        <v>14</v>
      </c>
      <c r="E2915" s="21" t="s">
        <v>319</v>
      </c>
      <c r="F2915" s="21">
        <v>1</v>
      </c>
      <c r="G2915" s="21">
        <v>374.66</v>
      </c>
      <c r="H2915" s="21">
        <v>12805.06</v>
      </c>
      <c r="I2915" s="21">
        <v>341.78</v>
      </c>
    </row>
    <row r="2916" spans="1:9" ht="15" customHeight="1" x14ac:dyDescent="0.3">
      <c r="A2916" s="21" t="s">
        <v>3220</v>
      </c>
      <c r="B2916" s="21">
        <v>2024</v>
      </c>
      <c r="C2916" s="21">
        <v>7</v>
      </c>
      <c r="D2916" s="21">
        <v>15</v>
      </c>
      <c r="E2916" s="21" t="s">
        <v>299</v>
      </c>
      <c r="F2916" s="21">
        <v>0</v>
      </c>
      <c r="G2916" s="21">
        <v>499.48</v>
      </c>
      <c r="H2916" s="21">
        <v>17071.36</v>
      </c>
      <c r="I2916" s="21">
        <v>341.78</v>
      </c>
    </row>
    <row r="2917" spans="1:9" ht="15" customHeight="1" x14ac:dyDescent="0.3">
      <c r="A2917" s="21" t="s">
        <v>3221</v>
      </c>
      <c r="B2917" s="21">
        <v>2024</v>
      </c>
      <c r="C2917" s="21">
        <v>7</v>
      </c>
      <c r="D2917" s="21">
        <v>16</v>
      </c>
      <c r="E2917" s="21" t="s">
        <v>303</v>
      </c>
      <c r="F2917" s="21">
        <v>0</v>
      </c>
      <c r="G2917" s="21">
        <v>459.89</v>
      </c>
      <c r="H2917" s="21">
        <v>15718.36</v>
      </c>
      <c r="I2917" s="21">
        <v>341.79</v>
      </c>
    </row>
    <row r="2918" spans="1:9" ht="15" customHeight="1" x14ac:dyDescent="0.3">
      <c r="A2918" s="21" t="s">
        <v>3222</v>
      </c>
      <c r="B2918" s="21">
        <v>2024</v>
      </c>
      <c r="C2918" s="21">
        <v>7</v>
      </c>
      <c r="D2918" s="21">
        <v>17</v>
      </c>
      <c r="E2918" s="21" t="s">
        <v>307</v>
      </c>
      <c r="F2918" s="21">
        <v>0</v>
      </c>
      <c r="G2918" s="21">
        <v>449.92</v>
      </c>
      <c r="H2918" s="21">
        <v>15377.47</v>
      </c>
      <c r="I2918" s="21">
        <v>341.78</v>
      </c>
    </row>
    <row r="2919" spans="1:9" ht="15" customHeight="1" x14ac:dyDescent="0.3">
      <c r="A2919" s="21" t="s">
        <v>3223</v>
      </c>
      <c r="B2919" s="21">
        <v>2024</v>
      </c>
      <c r="C2919" s="21">
        <v>7</v>
      </c>
      <c r="D2919" s="21">
        <v>18</v>
      </c>
      <c r="E2919" s="21" t="s">
        <v>310</v>
      </c>
      <c r="F2919" s="21">
        <v>0</v>
      </c>
      <c r="G2919" s="21">
        <v>459.42</v>
      </c>
      <c r="H2919" s="21">
        <v>15702.21</v>
      </c>
      <c r="I2919" s="21">
        <v>341.78</v>
      </c>
    </row>
    <row r="2920" spans="1:9" ht="15" customHeight="1" x14ac:dyDescent="0.3">
      <c r="A2920" s="21" t="s">
        <v>3224</v>
      </c>
      <c r="B2920" s="21">
        <v>2024</v>
      </c>
      <c r="C2920" s="21">
        <v>7</v>
      </c>
      <c r="D2920" s="21">
        <v>19</v>
      </c>
      <c r="E2920" s="21" t="s">
        <v>313</v>
      </c>
      <c r="F2920" s="21">
        <v>0</v>
      </c>
      <c r="G2920" s="21">
        <v>520.53</v>
      </c>
      <c r="H2920" s="21">
        <v>17790.77</v>
      </c>
      <c r="I2920" s="21">
        <v>341.78</v>
      </c>
    </row>
    <row r="2921" spans="1:9" ht="15" customHeight="1" x14ac:dyDescent="0.3">
      <c r="A2921" s="21" t="s">
        <v>3225</v>
      </c>
      <c r="B2921" s="21">
        <v>2024</v>
      </c>
      <c r="C2921" s="21">
        <v>7</v>
      </c>
      <c r="D2921" s="21">
        <v>20</v>
      </c>
      <c r="E2921" s="21" t="s">
        <v>316</v>
      </c>
      <c r="F2921" s="21">
        <v>1</v>
      </c>
      <c r="G2921" s="21">
        <v>388.37</v>
      </c>
      <c r="H2921" s="21">
        <v>13273.9</v>
      </c>
      <c r="I2921" s="21">
        <v>341.78</v>
      </c>
    </row>
    <row r="2922" spans="1:9" ht="15" customHeight="1" x14ac:dyDescent="0.3">
      <c r="A2922" s="21" t="s">
        <v>3226</v>
      </c>
      <c r="B2922" s="21">
        <v>2024</v>
      </c>
      <c r="C2922" s="21">
        <v>7</v>
      </c>
      <c r="D2922" s="21">
        <v>21</v>
      </c>
      <c r="E2922" s="21" t="s">
        <v>319</v>
      </c>
      <c r="F2922" s="21">
        <v>1</v>
      </c>
      <c r="G2922" s="21">
        <v>400.86</v>
      </c>
      <c r="H2922" s="21">
        <v>13700.7</v>
      </c>
      <c r="I2922" s="21">
        <v>341.78</v>
      </c>
    </row>
    <row r="2923" spans="1:9" ht="15" customHeight="1" x14ac:dyDescent="0.3">
      <c r="A2923" s="21" t="s">
        <v>3227</v>
      </c>
      <c r="B2923" s="21">
        <v>2024</v>
      </c>
      <c r="C2923" s="21">
        <v>7</v>
      </c>
      <c r="D2923" s="21">
        <v>22</v>
      </c>
      <c r="E2923" s="21" t="s">
        <v>299</v>
      </c>
      <c r="F2923" s="21">
        <v>0</v>
      </c>
      <c r="G2923" s="21">
        <v>478.78</v>
      </c>
      <c r="H2923" s="21">
        <v>16363.91</v>
      </c>
      <c r="I2923" s="21">
        <v>341.78</v>
      </c>
    </row>
    <row r="2924" spans="1:9" ht="15" customHeight="1" x14ac:dyDescent="0.3">
      <c r="A2924" s="21" t="s">
        <v>3228</v>
      </c>
      <c r="B2924" s="21">
        <v>2024</v>
      </c>
      <c r="C2924" s="21">
        <v>7</v>
      </c>
      <c r="D2924" s="21">
        <v>23</v>
      </c>
      <c r="E2924" s="21" t="s">
        <v>303</v>
      </c>
      <c r="F2924" s="21">
        <v>0</v>
      </c>
      <c r="G2924" s="21">
        <v>476.3</v>
      </c>
      <c r="H2924" s="21">
        <v>16279.01</v>
      </c>
      <c r="I2924" s="21">
        <v>341.78</v>
      </c>
    </row>
    <row r="2925" spans="1:9" ht="15" customHeight="1" x14ac:dyDescent="0.3">
      <c r="A2925" s="21" t="s">
        <v>3229</v>
      </c>
      <c r="B2925" s="21">
        <v>2024</v>
      </c>
      <c r="C2925" s="21">
        <v>7</v>
      </c>
      <c r="D2925" s="21">
        <v>24</v>
      </c>
      <c r="E2925" s="21" t="s">
        <v>307</v>
      </c>
      <c r="F2925" s="21">
        <v>0</v>
      </c>
      <c r="G2925" s="21">
        <v>475.29</v>
      </c>
      <c r="H2925" s="21">
        <v>16244.44</v>
      </c>
      <c r="I2925" s="21">
        <v>341.78</v>
      </c>
    </row>
    <row r="2926" spans="1:9" ht="15" customHeight="1" x14ac:dyDescent="0.3">
      <c r="A2926" s="21" t="s">
        <v>3230</v>
      </c>
      <c r="B2926" s="21">
        <v>2024</v>
      </c>
      <c r="C2926" s="21">
        <v>7</v>
      </c>
      <c r="D2926" s="21">
        <v>25</v>
      </c>
      <c r="E2926" s="21" t="s">
        <v>310</v>
      </c>
      <c r="F2926" s="21">
        <v>0</v>
      </c>
      <c r="G2926" s="21">
        <v>491.54</v>
      </c>
      <c r="H2926" s="21">
        <v>16799.830000000002</v>
      </c>
      <c r="I2926" s="21">
        <v>341.78</v>
      </c>
    </row>
    <row r="2927" spans="1:9" ht="15" customHeight="1" x14ac:dyDescent="0.3">
      <c r="A2927" s="21" t="s">
        <v>3231</v>
      </c>
      <c r="B2927" s="21">
        <v>2024</v>
      </c>
      <c r="C2927" s="21">
        <v>7</v>
      </c>
      <c r="D2927" s="21">
        <v>26</v>
      </c>
      <c r="E2927" s="21" t="s">
        <v>313</v>
      </c>
      <c r="F2927" s="21">
        <v>0</v>
      </c>
      <c r="G2927" s="21">
        <v>500.51</v>
      </c>
      <c r="H2927" s="21">
        <v>17106.63</v>
      </c>
      <c r="I2927" s="21">
        <v>341.78</v>
      </c>
    </row>
    <row r="2928" spans="1:9" ht="15" customHeight="1" x14ac:dyDescent="0.3">
      <c r="A2928" s="21" t="s">
        <v>3232</v>
      </c>
      <c r="B2928" s="21">
        <v>2024</v>
      </c>
      <c r="C2928" s="21">
        <v>7</v>
      </c>
      <c r="D2928" s="21">
        <v>27</v>
      </c>
      <c r="E2928" s="21" t="s">
        <v>316</v>
      </c>
      <c r="F2928" s="21">
        <v>1</v>
      </c>
      <c r="G2928" s="21">
        <v>405.2</v>
      </c>
      <c r="H2928" s="21">
        <v>13848.82</v>
      </c>
      <c r="I2928" s="21">
        <v>341.78</v>
      </c>
    </row>
    <row r="2929" spans="1:9" ht="15" customHeight="1" x14ac:dyDescent="0.3">
      <c r="A2929" s="21" t="s">
        <v>3233</v>
      </c>
      <c r="B2929" s="21">
        <v>2024</v>
      </c>
      <c r="C2929" s="21">
        <v>7</v>
      </c>
      <c r="D2929" s="21">
        <v>28</v>
      </c>
      <c r="E2929" s="21" t="s">
        <v>319</v>
      </c>
      <c r="F2929" s="21">
        <v>1</v>
      </c>
      <c r="G2929" s="21">
        <v>397.22</v>
      </c>
      <c r="H2929" s="21">
        <v>13576.36</v>
      </c>
      <c r="I2929" s="21">
        <v>341.78</v>
      </c>
    </row>
    <row r="2930" spans="1:9" ht="15" customHeight="1" x14ac:dyDescent="0.3">
      <c r="A2930" s="21" t="s">
        <v>3234</v>
      </c>
      <c r="B2930" s="21">
        <v>2024</v>
      </c>
      <c r="C2930" s="21">
        <v>7</v>
      </c>
      <c r="D2930" s="21">
        <v>29</v>
      </c>
      <c r="E2930" s="21" t="s">
        <v>299</v>
      </c>
      <c r="F2930" s="21">
        <v>0</v>
      </c>
      <c r="G2930" s="21">
        <v>507.1</v>
      </c>
      <c r="H2930" s="21">
        <v>17331.75</v>
      </c>
      <c r="I2930" s="21">
        <v>341.78</v>
      </c>
    </row>
    <row r="2931" spans="1:9" ht="15" customHeight="1" x14ac:dyDescent="0.3">
      <c r="A2931" s="21" t="s">
        <v>3235</v>
      </c>
      <c r="B2931" s="21">
        <v>2024</v>
      </c>
      <c r="C2931" s="21">
        <v>7</v>
      </c>
      <c r="D2931" s="21">
        <v>30</v>
      </c>
      <c r="E2931" s="21" t="s">
        <v>303</v>
      </c>
      <c r="F2931" s="21">
        <v>0</v>
      </c>
      <c r="G2931" s="21">
        <v>524.02</v>
      </c>
      <c r="H2931" s="21">
        <v>17909.919999999998</v>
      </c>
      <c r="I2931" s="21">
        <v>341.78</v>
      </c>
    </row>
    <row r="2932" spans="1:9" ht="15" customHeight="1" x14ac:dyDescent="0.3">
      <c r="A2932" s="21" t="s">
        <v>3236</v>
      </c>
      <c r="B2932" s="21">
        <v>2024</v>
      </c>
      <c r="C2932" s="21">
        <v>7</v>
      </c>
      <c r="D2932" s="21">
        <v>31</v>
      </c>
      <c r="E2932" s="21" t="s">
        <v>307</v>
      </c>
      <c r="F2932" s="21">
        <v>0</v>
      </c>
      <c r="G2932" s="21">
        <v>547.54</v>
      </c>
      <c r="H2932" s="21">
        <v>18713.77</v>
      </c>
      <c r="I2932" s="21">
        <v>341.78</v>
      </c>
    </row>
    <row r="2933" spans="1:9" ht="15" customHeight="1" x14ac:dyDescent="0.3">
      <c r="A2933" s="21" t="s">
        <v>194</v>
      </c>
      <c r="B2933" s="21">
        <v>2024</v>
      </c>
      <c r="C2933" s="21">
        <v>8</v>
      </c>
      <c r="D2933" s="21">
        <v>1</v>
      </c>
      <c r="E2933" s="21" t="s">
        <v>310</v>
      </c>
      <c r="F2933" s="21">
        <v>0</v>
      </c>
      <c r="G2933" s="21">
        <v>554.82000000000005</v>
      </c>
      <c r="H2933" s="21">
        <v>18989.189999999999</v>
      </c>
      <c r="I2933" s="21">
        <v>342.26</v>
      </c>
    </row>
    <row r="2934" spans="1:9" ht="15" customHeight="1" x14ac:dyDescent="0.3">
      <c r="A2934" s="21" t="s">
        <v>3237</v>
      </c>
      <c r="B2934" s="21">
        <v>2024</v>
      </c>
      <c r="C2934" s="21">
        <v>8</v>
      </c>
      <c r="D2934" s="21">
        <v>2</v>
      </c>
      <c r="E2934" s="21" t="s">
        <v>313</v>
      </c>
      <c r="F2934" s="21">
        <v>0</v>
      </c>
      <c r="G2934" s="21">
        <v>601.66</v>
      </c>
      <c r="H2934" s="21">
        <v>20592.04</v>
      </c>
      <c r="I2934" s="21">
        <v>342.25</v>
      </c>
    </row>
    <row r="2935" spans="1:9" ht="15" customHeight="1" x14ac:dyDescent="0.3">
      <c r="A2935" s="21" t="s">
        <v>3238</v>
      </c>
      <c r="B2935" s="21">
        <v>2024</v>
      </c>
      <c r="C2935" s="21">
        <v>8</v>
      </c>
      <c r="D2935" s="21">
        <v>3</v>
      </c>
      <c r="E2935" s="21" t="s">
        <v>316</v>
      </c>
      <c r="F2935" s="21">
        <v>1</v>
      </c>
      <c r="G2935" s="21">
        <v>413.83</v>
      </c>
      <c r="H2935" s="21">
        <v>14163.67</v>
      </c>
      <c r="I2935" s="21">
        <v>342.26</v>
      </c>
    </row>
    <row r="2936" spans="1:9" ht="15" customHeight="1" x14ac:dyDescent="0.3">
      <c r="A2936" s="21" t="s">
        <v>3239</v>
      </c>
      <c r="B2936" s="21">
        <v>2024</v>
      </c>
      <c r="C2936" s="21">
        <v>8</v>
      </c>
      <c r="D2936" s="21">
        <v>4</v>
      </c>
      <c r="E2936" s="21" t="s">
        <v>319</v>
      </c>
      <c r="F2936" s="21">
        <v>1</v>
      </c>
      <c r="G2936" s="21">
        <v>416.17</v>
      </c>
      <c r="H2936" s="21">
        <v>14243.64</v>
      </c>
      <c r="I2936" s="21">
        <v>342.26</v>
      </c>
    </row>
    <row r="2937" spans="1:9" ht="15" customHeight="1" x14ac:dyDescent="0.3">
      <c r="A2937" s="21" t="s">
        <v>3240</v>
      </c>
      <c r="B2937" s="21">
        <v>2024</v>
      </c>
      <c r="C2937" s="21">
        <v>8</v>
      </c>
      <c r="D2937" s="21">
        <v>5</v>
      </c>
      <c r="E2937" s="21" t="s">
        <v>299</v>
      </c>
      <c r="F2937" s="21">
        <v>0</v>
      </c>
      <c r="G2937" s="21">
        <v>507.86</v>
      </c>
      <c r="H2937" s="21">
        <v>17381.91</v>
      </c>
      <c r="I2937" s="21">
        <v>342.26</v>
      </c>
    </row>
    <row r="2938" spans="1:9" ht="15" customHeight="1" x14ac:dyDescent="0.3">
      <c r="A2938" s="21" t="s">
        <v>3241</v>
      </c>
      <c r="B2938" s="21">
        <v>2024</v>
      </c>
      <c r="C2938" s="21">
        <v>8</v>
      </c>
      <c r="D2938" s="21">
        <v>6</v>
      </c>
      <c r="E2938" s="21" t="s">
        <v>303</v>
      </c>
      <c r="F2938" s="21">
        <v>0</v>
      </c>
      <c r="G2938" s="21">
        <v>488.42</v>
      </c>
      <c r="H2938" s="21">
        <v>16716.34</v>
      </c>
      <c r="I2938" s="21">
        <v>342.25</v>
      </c>
    </row>
    <row r="2939" spans="1:9" ht="15" customHeight="1" x14ac:dyDescent="0.3">
      <c r="A2939" s="21" t="s">
        <v>3242</v>
      </c>
      <c r="B2939" s="21">
        <v>2024</v>
      </c>
      <c r="C2939" s="21">
        <v>8</v>
      </c>
      <c r="D2939" s="21">
        <v>7</v>
      </c>
      <c r="E2939" s="21" t="s">
        <v>307</v>
      </c>
      <c r="F2939" s="21">
        <v>0</v>
      </c>
      <c r="G2939" s="21">
        <v>508.27</v>
      </c>
      <c r="H2939" s="21">
        <v>17395.7</v>
      </c>
      <c r="I2939" s="21">
        <v>342.25</v>
      </c>
    </row>
    <row r="2940" spans="1:9" ht="15" customHeight="1" x14ac:dyDescent="0.3">
      <c r="A2940" s="21" t="s">
        <v>3243</v>
      </c>
      <c r="B2940" s="21">
        <v>2024</v>
      </c>
      <c r="C2940" s="21">
        <v>8</v>
      </c>
      <c r="D2940" s="21">
        <v>8</v>
      </c>
      <c r="E2940" s="21" t="s">
        <v>310</v>
      </c>
      <c r="F2940" s="21">
        <v>0</v>
      </c>
      <c r="G2940" s="21">
        <v>499.64</v>
      </c>
      <c r="H2940" s="21">
        <v>17100.39</v>
      </c>
      <c r="I2940" s="21">
        <v>342.25</v>
      </c>
    </row>
    <row r="2941" spans="1:9" ht="15" customHeight="1" x14ac:dyDescent="0.3">
      <c r="A2941" s="21" t="s">
        <v>3244</v>
      </c>
      <c r="B2941" s="21">
        <v>2024</v>
      </c>
      <c r="C2941" s="21">
        <v>8</v>
      </c>
      <c r="D2941" s="21">
        <v>9</v>
      </c>
      <c r="E2941" s="21" t="s">
        <v>313</v>
      </c>
      <c r="F2941" s="21">
        <v>0</v>
      </c>
      <c r="G2941" s="21">
        <v>536.77</v>
      </c>
      <c r="H2941" s="21">
        <v>18371.189999999999</v>
      </c>
      <c r="I2941" s="21">
        <v>342.25</v>
      </c>
    </row>
    <row r="2942" spans="1:9" ht="15" customHeight="1" x14ac:dyDescent="0.3">
      <c r="A2942" s="21" t="s">
        <v>3245</v>
      </c>
      <c r="B2942" s="21">
        <v>2024</v>
      </c>
      <c r="C2942" s="21">
        <v>8</v>
      </c>
      <c r="D2942" s="21">
        <v>10</v>
      </c>
      <c r="E2942" s="21" t="s">
        <v>316</v>
      </c>
      <c r="F2942" s="21">
        <v>1</v>
      </c>
      <c r="G2942" s="21">
        <v>405.86</v>
      </c>
      <c r="H2942" s="21">
        <v>13890.97</v>
      </c>
      <c r="I2942" s="21">
        <v>342.26</v>
      </c>
    </row>
    <row r="2943" spans="1:9" ht="15" customHeight="1" x14ac:dyDescent="0.3">
      <c r="A2943" s="21" t="s">
        <v>3246</v>
      </c>
      <c r="B2943" s="21">
        <v>2024</v>
      </c>
      <c r="C2943" s="21">
        <v>8</v>
      </c>
      <c r="D2943" s="21">
        <v>11</v>
      </c>
      <c r="E2943" s="21" t="s">
        <v>319</v>
      </c>
      <c r="F2943" s="21">
        <v>1</v>
      </c>
      <c r="G2943" s="21">
        <v>399.55</v>
      </c>
      <c r="H2943" s="21">
        <v>13674.86</v>
      </c>
      <c r="I2943" s="21">
        <v>342.26</v>
      </c>
    </row>
    <row r="2944" spans="1:9" ht="15" customHeight="1" x14ac:dyDescent="0.3">
      <c r="A2944" s="21" t="s">
        <v>3247</v>
      </c>
      <c r="B2944" s="21">
        <v>2024</v>
      </c>
      <c r="C2944" s="21">
        <v>8</v>
      </c>
      <c r="D2944" s="21">
        <v>12</v>
      </c>
      <c r="E2944" s="21" t="s">
        <v>299</v>
      </c>
      <c r="F2944" s="21">
        <v>0</v>
      </c>
      <c r="G2944" s="21">
        <v>523.46</v>
      </c>
      <c r="H2944" s="21">
        <v>17915.830000000002</v>
      </c>
      <c r="I2944" s="21">
        <v>342.26</v>
      </c>
    </row>
    <row r="2945" spans="1:9" ht="15" customHeight="1" x14ac:dyDescent="0.3">
      <c r="A2945" s="21" t="s">
        <v>3248</v>
      </c>
      <c r="B2945" s="21">
        <v>2024</v>
      </c>
      <c r="C2945" s="21">
        <v>8</v>
      </c>
      <c r="D2945" s="21">
        <v>13</v>
      </c>
      <c r="E2945" s="21" t="s">
        <v>303</v>
      </c>
      <c r="F2945" s="21">
        <v>0</v>
      </c>
      <c r="G2945" s="21">
        <v>498.04</v>
      </c>
      <c r="H2945" s="21">
        <v>17045.87</v>
      </c>
      <c r="I2945" s="21">
        <v>342.26</v>
      </c>
    </row>
    <row r="2946" spans="1:9" ht="15" customHeight="1" x14ac:dyDescent="0.3">
      <c r="A2946" s="21" t="s">
        <v>3249</v>
      </c>
      <c r="B2946" s="21">
        <v>2024</v>
      </c>
      <c r="C2946" s="21">
        <v>8</v>
      </c>
      <c r="D2946" s="21">
        <v>14</v>
      </c>
      <c r="E2946" s="21" t="s">
        <v>307</v>
      </c>
      <c r="F2946" s="21">
        <v>0</v>
      </c>
      <c r="G2946" s="21">
        <v>506.73</v>
      </c>
      <c r="H2946" s="21">
        <v>17343.16</v>
      </c>
      <c r="I2946" s="21">
        <v>342.26</v>
      </c>
    </row>
    <row r="2947" spans="1:9" ht="15" customHeight="1" x14ac:dyDescent="0.3">
      <c r="A2947" s="21" t="s">
        <v>3250</v>
      </c>
      <c r="B2947" s="21">
        <v>2024</v>
      </c>
      <c r="C2947" s="21">
        <v>8</v>
      </c>
      <c r="D2947" s="21">
        <v>15</v>
      </c>
      <c r="E2947" s="21" t="s">
        <v>310</v>
      </c>
      <c r="F2947" s="21">
        <v>0</v>
      </c>
      <c r="G2947" s="21">
        <v>476.5</v>
      </c>
      <c r="H2947" s="21">
        <v>16308.4</v>
      </c>
      <c r="I2947" s="21">
        <v>342.25</v>
      </c>
    </row>
    <row r="2948" spans="1:9" ht="15" customHeight="1" x14ac:dyDescent="0.3">
      <c r="A2948" s="21" t="s">
        <v>3251</v>
      </c>
      <c r="B2948" s="21">
        <v>2024</v>
      </c>
      <c r="C2948" s="21">
        <v>8</v>
      </c>
      <c r="D2948" s="21">
        <v>16</v>
      </c>
      <c r="E2948" s="21" t="s">
        <v>313</v>
      </c>
      <c r="F2948" s="21">
        <v>0</v>
      </c>
      <c r="G2948" s="21">
        <v>520.77</v>
      </c>
      <c r="H2948" s="21">
        <v>17823.72</v>
      </c>
      <c r="I2948" s="21">
        <v>342.26</v>
      </c>
    </row>
    <row r="2949" spans="1:9" ht="15" customHeight="1" x14ac:dyDescent="0.3">
      <c r="A2949" s="21" t="s">
        <v>3252</v>
      </c>
      <c r="B2949" s="21">
        <v>2024</v>
      </c>
      <c r="C2949" s="21">
        <v>8</v>
      </c>
      <c r="D2949" s="21">
        <v>17</v>
      </c>
      <c r="E2949" s="21" t="s">
        <v>316</v>
      </c>
      <c r="F2949" s="21">
        <v>1</v>
      </c>
      <c r="G2949" s="21">
        <v>388.63</v>
      </c>
      <c r="H2949" s="21">
        <v>13301.03</v>
      </c>
      <c r="I2949" s="21">
        <v>342.25</v>
      </c>
    </row>
    <row r="2950" spans="1:9" ht="15" customHeight="1" x14ac:dyDescent="0.3">
      <c r="A2950" s="21" t="s">
        <v>3253</v>
      </c>
      <c r="B2950" s="21">
        <v>2024</v>
      </c>
      <c r="C2950" s="21">
        <v>8</v>
      </c>
      <c r="D2950" s="21">
        <v>18</v>
      </c>
      <c r="E2950" s="21" t="s">
        <v>319</v>
      </c>
      <c r="F2950" s="21">
        <v>1</v>
      </c>
      <c r="G2950" s="21">
        <v>406.78</v>
      </c>
      <c r="H2950" s="21">
        <v>13922.39</v>
      </c>
      <c r="I2950" s="21">
        <v>342.26</v>
      </c>
    </row>
    <row r="2951" spans="1:9" ht="15" customHeight="1" x14ac:dyDescent="0.3">
      <c r="A2951" s="21" t="s">
        <v>3254</v>
      </c>
      <c r="B2951" s="21">
        <v>2024</v>
      </c>
      <c r="C2951" s="21">
        <v>8</v>
      </c>
      <c r="D2951" s="21">
        <v>19</v>
      </c>
      <c r="E2951" s="21" t="s">
        <v>299</v>
      </c>
      <c r="F2951" s="21">
        <v>0</v>
      </c>
      <c r="G2951" s="21">
        <v>524.05999999999995</v>
      </c>
      <c r="H2951" s="21">
        <v>17936.39</v>
      </c>
      <c r="I2951" s="21">
        <v>342.26</v>
      </c>
    </row>
    <row r="2952" spans="1:9" ht="15" customHeight="1" x14ac:dyDescent="0.3">
      <c r="A2952" s="21" t="s">
        <v>3255</v>
      </c>
      <c r="B2952" s="21">
        <v>2024</v>
      </c>
      <c r="C2952" s="21">
        <v>8</v>
      </c>
      <c r="D2952" s="21">
        <v>20</v>
      </c>
      <c r="E2952" s="21" t="s">
        <v>303</v>
      </c>
      <c r="F2952" s="21">
        <v>0</v>
      </c>
      <c r="G2952" s="21">
        <v>478.5</v>
      </c>
      <c r="H2952" s="21">
        <v>16376.91</v>
      </c>
      <c r="I2952" s="21">
        <v>342.26</v>
      </c>
    </row>
    <row r="2953" spans="1:9" ht="15" customHeight="1" x14ac:dyDescent="0.3">
      <c r="A2953" s="21" t="s">
        <v>3256</v>
      </c>
      <c r="B2953" s="21">
        <v>2024</v>
      </c>
      <c r="C2953" s="21">
        <v>8</v>
      </c>
      <c r="D2953" s="21">
        <v>21</v>
      </c>
      <c r="E2953" s="21" t="s">
        <v>307</v>
      </c>
      <c r="F2953" s="21">
        <v>0</v>
      </c>
      <c r="G2953" s="21">
        <v>494.61</v>
      </c>
      <c r="H2953" s="21">
        <v>16928.490000000002</v>
      </c>
      <c r="I2953" s="21">
        <v>342.26</v>
      </c>
    </row>
    <row r="2954" spans="1:9" ht="15" customHeight="1" x14ac:dyDescent="0.3">
      <c r="A2954" s="21" t="s">
        <v>3257</v>
      </c>
      <c r="B2954" s="21">
        <v>2024</v>
      </c>
      <c r="C2954" s="21">
        <v>8</v>
      </c>
      <c r="D2954" s="21">
        <v>22</v>
      </c>
      <c r="E2954" s="21" t="s">
        <v>310</v>
      </c>
      <c r="F2954" s="21">
        <v>0</v>
      </c>
      <c r="G2954" s="21">
        <v>482.52</v>
      </c>
      <c r="H2954" s="21">
        <v>16514.43</v>
      </c>
      <c r="I2954" s="21">
        <v>342.25</v>
      </c>
    </row>
    <row r="2955" spans="1:9" ht="15" customHeight="1" x14ac:dyDescent="0.3">
      <c r="A2955" s="21" t="s">
        <v>3258</v>
      </c>
      <c r="B2955" s="21">
        <v>2024</v>
      </c>
      <c r="C2955" s="21">
        <v>8</v>
      </c>
      <c r="D2955" s="21">
        <v>23</v>
      </c>
      <c r="E2955" s="21" t="s">
        <v>313</v>
      </c>
      <c r="F2955" s="21">
        <v>0</v>
      </c>
      <c r="G2955" s="21">
        <v>528.83000000000004</v>
      </c>
      <c r="H2955" s="21">
        <v>18099.57</v>
      </c>
      <c r="I2955" s="21">
        <v>342.26</v>
      </c>
    </row>
    <row r="2956" spans="1:9" ht="15" customHeight="1" x14ac:dyDescent="0.3">
      <c r="A2956" s="21" t="s">
        <v>3259</v>
      </c>
      <c r="B2956" s="21">
        <v>2024</v>
      </c>
      <c r="C2956" s="21">
        <v>8</v>
      </c>
      <c r="D2956" s="21">
        <v>24</v>
      </c>
      <c r="E2956" s="21" t="s">
        <v>316</v>
      </c>
      <c r="F2956" s="21">
        <v>1</v>
      </c>
      <c r="G2956" s="21">
        <v>395.79</v>
      </c>
      <c r="H2956" s="21">
        <v>13546.08</v>
      </c>
      <c r="I2956" s="21">
        <v>342.25</v>
      </c>
    </row>
    <row r="2957" spans="1:9" ht="15" customHeight="1" x14ac:dyDescent="0.3">
      <c r="A2957" s="21" t="s">
        <v>3260</v>
      </c>
      <c r="B2957" s="21">
        <v>2024</v>
      </c>
      <c r="C2957" s="21">
        <v>8</v>
      </c>
      <c r="D2957" s="21">
        <v>25</v>
      </c>
      <c r="E2957" s="21" t="s">
        <v>319</v>
      </c>
      <c r="F2957" s="21">
        <v>1</v>
      </c>
      <c r="G2957" s="21">
        <v>413.74</v>
      </c>
      <c r="H2957" s="21">
        <v>14160.41</v>
      </c>
      <c r="I2957" s="21">
        <v>342.25</v>
      </c>
    </row>
    <row r="2958" spans="1:9" ht="15" customHeight="1" x14ac:dyDescent="0.3">
      <c r="A2958" s="21" t="s">
        <v>3261</v>
      </c>
      <c r="B2958" s="21">
        <v>2024</v>
      </c>
      <c r="C2958" s="21">
        <v>8</v>
      </c>
      <c r="D2958" s="21">
        <v>26</v>
      </c>
      <c r="E2958" s="21" t="s">
        <v>299</v>
      </c>
      <c r="F2958" s="21">
        <v>0</v>
      </c>
      <c r="G2958" s="21">
        <v>466.01</v>
      </c>
      <c r="H2958" s="21">
        <v>15949.4</v>
      </c>
      <c r="I2958" s="21">
        <v>342.25</v>
      </c>
    </row>
    <row r="2959" spans="1:9" ht="15" customHeight="1" x14ac:dyDescent="0.3">
      <c r="A2959" s="21" t="s">
        <v>3262</v>
      </c>
      <c r="B2959" s="21">
        <v>2024</v>
      </c>
      <c r="C2959" s="21">
        <v>8</v>
      </c>
      <c r="D2959" s="21">
        <v>27</v>
      </c>
      <c r="E2959" s="21" t="s">
        <v>303</v>
      </c>
      <c r="F2959" s="21">
        <v>0</v>
      </c>
      <c r="G2959" s="21">
        <v>482.57</v>
      </c>
      <c r="H2959" s="21">
        <v>16516.23</v>
      </c>
      <c r="I2959" s="21">
        <v>342.26</v>
      </c>
    </row>
    <row r="2960" spans="1:9" ht="15" customHeight="1" x14ac:dyDescent="0.3">
      <c r="A2960" s="21" t="s">
        <v>3263</v>
      </c>
      <c r="B2960" s="21">
        <v>2024</v>
      </c>
      <c r="C2960" s="21">
        <v>8</v>
      </c>
      <c r="D2960" s="21">
        <v>28</v>
      </c>
      <c r="E2960" s="21" t="s">
        <v>307</v>
      </c>
      <c r="F2960" s="21">
        <v>0</v>
      </c>
      <c r="G2960" s="21">
        <v>461.55</v>
      </c>
      <c r="H2960" s="21">
        <v>15796.92</v>
      </c>
      <c r="I2960" s="21">
        <v>342.26</v>
      </c>
    </row>
    <row r="2961" spans="1:9" ht="15" customHeight="1" x14ac:dyDescent="0.3">
      <c r="A2961" s="21" t="s">
        <v>3264</v>
      </c>
      <c r="B2961" s="21">
        <v>2024</v>
      </c>
      <c r="C2961" s="21">
        <v>8</v>
      </c>
      <c r="D2961" s="21">
        <v>29</v>
      </c>
      <c r="E2961" s="21" t="s">
        <v>310</v>
      </c>
      <c r="F2961" s="21">
        <v>0</v>
      </c>
      <c r="G2961" s="21">
        <v>502.85</v>
      </c>
      <c r="H2961" s="21">
        <v>17210.28</v>
      </c>
      <c r="I2961" s="21">
        <v>342.25</v>
      </c>
    </row>
    <row r="2962" spans="1:9" ht="15" customHeight="1" x14ac:dyDescent="0.3">
      <c r="A2962" s="21" t="s">
        <v>3265</v>
      </c>
      <c r="B2962" s="21">
        <v>2024</v>
      </c>
      <c r="C2962" s="21">
        <v>8</v>
      </c>
      <c r="D2962" s="21">
        <v>30</v>
      </c>
      <c r="E2962" s="21" t="s">
        <v>313</v>
      </c>
      <c r="F2962" s="21">
        <v>0</v>
      </c>
      <c r="G2962" s="21">
        <v>615.75</v>
      </c>
      <c r="H2962" s="21">
        <v>21074.29</v>
      </c>
      <c r="I2962" s="21">
        <v>342.25</v>
      </c>
    </row>
    <row r="2963" spans="1:9" ht="15" customHeight="1" x14ac:dyDescent="0.3">
      <c r="A2963" s="21" t="s">
        <v>3266</v>
      </c>
      <c r="B2963" s="21">
        <v>2024</v>
      </c>
      <c r="C2963" s="21">
        <v>8</v>
      </c>
      <c r="D2963" s="21">
        <v>31</v>
      </c>
      <c r="E2963" s="21" t="s">
        <v>316</v>
      </c>
      <c r="F2963" s="21">
        <v>1</v>
      </c>
      <c r="G2963" s="21">
        <v>482.18</v>
      </c>
      <c r="H2963" s="21">
        <v>16503.060000000001</v>
      </c>
      <c r="I2963" s="21">
        <v>342.26</v>
      </c>
    </row>
    <row r="2964" spans="1:9" ht="15" customHeight="1" x14ac:dyDescent="0.3">
      <c r="A2964" s="21" t="s">
        <v>195</v>
      </c>
      <c r="B2964" s="21">
        <v>2024</v>
      </c>
      <c r="C2964" s="21">
        <v>9</v>
      </c>
      <c r="D2964" s="21">
        <v>1</v>
      </c>
      <c r="E2964" s="21" t="s">
        <v>319</v>
      </c>
      <c r="F2964" s="21">
        <v>1</v>
      </c>
      <c r="G2964" s="21">
        <v>516.36</v>
      </c>
      <c r="H2964" s="21">
        <v>17656.86</v>
      </c>
      <c r="I2964" s="21">
        <v>341.95</v>
      </c>
    </row>
    <row r="2965" spans="1:9" ht="15" customHeight="1" x14ac:dyDescent="0.3">
      <c r="A2965" s="21" t="s">
        <v>3267</v>
      </c>
      <c r="B2965" s="21">
        <v>2024</v>
      </c>
      <c r="C2965" s="21">
        <v>9</v>
      </c>
      <c r="D2965" s="21">
        <v>2</v>
      </c>
      <c r="E2965" s="21" t="s">
        <v>299</v>
      </c>
      <c r="F2965" s="21">
        <v>0</v>
      </c>
      <c r="G2965" s="21">
        <v>588.95000000000005</v>
      </c>
      <c r="H2965" s="21">
        <v>20138.95</v>
      </c>
      <c r="I2965" s="21">
        <v>341.95</v>
      </c>
    </row>
    <row r="2966" spans="1:9" ht="15" customHeight="1" x14ac:dyDescent="0.3">
      <c r="A2966" s="21" t="s">
        <v>3268</v>
      </c>
      <c r="B2966" s="21">
        <v>2024</v>
      </c>
      <c r="C2966" s="21">
        <v>9</v>
      </c>
      <c r="D2966" s="21">
        <v>3</v>
      </c>
      <c r="E2966" s="21" t="s">
        <v>303</v>
      </c>
      <c r="F2966" s="21">
        <v>0</v>
      </c>
      <c r="G2966" s="21">
        <v>527.61</v>
      </c>
      <c r="H2966" s="21">
        <v>18041.650000000001</v>
      </c>
      <c r="I2966" s="21">
        <v>341.95</v>
      </c>
    </row>
    <row r="2967" spans="1:9" ht="15" customHeight="1" x14ac:dyDescent="0.3">
      <c r="A2967" s="21" t="s">
        <v>3269</v>
      </c>
      <c r="B2967" s="21">
        <v>2024</v>
      </c>
      <c r="C2967" s="21">
        <v>9</v>
      </c>
      <c r="D2967" s="21">
        <v>4</v>
      </c>
      <c r="E2967" s="21" t="s">
        <v>307</v>
      </c>
      <c r="F2967" s="21">
        <v>0</v>
      </c>
      <c r="G2967" s="21">
        <v>515.35</v>
      </c>
      <c r="H2967" s="21">
        <v>17622.419999999998</v>
      </c>
      <c r="I2967" s="21">
        <v>341.95</v>
      </c>
    </row>
    <row r="2968" spans="1:9" ht="15" customHeight="1" x14ac:dyDescent="0.3">
      <c r="A2968" s="21" t="s">
        <v>3270</v>
      </c>
      <c r="B2968" s="21">
        <v>2024</v>
      </c>
      <c r="C2968" s="21">
        <v>9</v>
      </c>
      <c r="D2968" s="21">
        <v>5</v>
      </c>
      <c r="E2968" s="21" t="s">
        <v>310</v>
      </c>
      <c r="F2968" s="21">
        <v>0</v>
      </c>
      <c r="G2968" s="21">
        <v>497.78</v>
      </c>
      <c r="H2968" s="21">
        <v>17021.34</v>
      </c>
      <c r="I2968" s="21">
        <v>341.95</v>
      </c>
    </row>
    <row r="2969" spans="1:9" ht="15" customHeight="1" x14ac:dyDescent="0.3">
      <c r="A2969" s="21" t="s">
        <v>3271</v>
      </c>
      <c r="B2969" s="21">
        <v>2024</v>
      </c>
      <c r="C2969" s="21">
        <v>9</v>
      </c>
      <c r="D2969" s="21">
        <v>6</v>
      </c>
      <c r="E2969" s="21" t="s">
        <v>313</v>
      </c>
      <c r="F2969" s="21">
        <v>0</v>
      </c>
      <c r="G2969" s="21">
        <v>558.52</v>
      </c>
      <c r="H2969" s="21">
        <v>19098.48</v>
      </c>
      <c r="I2969" s="21">
        <v>341.95</v>
      </c>
    </row>
    <row r="2970" spans="1:9" ht="15" customHeight="1" x14ac:dyDescent="0.3">
      <c r="A2970" s="21" t="s">
        <v>3272</v>
      </c>
      <c r="B2970" s="21">
        <v>2024</v>
      </c>
      <c r="C2970" s="21">
        <v>9</v>
      </c>
      <c r="D2970" s="21">
        <v>7</v>
      </c>
      <c r="E2970" s="21" t="s">
        <v>316</v>
      </c>
      <c r="F2970" s="21">
        <v>1</v>
      </c>
      <c r="G2970" s="21">
        <v>409.49</v>
      </c>
      <c r="H2970" s="21">
        <v>14002.59</v>
      </c>
      <c r="I2970" s="21">
        <v>341.95</v>
      </c>
    </row>
    <row r="2971" spans="1:9" ht="15" customHeight="1" x14ac:dyDescent="0.3">
      <c r="A2971" s="21" t="s">
        <v>3273</v>
      </c>
      <c r="B2971" s="21">
        <v>2024</v>
      </c>
      <c r="C2971" s="21">
        <v>9</v>
      </c>
      <c r="D2971" s="21">
        <v>8</v>
      </c>
      <c r="E2971" s="21" t="s">
        <v>319</v>
      </c>
      <c r="F2971" s="21">
        <v>1</v>
      </c>
      <c r="G2971" s="21">
        <v>413.73</v>
      </c>
      <c r="H2971" s="21">
        <v>14147.51</v>
      </c>
      <c r="I2971" s="21">
        <v>341.95</v>
      </c>
    </row>
    <row r="2972" spans="1:9" ht="15" customHeight="1" x14ac:dyDescent="0.3">
      <c r="A2972" s="21" t="s">
        <v>3274</v>
      </c>
      <c r="B2972" s="21">
        <v>2024</v>
      </c>
      <c r="C2972" s="21">
        <v>9</v>
      </c>
      <c r="D2972" s="21">
        <v>9</v>
      </c>
      <c r="E2972" s="21" t="s">
        <v>299</v>
      </c>
      <c r="F2972" s="21">
        <v>0</v>
      </c>
      <c r="G2972" s="21">
        <v>517.25</v>
      </c>
      <c r="H2972" s="21">
        <v>17687.16</v>
      </c>
      <c r="I2972" s="21">
        <v>341.95</v>
      </c>
    </row>
    <row r="2973" spans="1:9" ht="15" customHeight="1" x14ac:dyDescent="0.3">
      <c r="A2973" s="21" t="s">
        <v>3275</v>
      </c>
      <c r="B2973" s="21">
        <v>2024</v>
      </c>
      <c r="C2973" s="21">
        <v>9</v>
      </c>
      <c r="D2973" s="21">
        <v>10</v>
      </c>
      <c r="E2973" s="21" t="s">
        <v>303</v>
      </c>
      <c r="F2973" s="21">
        <v>0</v>
      </c>
      <c r="G2973" s="21">
        <v>493.38</v>
      </c>
      <c r="H2973" s="21">
        <v>16870.95</v>
      </c>
      <c r="I2973" s="21">
        <v>341.95</v>
      </c>
    </row>
    <row r="2974" spans="1:9" ht="15" customHeight="1" x14ac:dyDescent="0.3">
      <c r="A2974" s="21" t="s">
        <v>3276</v>
      </c>
      <c r="B2974" s="21">
        <v>2024</v>
      </c>
      <c r="C2974" s="21">
        <v>9</v>
      </c>
      <c r="D2974" s="21">
        <v>11</v>
      </c>
      <c r="E2974" s="21" t="s">
        <v>307</v>
      </c>
      <c r="F2974" s="21">
        <v>0</v>
      </c>
      <c r="G2974" s="21">
        <v>485.44</v>
      </c>
      <c r="H2974" s="21">
        <v>16599.62</v>
      </c>
      <c r="I2974" s="21">
        <v>341.95</v>
      </c>
    </row>
    <row r="2975" spans="1:9" ht="15" customHeight="1" x14ac:dyDescent="0.3">
      <c r="A2975" s="21" t="s">
        <v>3277</v>
      </c>
      <c r="B2975" s="21">
        <v>2024</v>
      </c>
      <c r="C2975" s="21">
        <v>9</v>
      </c>
      <c r="D2975" s="21">
        <v>12</v>
      </c>
      <c r="E2975" s="21" t="s">
        <v>310</v>
      </c>
      <c r="F2975" s="21">
        <v>0</v>
      </c>
      <c r="G2975" s="21">
        <v>519.73</v>
      </c>
      <c r="H2975" s="21">
        <v>17772.02</v>
      </c>
      <c r="I2975" s="21">
        <v>341.95</v>
      </c>
    </row>
    <row r="2976" spans="1:9" ht="15" customHeight="1" x14ac:dyDescent="0.3">
      <c r="A2976" s="21" t="s">
        <v>3278</v>
      </c>
      <c r="B2976" s="21">
        <v>2024</v>
      </c>
      <c r="C2976" s="21">
        <v>9</v>
      </c>
      <c r="D2976" s="21">
        <v>13</v>
      </c>
      <c r="E2976" s="21" t="s">
        <v>313</v>
      </c>
      <c r="F2976" s="21">
        <v>0</v>
      </c>
      <c r="G2976" s="21">
        <v>537.54999999999995</v>
      </c>
      <c r="H2976" s="21">
        <v>18381.310000000001</v>
      </c>
      <c r="I2976" s="21">
        <v>341.95</v>
      </c>
    </row>
    <row r="2977" spans="1:9" ht="15" customHeight="1" x14ac:dyDescent="0.3">
      <c r="A2977" s="21" t="s">
        <v>3279</v>
      </c>
      <c r="B2977" s="21">
        <v>2024</v>
      </c>
      <c r="C2977" s="21">
        <v>9</v>
      </c>
      <c r="D2977" s="21">
        <v>14</v>
      </c>
      <c r="E2977" s="21" t="s">
        <v>316</v>
      </c>
      <c r="F2977" s="21">
        <v>1</v>
      </c>
      <c r="G2977" s="21">
        <v>431.44</v>
      </c>
      <c r="H2977" s="21">
        <v>14752.84</v>
      </c>
      <c r="I2977" s="21">
        <v>341.94</v>
      </c>
    </row>
    <row r="2978" spans="1:9" ht="15" customHeight="1" x14ac:dyDescent="0.3">
      <c r="A2978" s="21" t="s">
        <v>3280</v>
      </c>
      <c r="B2978" s="21">
        <v>2024</v>
      </c>
      <c r="C2978" s="21">
        <v>9</v>
      </c>
      <c r="D2978" s="21">
        <v>15</v>
      </c>
      <c r="E2978" s="21" t="s">
        <v>319</v>
      </c>
      <c r="F2978" s="21">
        <v>1</v>
      </c>
      <c r="G2978" s="21">
        <v>417.56</v>
      </c>
      <c r="H2978" s="21">
        <v>14278.22</v>
      </c>
      <c r="I2978" s="21">
        <v>341.94</v>
      </c>
    </row>
    <row r="2979" spans="1:9" ht="15" customHeight="1" x14ac:dyDescent="0.3">
      <c r="A2979" s="21" t="s">
        <v>3281</v>
      </c>
      <c r="B2979" s="21">
        <v>2024</v>
      </c>
      <c r="C2979" s="21">
        <v>9</v>
      </c>
      <c r="D2979" s="21">
        <v>16</v>
      </c>
      <c r="E2979" s="21" t="s">
        <v>299</v>
      </c>
      <c r="F2979" s="21">
        <v>0</v>
      </c>
      <c r="G2979" s="21">
        <v>499.02</v>
      </c>
      <c r="H2979" s="21">
        <v>17063.830000000002</v>
      </c>
      <c r="I2979" s="21">
        <v>341.95</v>
      </c>
    </row>
    <row r="2980" spans="1:9" ht="15" customHeight="1" x14ac:dyDescent="0.3">
      <c r="A2980" s="21" t="s">
        <v>3282</v>
      </c>
      <c r="B2980" s="21">
        <v>2024</v>
      </c>
      <c r="C2980" s="21">
        <v>9</v>
      </c>
      <c r="D2980" s="21">
        <v>17</v>
      </c>
      <c r="E2980" s="21" t="s">
        <v>303</v>
      </c>
      <c r="F2980" s="21">
        <v>0</v>
      </c>
      <c r="G2980" s="21">
        <v>505.39</v>
      </c>
      <c r="H2980" s="21">
        <v>17281.89</v>
      </c>
      <c r="I2980" s="21">
        <v>341.95</v>
      </c>
    </row>
    <row r="2981" spans="1:9" ht="15" customHeight="1" x14ac:dyDescent="0.3">
      <c r="A2981" s="21" t="s">
        <v>3283</v>
      </c>
      <c r="B2981" s="21">
        <v>2024</v>
      </c>
      <c r="C2981" s="21">
        <v>9</v>
      </c>
      <c r="D2981" s="21">
        <v>18</v>
      </c>
      <c r="E2981" s="21" t="s">
        <v>307</v>
      </c>
      <c r="F2981" s="21">
        <v>0</v>
      </c>
      <c r="G2981" s="21">
        <v>472.57</v>
      </c>
      <c r="H2981" s="21">
        <v>16159.55</v>
      </c>
      <c r="I2981" s="21">
        <v>341.95</v>
      </c>
    </row>
    <row r="2982" spans="1:9" ht="15" customHeight="1" x14ac:dyDescent="0.3">
      <c r="A2982" s="21" t="s">
        <v>3284</v>
      </c>
      <c r="B2982" s="21">
        <v>2024</v>
      </c>
      <c r="C2982" s="21">
        <v>9</v>
      </c>
      <c r="D2982" s="21">
        <v>19</v>
      </c>
      <c r="E2982" s="21" t="s">
        <v>310</v>
      </c>
      <c r="F2982" s="21">
        <v>0</v>
      </c>
      <c r="G2982" s="21">
        <v>500.3</v>
      </c>
      <c r="H2982" s="21">
        <v>17107.7</v>
      </c>
      <c r="I2982" s="21">
        <v>341.95</v>
      </c>
    </row>
    <row r="2983" spans="1:9" ht="15" customHeight="1" x14ac:dyDescent="0.3">
      <c r="A2983" s="21" t="s">
        <v>3285</v>
      </c>
      <c r="B2983" s="21">
        <v>2024</v>
      </c>
      <c r="C2983" s="21">
        <v>9</v>
      </c>
      <c r="D2983" s="21">
        <v>20</v>
      </c>
      <c r="E2983" s="21" t="s">
        <v>313</v>
      </c>
      <c r="F2983" s="21">
        <v>0</v>
      </c>
      <c r="G2983" s="21">
        <v>520.86</v>
      </c>
      <c r="H2983" s="21">
        <v>17810.73</v>
      </c>
      <c r="I2983" s="21">
        <v>341.95</v>
      </c>
    </row>
    <row r="2984" spans="1:9" ht="15" customHeight="1" x14ac:dyDescent="0.3">
      <c r="A2984" s="21" t="s">
        <v>3286</v>
      </c>
      <c r="B2984" s="21">
        <v>2024</v>
      </c>
      <c r="C2984" s="21">
        <v>9</v>
      </c>
      <c r="D2984" s="21">
        <v>21</v>
      </c>
      <c r="E2984" s="21" t="s">
        <v>316</v>
      </c>
      <c r="F2984" s="21">
        <v>1</v>
      </c>
      <c r="G2984" s="21">
        <v>456.02</v>
      </c>
      <c r="H2984" s="21">
        <v>15593.59</v>
      </c>
      <c r="I2984" s="21">
        <v>341.95</v>
      </c>
    </row>
    <row r="2985" spans="1:9" ht="15" customHeight="1" x14ac:dyDescent="0.3">
      <c r="A2985" s="21" t="s">
        <v>3287</v>
      </c>
      <c r="B2985" s="21">
        <v>2024</v>
      </c>
      <c r="C2985" s="21">
        <v>9</v>
      </c>
      <c r="D2985" s="21">
        <v>22</v>
      </c>
      <c r="E2985" s="21" t="s">
        <v>319</v>
      </c>
      <c r="F2985" s="21">
        <v>1</v>
      </c>
      <c r="G2985" s="21">
        <v>439.84</v>
      </c>
      <c r="H2985" s="21">
        <v>15040.25</v>
      </c>
      <c r="I2985" s="21">
        <v>341.95</v>
      </c>
    </row>
    <row r="2986" spans="1:9" ht="15" customHeight="1" x14ac:dyDescent="0.3">
      <c r="A2986" s="21" t="s">
        <v>3288</v>
      </c>
      <c r="B2986" s="21">
        <v>2024</v>
      </c>
      <c r="C2986" s="21">
        <v>9</v>
      </c>
      <c r="D2986" s="21">
        <v>23</v>
      </c>
      <c r="E2986" s="21" t="s">
        <v>299</v>
      </c>
      <c r="F2986" s="21">
        <v>0</v>
      </c>
      <c r="G2986" s="21">
        <v>527.99</v>
      </c>
      <c r="H2986" s="21">
        <v>18054.54</v>
      </c>
      <c r="I2986" s="21">
        <v>341.95</v>
      </c>
    </row>
    <row r="2987" spans="1:9" ht="15" customHeight="1" x14ac:dyDescent="0.3">
      <c r="A2987" s="21" t="s">
        <v>3289</v>
      </c>
      <c r="B2987" s="21">
        <v>2024</v>
      </c>
      <c r="C2987" s="21">
        <v>9</v>
      </c>
      <c r="D2987" s="21">
        <v>24</v>
      </c>
      <c r="E2987" s="21" t="s">
        <v>303</v>
      </c>
      <c r="F2987" s="21">
        <v>0</v>
      </c>
      <c r="G2987" s="21">
        <v>520.34</v>
      </c>
      <c r="H2987" s="21">
        <v>17792.91</v>
      </c>
      <c r="I2987" s="21">
        <v>341.95</v>
      </c>
    </row>
    <row r="2988" spans="1:9" ht="15" customHeight="1" x14ac:dyDescent="0.3">
      <c r="A2988" s="21" t="s">
        <v>3290</v>
      </c>
      <c r="B2988" s="21">
        <v>2024</v>
      </c>
      <c r="C2988" s="21">
        <v>9</v>
      </c>
      <c r="D2988" s="21">
        <v>25</v>
      </c>
      <c r="E2988" s="21" t="s">
        <v>307</v>
      </c>
      <c r="F2988" s="21">
        <v>0</v>
      </c>
      <c r="G2988" s="21">
        <v>488.6</v>
      </c>
      <c r="H2988" s="21">
        <v>16707.75</v>
      </c>
      <c r="I2988" s="21">
        <v>341.95</v>
      </c>
    </row>
    <row r="2989" spans="1:9" ht="15" customHeight="1" x14ac:dyDescent="0.3">
      <c r="A2989" s="21" t="s">
        <v>3291</v>
      </c>
      <c r="B2989" s="21">
        <v>2024</v>
      </c>
      <c r="C2989" s="21">
        <v>9</v>
      </c>
      <c r="D2989" s="21">
        <v>26</v>
      </c>
      <c r="E2989" s="21" t="s">
        <v>310</v>
      </c>
      <c r="F2989" s="21">
        <v>0</v>
      </c>
      <c r="G2989" s="21">
        <v>509.51</v>
      </c>
      <c r="H2989" s="21">
        <v>17422.509999999998</v>
      </c>
      <c r="I2989" s="21">
        <v>341.95</v>
      </c>
    </row>
    <row r="2990" spans="1:9" ht="15" customHeight="1" x14ac:dyDescent="0.3">
      <c r="A2990" s="21" t="s">
        <v>3292</v>
      </c>
      <c r="B2990" s="21">
        <v>2024</v>
      </c>
      <c r="C2990" s="21">
        <v>9</v>
      </c>
      <c r="D2990" s="21">
        <v>27</v>
      </c>
      <c r="E2990" s="21" t="s">
        <v>313</v>
      </c>
      <c r="F2990" s="21">
        <v>0</v>
      </c>
      <c r="G2990" s="21">
        <v>544.45000000000005</v>
      </c>
      <c r="H2990" s="21">
        <v>18617.2</v>
      </c>
      <c r="I2990" s="21">
        <v>341.95</v>
      </c>
    </row>
    <row r="2991" spans="1:9" ht="15" customHeight="1" x14ac:dyDescent="0.3">
      <c r="A2991" s="21" t="s">
        <v>3293</v>
      </c>
      <c r="B2991" s="21">
        <v>2024</v>
      </c>
      <c r="C2991" s="21">
        <v>9</v>
      </c>
      <c r="D2991" s="21">
        <v>28</v>
      </c>
      <c r="E2991" s="21" t="s">
        <v>316</v>
      </c>
      <c r="F2991" s="21">
        <v>1</v>
      </c>
      <c r="G2991" s="21">
        <v>430.1</v>
      </c>
      <c r="H2991" s="21">
        <v>14707.33</v>
      </c>
      <c r="I2991" s="21">
        <v>341.95</v>
      </c>
    </row>
    <row r="2992" spans="1:9" ht="15" customHeight="1" x14ac:dyDescent="0.3">
      <c r="A2992" s="21" t="s">
        <v>3294</v>
      </c>
      <c r="B2992" s="21">
        <v>2024</v>
      </c>
      <c r="C2992" s="21">
        <v>9</v>
      </c>
      <c r="D2992" s="21">
        <v>29</v>
      </c>
      <c r="E2992" s="21" t="s">
        <v>319</v>
      </c>
      <c r="F2992" s="21">
        <v>1</v>
      </c>
      <c r="G2992" s="21">
        <v>512.05999999999995</v>
      </c>
      <c r="H2992" s="21">
        <v>17509.79</v>
      </c>
      <c r="I2992" s="21">
        <v>341.95</v>
      </c>
    </row>
    <row r="2993" spans="1:9" ht="15" customHeight="1" x14ac:dyDescent="0.3">
      <c r="A2993" s="21" t="s">
        <v>3295</v>
      </c>
      <c r="B2993" s="21">
        <v>2024</v>
      </c>
      <c r="C2993" s="21">
        <v>9</v>
      </c>
      <c r="D2993" s="21">
        <v>30</v>
      </c>
      <c r="E2993" s="21" t="s">
        <v>299</v>
      </c>
      <c r="F2993" s="21">
        <v>0</v>
      </c>
      <c r="G2993" s="21">
        <v>618.03</v>
      </c>
      <c r="H2993" s="21">
        <v>21133.39</v>
      </c>
      <c r="I2993" s="21">
        <v>341.95</v>
      </c>
    </row>
    <row r="2994" spans="1:9" ht="15" customHeight="1" x14ac:dyDescent="0.3">
      <c r="A2994" s="21" t="s">
        <v>196</v>
      </c>
      <c r="B2994" s="21">
        <v>2024</v>
      </c>
      <c r="C2994" s="21">
        <v>10</v>
      </c>
      <c r="D2994" s="21">
        <v>1</v>
      </c>
      <c r="E2994" s="21" t="s">
        <v>303</v>
      </c>
      <c r="F2994" s="21">
        <v>0</v>
      </c>
      <c r="G2994" s="21">
        <v>620.54</v>
      </c>
      <c r="H2994" s="21">
        <v>21237.39</v>
      </c>
      <c r="I2994" s="21">
        <v>342.24</v>
      </c>
    </row>
    <row r="2995" spans="1:9" ht="15" customHeight="1" x14ac:dyDescent="0.3">
      <c r="A2995" s="21" t="s">
        <v>3296</v>
      </c>
      <c r="B2995" s="21">
        <v>2024</v>
      </c>
      <c r="C2995" s="21">
        <v>10</v>
      </c>
      <c r="D2995" s="21">
        <v>2</v>
      </c>
      <c r="E2995" s="21" t="s">
        <v>307</v>
      </c>
      <c r="F2995" s="21">
        <v>0</v>
      </c>
      <c r="G2995" s="21">
        <v>584.66999999999996</v>
      </c>
      <c r="H2995" s="21">
        <v>20009.71</v>
      </c>
      <c r="I2995" s="21">
        <v>342.24</v>
      </c>
    </row>
    <row r="2996" spans="1:9" ht="15" customHeight="1" x14ac:dyDescent="0.3">
      <c r="A2996" s="21" t="s">
        <v>3297</v>
      </c>
      <c r="B2996" s="21">
        <v>2024</v>
      </c>
      <c r="C2996" s="21">
        <v>10</v>
      </c>
      <c r="D2996" s="21">
        <v>3</v>
      </c>
      <c r="E2996" s="21" t="s">
        <v>310</v>
      </c>
      <c r="F2996" s="21">
        <v>0</v>
      </c>
      <c r="G2996" s="21">
        <v>519.55999999999995</v>
      </c>
      <c r="H2996" s="21">
        <v>17781.39</v>
      </c>
      <c r="I2996" s="21">
        <v>342.24</v>
      </c>
    </row>
    <row r="2997" spans="1:9" ht="15" customHeight="1" x14ac:dyDescent="0.3">
      <c r="A2997" s="21" t="s">
        <v>3298</v>
      </c>
      <c r="B2997" s="21">
        <v>2024</v>
      </c>
      <c r="C2997" s="21">
        <v>10</v>
      </c>
      <c r="D2997" s="21">
        <v>4</v>
      </c>
      <c r="E2997" s="21" t="s">
        <v>313</v>
      </c>
      <c r="F2997" s="21">
        <v>0</v>
      </c>
      <c r="G2997" s="21">
        <v>575.79999999999995</v>
      </c>
      <c r="H2997" s="21">
        <v>19706.009999999998</v>
      </c>
      <c r="I2997" s="21">
        <v>342.24</v>
      </c>
    </row>
    <row r="2998" spans="1:9" ht="15" customHeight="1" x14ac:dyDescent="0.3">
      <c r="A2998" s="21" t="s">
        <v>3299</v>
      </c>
      <c r="B2998" s="21">
        <v>2024</v>
      </c>
      <c r="C2998" s="21">
        <v>10</v>
      </c>
      <c r="D2998" s="21">
        <v>5</v>
      </c>
      <c r="E2998" s="21" t="s">
        <v>316</v>
      </c>
      <c r="F2998" s="21">
        <v>1</v>
      </c>
      <c r="G2998" s="21">
        <v>456.22</v>
      </c>
      <c r="H2998" s="21">
        <v>15613.69</v>
      </c>
      <c r="I2998" s="21">
        <v>342.24</v>
      </c>
    </row>
    <row r="2999" spans="1:9" ht="15" customHeight="1" x14ac:dyDescent="0.3">
      <c r="A2999" s="21" t="s">
        <v>3300</v>
      </c>
      <c r="B2999" s="21">
        <v>2024</v>
      </c>
      <c r="C2999" s="21">
        <v>10</v>
      </c>
      <c r="D2999" s="21">
        <v>6</v>
      </c>
      <c r="E2999" s="21" t="s">
        <v>319</v>
      </c>
      <c r="F2999" s="21">
        <v>1</v>
      </c>
      <c r="G2999" s="21">
        <v>436.58</v>
      </c>
      <c r="H2999" s="21">
        <v>14941.63</v>
      </c>
      <c r="I2999" s="21">
        <v>342.24</v>
      </c>
    </row>
    <row r="3000" spans="1:9" ht="15" customHeight="1" x14ac:dyDescent="0.3">
      <c r="A3000" s="21" t="s">
        <v>3301</v>
      </c>
      <c r="B3000" s="21">
        <v>2024</v>
      </c>
      <c r="C3000" s="21">
        <v>10</v>
      </c>
      <c r="D3000" s="21">
        <v>7</v>
      </c>
      <c r="E3000" s="21" t="s">
        <v>299</v>
      </c>
      <c r="F3000" s="21">
        <v>0</v>
      </c>
      <c r="G3000" s="21">
        <v>600.41999999999996</v>
      </c>
      <c r="H3000" s="21">
        <v>20548.79</v>
      </c>
      <c r="I3000" s="21">
        <v>342.24</v>
      </c>
    </row>
    <row r="3001" spans="1:9" ht="15" customHeight="1" x14ac:dyDescent="0.3">
      <c r="A3001" s="21" t="s">
        <v>3302</v>
      </c>
      <c r="B3001" s="21">
        <v>2024</v>
      </c>
      <c r="C3001" s="21">
        <v>10</v>
      </c>
      <c r="D3001" s="21">
        <v>8</v>
      </c>
      <c r="E3001" s="21" t="s">
        <v>303</v>
      </c>
      <c r="F3001" s="21">
        <v>0</v>
      </c>
      <c r="G3001" s="21">
        <v>559.29999999999995</v>
      </c>
      <c r="H3001" s="21">
        <v>19141.61</v>
      </c>
      <c r="I3001" s="21">
        <v>342.24</v>
      </c>
    </row>
    <row r="3002" spans="1:9" ht="15" customHeight="1" x14ac:dyDescent="0.3">
      <c r="A3002" s="21" t="s">
        <v>3303</v>
      </c>
      <c r="B3002" s="21">
        <v>2024</v>
      </c>
      <c r="C3002" s="21">
        <v>10</v>
      </c>
      <c r="D3002" s="21">
        <v>9</v>
      </c>
      <c r="E3002" s="21" t="s">
        <v>307</v>
      </c>
      <c r="F3002" s="21">
        <v>0</v>
      </c>
      <c r="G3002" s="21">
        <v>544.63</v>
      </c>
      <c r="H3002" s="21">
        <v>18639.43</v>
      </c>
      <c r="I3002" s="21">
        <v>342.24</v>
      </c>
    </row>
    <row r="3003" spans="1:9" ht="15" customHeight="1" x14ac:dyDescent="0.3">
      <c r="A3003" s="21" t="s">
        <v>3304</v>
      </c>
      <c r="B3003" s="21">
        <v>2024</v>
      </c>
      <c r="C3003" s="21">
        <v>10</v>
      </c>
      <c r="D3003" s="21">
        <v>10</v>
      </c>
      <c r="E3003" s="21" t="s">
        <v>310</v>
      </c>
      <c r="F3003" s="21">
        <v>0</v>
      </c>
      <c r="G3003" s="21">
        <v>536.12</v>
      </c>
      <c r="H3003" s="21">
        <v>18348.28</v>
      </c>
      <c r="I3003" s="21">
        <v>342.24</v>
      </c>
    </row>
    <row r="3004" spans="1:9" ht="15" customHeight="1" x14ac:dyDescent="0.3">
      <c r="A3004" s="21" t="s">
        <v>3305</v>
      </c>
      <c r="B3004" s="21">
        <v>2024</v>
      </c>
      <c r="C3004" s="21">
        <v>10</v>
      </c>
      <c r="D3004" s="21">
        <v>11</v>
      </c>
      <c r="E3004" s="21" t="s">
        <v>313</v>
      </c>
      <c r="F3004" s="21">
        <v>0</v>
      </c>
      <c r="G3004" s="21">
        <v>574.36</v>
      </c>
      <c r="H3004" s="21">
        <v>19656.849999999999</v>
      </c>
      <c r="I3004" s="21">
        <v>342.24</v>
      </c>
    </row>
    <row r="3005" spans="1:9" ht="15" customHeight="1" x14ac:dyDescent="0.3">
      <c r="A3005" s="21" t="s">
        <v>3306</v>
      </c>
      <c r="B3005" s="21">
        <v>2024</v>
      </c>
      <c r="C3005" s="21">
        <v>10</v>
      </c>
      <c r="D3005" s="21">
        <v>12</v>
      </c>
      <c r="E3005" s="21" t="s">
        <v>316</v>
      </c>
      <c r="F3005" s="21">
        <v>1</v>
      </c>
      <c r="G3005" s="21">
        <v>439.45</v>
      </c>
      <c r="H3005" s="21">
        <v>15039.55</v>
      </c>
      <c r="I3005" s="21">
        <v>342.24</v>
      </c>
    </row>
    <row r="3006" spans="1:9" ht="15" customHeight="1" x14ac:dyDescent="0.3">
      <c r="A3006" s="21" t="s">
        <v>3307</v>
      </c>
      <c r="B3006" s="21">
        <v>2024</v>
      </c>
      <c r="C3006" s="21">
        <v>10</v>
      </c>
      <c r="D3006" s="21">
        <v>13</v>
      </c>
      <c r="E3006" s="21" t="s">
        <v>319</v>
      </c>
      <c r="F3006" s="21">
        <v>1</v>
      </c>
      <c r="G3006" s="21">
        <v>455.97</v>
      </c>
      <c r="H3006" s="21">
        <v>15604.96</v>
      </c>
      <c r="I3006" s="21">
        <v>342.24</v>
      </c>
    </row>
    <row r="3007" spans="1:9" ht="15" customHeight="1" x14ac:dyDescent="0.3">
      <c r="A3007" s="21" t="s">
        <v>3308</v>
      </c>
      <c r="B3007" s="21">
        <v>2024</v>
      </c>
      <c r="C3007" s="21">
        <v>10</v>
      </c>
      <c r="D3007" s="21">
        <v>14</v>
      </c>
      <c r="E3007" s="21" t="s">
        <v>299</v>
      </c>
      <c r="F3007" s="21">
        <v>0</v>
      </c>
      <c r="G3007" s="21">
        <v>565.85</v>
      </c>
      <c r="H3007" s="21">
        <v>19365.72</v>
      </c>
      <c r="I3007" s="21">
        <v>342.24</v>
      </c>
    </row>
    <row r="3008" spans="1:9" ht="15" customHeight="1" x14ac:dyDescent="0.3">
      <c r="A3008" s="21" t="s">
        <v>3309</v>
      </c>
      <c r="B3008" s="21">
        <v>2024</v>
      </c>
      <c r="C3008" s="21">
        <v>10</v>
      </c>
      <c r="D3008" s="21">
        <v>15</v>
      </c>
      <c r="E3008" s="21" t="s">
        <v>303</v>
      </c>
      <c r="F3008" s="21">
        <v>0</v>
      </c>
      <c r="G3008" s="21">
        <v>566.54</v>
      </c>
      <c r="H3008" s="21">
        <v>19389.32</v>
      </c>
      <c r="I3008" s="21">
        <v>342.24</v>
      </c>
    </row>
    <row r="3009" spans="1:9" ht="15" customHeight="1" x14ac:dyDescent="0.3">
      <c r="A3009" s="21" t="s">
        <v>3310</v>
      </c>
      <c r="B3009" s="21">
        <v>2024</v>
      </c>
      <c r="C3009" s="21">
        <v>10</v>
      </c>
      <c r="D3009" s="21">
        <v>16</v>
      </c>
      <c r="E3009" s="21" t="s">
        <v>307</v>
      </c>
      <c r="F3009" s="21">
        <v>0</v>
      </c>
      <c r="G3009" s="21">
        <v>594.36</v>
      </c>
      <c r="H3009" s="21">
        <v>20341.490000000002</v>
      </c>
      <c r="I3009" s="21">
        <v>342.24</v>
      </c>
    </row>
    <row r="3010" spans="1:9" ht="15" customHeight="1" x14ac:dyDescent="0.3">
      <c r="A3010" s="21" t="s">
        <v>3311</v>
      </c>
      <c r="B3010" s="21">
        <v>2024</v>
      </c>
      <c r="C3010" s="21">
        <v>10</v>
      </c>
      <c r="D3010" s="21">
        <v>17</v>
      </c>
      <c r="E3010" s="21" t="s">
        <v>310</v>
      </c>
      <c r="F3010" s="21">
        <v>0</v>
      </c>
      <c r="G3010" s="21">
        <v>585.72</v>
      </c>
      <c r="H3010" s="21">
        <v>20045.78</v>
      </c>
      <c r="I3010" s="21">
        <v>342.24</v>
      </c>
    </row>
    <row r="3011" spans="1:9" ht="15" customHeight="1" x14ac:dyDescent="0.3">
      <c r="A3011" s="21" t="s">
        <v>3312</v>
      </c>
      <c r="B3011" s="21">
        <v>2024</v>
      </c>
      <c r="C3011" s="21">
        <v>10</v>
      </c>
      <c r="D3011" s="21">
        <v>18</v>
      </c>
      <c r="E3011" s="21" t="s">
        <v>313</v>
      </c>
      <c r="F3011" s="21">
        <v>0</v>
      </c>
      <c r="G3011" s="21">
        <v>601.86</v>
      </c>
      <c r="H3011" s="21">
        <v>20598.07</v>
      </c>
      <c r="I3011" s="21">
        <v>342.24</v>
      </c>
    </row>
    <row r="3012" spans="1:9" ht="15" customHeight="1" x14ac:dyDescent="0.3">
      <c r="A3012" s="21" t="s">
        <v>3313</v>
      </c>
      <c r="B3012" s="21">
        <v>2024</v>
      </c>
      <c r="C3012" s="21">
        <v>10</v>
      </c>
      <c r="D3012" s="21">
        <v>19</v>
      </c>
      <c r="E3012" s="21" t="s">
        <v>316</v>
      </c>
      <c r="F3012" s="21">
        <v>1</v>
      </c>
      <c r="G3012" s="21">
        <v>485.01</v>
      </c>
      <c r="H3012" s="21">
        <v>16598.810000000001</v>
      </c>
      <c r="I3012" s="21">
        <v>342.24</v>
      </c>
    </row>
    <row r="3013" spans="1:9" ht="15" customHeight="1" x14ac:dyDescent="0.3">
      <c r="A3013" s="21" t="s">
        <v>3314</v>
      </c>
      <c r="B3013" s="21">
        <v>2024</v>
      </c>
      <c r="C3013" s="21">
        <v>10</v>
      </c>
      <c r="D3013" s="21">
        <v>20</v>
      </c>
      <c r="E3013" s="21" t="s">
        <v>319</v>
      </c>
      <c r="F3013" s="21">
        <v>1</v>
      </c>
      <c r="G3013" s="21">
        <v>492.89</v>
      </c>
      <c r="H3013" s="21">
        <v>16868.75</v>
      </c>
      <c r="I3013" s="21">
        <v>342.24</v>
      </c>
    </row>
    <row r="3014" spans="1:9" ht="15" customHeight="1" x14ac:dyDescent="0.3">
      <c r="A3014" s="21" t="s">
        <v>3315</v>
      </c>
      <c r="B3014" s="21">
        <v>2024</v>
      </c>
      <c r="C3014" s="21">
        <v>10</v>
      </c>
      <c r="D3014" s="21">
        <v>21</v>
      </c>
      <c r="E3014" s="21" t="s">
        <v>299</v>
      </c>
      <c r="F3014" s="21">
        <v>0</v>
      </c>
      <c r="G3014" s="21">
        <v>651.21</v>
      </c>
      <c r="H3014" s="21">
        <v>22287.08</v>
      </c>
      <c r="I3014" s="21">
        <v>342.24</v>
      </c>
    </row>
    <row r="3015" spans="1:9" ht="15" customHeight="1" x14ac:dyDescent="0.3">
      <c r="A3015" s="21" t="s">
        <v>3316</v>
      </c>
      <c r="B3015" s="21">
        <v>2024</v>
      </c>
      <c r="C3015" s="21">
        <v>10</v>
      </c>
      <c r="D3015" s="21">
        <v>22</v>
      </c>
      <c r="E3015" s="21" t="s">
        <v>303</v>
      </c>
      <c r="F3015" s="21">
        <v>0</v>
      </c>
      <c r="G3015" s="21">
        <v>598.29</v>
      </c>
      <c r="H3015" s="21">
        <v>20475.84</v>
      </c>
      <c r="I3015" s="21">
        <v>342.24</v>
      </c>
    </row>
    <row r="3016" spans="1:9" ht="15" customHeight="1" x14ac:dyDescent="0.3">
      <c r="A3016" s="21" t="s">
        <v>3317</v>
      </c>
      <c r="B3016" s="21">
        <v>2024</v>
      </c>
      <c r="C3016" s="21">
        <v>10</v>
      </c>
      <c r="D3016" s="21">
        <v>23</v>
      </c>
      <c r="E3016" s="21" t="s">
        <v>307</v>
      </c>
      <c r="F3016" s="21">
        <v>0</v>
      </c>
      <c r="G3016" s="21">
        <v>564.89</v>
      </c>
      <c r="H3016" s="21">
        <v>19332.7</v>
      </c>
      <c r="I3016" s="21">
        <v>342.24</v>
      </c>
    </row>
    <row r="3017" spans="1:9" ht="15" customHeight="1" x14ac:dyDescent="0.3">
      <c r="A3017" s="21" t="s">
        <v>3318</v>
      </c>
      <c r="B3017" s="21">
        <v>2024</v>
      </c>
      <c r="C3017" s="21">
        <v>10</v>
      </c>
      <c r="D3017" s="21">
        <v>24</v>
      </c>
      <c r="E3017" s="21" t="s">
        <v>310</v>
      </c>
      <c r="F3017" s="21">
        <v>0</v>
      </c>
      <c r="G3017" s="21">
        <v>597.04</v>
      </c>
      <c r="H3017" s="21">
        <v>20433.240000000002</v>
      </c>
      <c r="I3017" s="21">
        <v>342.24</v>
      </c>
    </row>
    <row r="3018" spans="1:9" ht="15" customHeight="1" x14ac:dyDescent="0.3">
      <c r="A3018" s="21" t="s">
        <v>3319</v>
      </c>
      <c r="B3018" s="21">
        <v>2024</v>
      </c>
      <c r="C3018" s="21">
        <v>10</v>
      </c>
      <c r="D3018" s="21">
        <v>25</v>
      </c>
      <c r="E3018" s="21" t="s">
        <v>313</v>
      </c>
      <c r="F3018" s="21">
        <v>0</v>
      </c>
      <c r="G3018" s="21">
        <v>608.23</v>
      </c>
      <c r="H3018" s="21">
        <v>20815.89</v>
      </c>
      <c r="I3018" s="21">
        <v>342.24</v>
      </c>
    </row>
    <row r="3019" spans="1:9" ht="15" customHeight="1" x14ac:dyDescent="0.3">
      <c r="A3019" s="21" t="s">
        <v>3320</v>
      </c>
      <c r="B3019" s="21">
        <v>2024</v>
      </c>
      <c r="C3019" s="21">
        <v>10</v>
      </c>
      <c r="D3019" s="21">
        <v>26</v>
      </c>
      <c r="E3019" s="21" t="s">
        <v>316</v>
      </c>
      <c r="F3019" s="21">
        <v>1</v>
      </c>
      <c r="G3019" s="21">
        <v>472.1</v>
      </c>
      <c r="H3019" s="21">
        <v>16157.08</v>
      </c>
      <c r="I3019" s="21">
        <v>342.24</v>
      </c>
    </row>
    <row r="3020" spans="1:9" ht="15" customHeight="1" x14ac:dyDescent="0.3">
      <c r="A3020" s="21" t="s">
        <v>3321</v>
      </c>
      <c r="B3020" s="21">
        <v>2024</v>
      </c>
      <c r="C3020" s="21">
        <v>10</v>
      </c>
      <c r="D3020" s="21">
        <v>27</v>
      </c>
      <c r="E3020" s="21" t="s">
        <v>319</v>
      </c>
      <c r="F3020" s="21">
        <v>1</v>
      </c>
      <c r="G3020" s="21">
        <v>447.16</v>
      </c>
      <c r="H3020" s="21">
        <v>15303.63</v>
      </c>
      <c r="I3020" s="21">
        <v>342.24</v>
      </c>
    </row>
    <row r="3021" spans="1:9" ht="15" customHeight="1" x14ac:dyDescent="0.3">
      <c r="A3021" s="21" t="s">
        <v>3322</v>
      </c>
      <c r="B3021" s="21">
        <v>2024</v>
      </c>
      <c r="C3021" s="21">
        <v>10</v>
      </c>
      <c r="D3021" s="21">
        <v>28</v>
      </c>
      <c r="E3021" s="21" t="s">
        <v>299</v>
      </c>
      <c r="F3021" s="21">
        <v>0</v>
      </c>
      <c r="G3021" s="21">
        <v>560.21</v>
      </c>
      <c r="H3021" s="21">
        <v>19172.71</v>
      </c>
      <c r="I3021" s="21">
        <v>342.24</v>
      </c>
    </row>
    <row r="3022" spans="1:9" ht="15" customHeight="1" x14ac:dyDescent="0.3">
      <c r="A3022" s="21" t="s">
        <v>3323</v>
      </c>
      <c r="B3022" s="21">
        <v>2024</v>
      </c>
      <c r="C3022" s="21">
        <v>10</v>
      </c>
      <c r="D3022" s="21">
        <v>29</v>
      </c>
      <c r="E3022" s="21" t="s">
        <v>303</v>
      </c>
      <c r="F3022" s="21">
        <v>0</v>
      </c>
      <c r="G3022" s="21">
        <v>556.25</v>
      </c>
      <c r="H3022" s="21">
        <v>19036.919999999998</v>
      </c>
      <c r="I3022" s="21">
        <v>342.24</v>
      </c>
    </row>
    <row r="3023" spans="1:9" ht="15" customHeight="1" x14ac:dyDescent="0.3">
      <c r="A3023" s="21" t="s">
        <v>3324</v>
      </c>
      <c r="B3023" s="21">
        <v>2024</v>
      </c>
      <c r="C3023" s="21">
        <v>10</v>
      </c>
      <c r="D3023" s="21">
        <v>30</v>
      </c>
      <c r="E3023" s="21" t="s">
        <v>307</v>
      </c>
      <c r="F3023" s="21">
        <v>0</v>
      </c>
      <c r="G3023" s="21">
        <v>591.46</v>
      </c>
      <c r="H3023" s="21">
        <v>20241.98</v>
      </c>
      <c r="I3023" s="21">
        <v>342.24</v>
      </c>
    </row>
    <row r="3024" spans="1:9" ht="15" customHeight="1" x14ac:dyDescent="0.3">
      <c r="A3024" s="21" t="s">
        <v>3325</v>
      </c>
      <c r="B3024" s="21">
        <v>2024</v>
      </c>
      <c r="C3024" s="21">
        <v>10</v>
      </c>
      <c r="D3024" s="21">
        <v>31</v>
      </c>
      <c r="E3024" s="21" t="s">
        <v>310</v>
      </c>
      <c r="F3024" s="21">
        <v>0</v>
      </c>
      <c r="G3024" s="21">
        <v>589.42999999999995</v>
      </c>
      <c r="H3024" s="21">
        <v>20172.53</v>
      </c>
      <c r="I3024" s="21">
        <v>342.24</v>
      </c>
    </row>
    <row r="3025" spans="1:9" ht="15" customHeight="1" x14ac:dyDescent="0.3">
      <c r="A3025" s="21" t="s">
        <v>197</v>
      </c>
      <c r="B3025" s="21">
        <v>2024</v>
      </c>
      <c r="C3025" s="21">
        <v>11</v>
      </c>
      <c r="D3025" s="21">
        <v>1</v>
      </c>
      <c r="E3025" s="21" t="s">
        <v>313</v>
      </c>
      <c r="F3025" s="21">
        <v>0</v>
      </c>
      <c r="G3025" s="21">
        <v>630.77</v>
      </c>
      <c r="H3025" s="21">
        <v>21596.07</v>
      </c>
      <c r="I3025" s="21">
        <v>342.38</v>
      </c>
    </row>
    <row r="3026" spans="1:9" ht="15" customHeight="1" x14ac:dyDescent="0.3">
      <c r="A3026" s="21" t="s">
        <v>3326</v>
      </c>
      <c r="B3026" s="21">
        <v>2024</v>
      </c>
      <c r="C3026" s="21">
        <v>11</v>
      </c>
      <c r="D3026" s="21">
        <v>2</v>
      </c>
      <c r="E3026" s="21" t="s">
        <v>316</v>
      </c>
      <c r="F3026" s="21">
        <v>1</v>
      </c>
      <c r="G3026" s="21">
        <v>523.11</v>
      </c>
      <c r="H3026" s="21">
        <v>17910.169999999998</v>
      </c>
      <c r="I3026" s="21">
        <v>342.38</v>
      </c>
    </row>
    <row r="3027" spans="1:9" ht="15" customHeight="1" x14ac:dyDescent="0.3">
      <c r="A3027" s="21" t="s">
        <v>3327</v>
      </c>
      <c r="B3027" s="21">
        <v>2024</v>
      </c>
      <c r="C3027" s="21">
        <v>11</v>
      </c>
      <c r="D3027" s="21">
        <v>3</v>
      </c>
      <c r="E3027" s="21" t="s">
        <v>319</v>
      </c>
      <c r="F3027" s="21">
        <v>1</v>
      </c>
      <c r="G3027" s="21">
        <v>415.27</v>
      </c>
      <c r="H3027" s="21">
        <v>14217.85</v>
      </c>
      <c r="I3027" s="21">
        <v>342.38</v>
      </c>
    </row>
    <row r="3028" spans="1:9" ht="15" customHeight="1" x14ac:dyDescent="0.3">
      <c r="A3028" s="21" t="s">
        <v>3328</v>
      </c>
      <c r="B3028" s="21">
        <v>2024</v>
      </c>
      <c r="C3028" s="21">
        <v>11</v>
      </c>
      <c r="D3028" s="21">
        <v>4</v>
      </c>
      <c r="E3028" s="21" t="s">
        <v>299</v>
      </c>
      <c r="F3028" s="21">
        <v>0</v>
      </c>
      <c r="G3028" s="21">
        <v>498.18</v>
      </c>
      <c r="H3028" s="21">
        <v>17056.68</v>
      </c>
      <c r="I3028" s="21">
        <v>342.38</v>
      </c>
    </row>
    <row r="3029" spans="1:9" ht="15" customHeight="1" x14ac:dyDescent="0.3">
      <c r="A3029" s="21" t="s">
        <v>3329</v>
      </c>
      <c r="B3029" s="21">
        <v>2024</v>
      </c>
      <c r="C3029" s="21">
        <v>11</v>
      </c>
      <c r="D3029" s="21">
        <v>5</v>
      </c>
      <c r="E3029" s="21" t="s">
        <v>303</v>
      </c>
      <c r="F3029" s="21">
        <v>0</v>
      </c>
      <c r="G3029" s="21">
        <v>509.25</v>
      </c>
      <c r="H3029" s="21">
        <v>17435.439999999999</v>
      </c>
      <c r="I3029" s="21">
        <v>342.37</v>
      </c>
    </row>
    <row r="3030" spans="1:9" ht="15" customHeight="1" x14ac:dyDescent="0.3">
      <c r="A3030" s="21" t="s">
        <v>3330</v>
      </c>
      <c r="B3030" s="21">
        <v>2024</v>
      </c>
      <c r="C3030" s="21">
        <v>11</v>
      </c>
      <c r="D3030" s="21">
        <v>6</v>
      </c>
      <c r="E3030" s="21" t="s">
        <v>307</v>
      </c>
      <c r="F3030" s="21">
        <v>0</v>
      </c>
      <c r="G3030" s="21">
        <v>524.78</v>
      </c>
      <c r="H3030" s="21">
        <v>17967.22</v>
      </c>
      <c r="I3030" s="21">
        <v>342.38</v>
      </c>
    </row>
    <row r="3031" spans="1:9" ht="15" customHeight="1" x14ac:dyDescent="0.3">
      <c r="A3031" s="21" t="s">
        <v>3331</v>
      </c>
      <c r="B3031" s="21">
        <v>2024</v>
      </c>
      <c r="C3031" s="21">
        <v>11</v>
      </c>
      <c r="D3031" s="21">
        <v>7</v>
      </c>
      <c r="E3031" s="21" t="s">
        <v>310</v>
      </c>
      <c r="F3031" s="21">
        <v>0</v>
      </c>
      <c r="G3031" s="21">
        <v>534.82000000000005</v>
      </c>
      <c r="H3031" s="21">
        <v>18311.09</v>
      </c>
      <c r="I3031" s="21">
        <v>342.38</v>
      </c>
    </row>
    <row r="3032" spans="1:9" ht="15" customHeight="1" x14ac:dyDescent="0.3">
      <c r="A3032" s="21" t="s">
        <v>3332</v>
      </c>
      <c r="B3032" s="21">
        <v>2024</v>
      </c>
      <c r="C3032" s="21">
        <v>11</v>
      </c>
      <c r="D3032" s="21">
        <v>8</v>
      </c>
      <c r="E3032" s="21" t="s">
        <v>313</v>
      </c>
      <c r="F3032" s="21">
        <v>0</v>
      </c>
      <c r="G3032" s="21">
        <v>550.36</v>
      </c>
      <c r="H3032" s="21">
        <v>18843.05</v>
      </c>
      <c r="I3032" s="21">
        <v>342.38</v>
      </c>
    </row>
    <row r="3033" spans="1:9" ht="15" customHeight="1" x14ac:dyDescent="0.3">
      <c r="A3033" s="21" t="s">
        <v>3333</v>
      </c>
      <c r="B3033" s="21">
        <v>2024</v>
      </c>
      <c r="C3033" s="21">
        <v>11</v>
      </c>
      <c r="D3033" s="21">
        <v>9</v>
      </c>
      <c r="E3033" s="21" t="s">
        <v>316</v>
      </c>
      <c r="F3033" s="21">
        <v>1</v>
      </c>
      <c r="G3033" s="21">
        <v>432.43</v>
      </c>
      <c r="H3033" s="21">
        <v>14805.31</v>
      </c>
      <c r="I3033" s="21">
        <v>342.37</v>
      </c>
    </row>
    <row r="3034" spans="1:9" ht="15" customHeight="1" x14ac:dyDescent="0.3">
      <c r="A3034" s="21" t="s">
        <v>3334</v>
      </c>
      <c r="B3034" s="21">
        <v>2024</v>
      </c>
      <c r="C3034" s="21">
        <v>11</v>
      </c>
      <c r="D3034" s="21">
        <v>10</v>
      </c>
      <c r="E3034" s="21" t="s">
        <v>319</v>
      </c>
      <c r="F3034" s="21">
        <v>1</v>
      </c>
      <c r="G3034" s="21">
        <v>456.67</v>
      </c>
      <c r="H3034" s="21">
        <v>15635.31</v>
      </c>
      <c r="I3034" s="21">
        <v>342.38</v>
      </c>
    </row>
    <row r="3035" spans="1:9" ht="15" customHeight="1" x14ac:dyDescent="0.3">
      <c r="A3035" s="21" t="s">
        <v>3335</v>
      </c>
      <c r="B3035" s="21">
        <v>2024</v>
      </c>
      <c r="C3035" s="21">
        <v>11</v>
      </c>
      <c r="D3035" s="21">
        <v>11</v>
      </c>
      <c r="E3035" s="21" t="s">
        <v>299</v>
      </c>
      <c r="F3035" s="21">
        <v>0</v>
      </c>
      <c r="G3035" s="21">
        <v>513.09</v>
      </c>
      <c r="H3035" s="21">
        <v>17566.990000000002</v>
      </c>
      <c r="I3035" s="21">
        <v>342.38</v>
      </c>
    </row>
    <row r="3036" spans="1:9" ht="15" customHeight="1" x14ac:dyDescent="0.3">
      <c r="A3036" s="21" t="s">
        <v>3336</v>
      </c>
      <c r="B3036" s="21">
        <v>2024</v>
      </c>
      <c r="C3036" s="21">
        <v>11</v>
      </c>
      <c r="D3036" s="21">
        <v>12</v>
      </c>
      <c r="E3036" s="21" t="s">
        <v>303</v>
      </c>
      <c r="F3036" s="21">
        <v>0</v>
      </c>
      <c r="G3036" s="21">
        <v>510.22</v>
      </c>
      <c r="H3036" s="21">
        <v>17468.66</v>
      </c>
      <c r="I3036" s="21">
        <v>342.38</v>
      </c>
    </row>
    <row r="3037" spans="1:9" ht="15" customHeight="1" x14ac:dyDescent="0.3">
      <c r="A3037" s="21" t="s">
        <v>3337</v>
      </c>
      <c r="B3037" s="21">
        <v>2024</v>
      </c>
      <c r="C3037" s="21">
        <v>11</v>
      </c>
      <c r="D3037" s="21">
        <v>13</v>
      </c>
      <c r="E3037" s="21" t="s">
        <v>307</v>
      </c>
      <c r="F3037" s="21">
        <v>0</v>
      </c>
      <c r="G3037" s="21">
        <v>519.17999999999995</v>
      </c>
      <c r="H3037" s="21">
        <v>17775.64</v>
      </c>
      <c r="I3037" s="21">
        <v>342.38</v>
      </c>
    </row>
    <row r="3038" spans="1:9" ht="15" customHeight="1" x14ac:dyDescent="0.3">
      <c r="A3038" s="21" t="s">
        <v>3338</v>
      </c>
      <c r="B3038" s="21">
        <v>2024</v>
      </c>
      <c r="C3038" s="21">
        <v>11</v>
      </c>
      <c r="D3038" s="21">
        <v>14</v>
      </c>
      <c r="E3038" s="21" t="s">
        <v>310</v>
      </c>
      <c r="F3038" s="21">
        <v>0</v>
      </c>
      <c r="G3038" s="21">
        <v>523.19000000000005</v>
      </c>
      <c r="H3038" s="21">
        <v>17912.86</v>
      </c>
      <c r="I3038" s="21">
        <v>342.38</v>
      </c>
    </row>
    <row r="3039" spans="1:9" ht="15" customHeight="1" x14ac:dyDescent="0.3">
      <c r="A3039" s="21" t="s">
        <v>3339</v>
      </c>
      <c r="B3039" s="21">
        <v>2024</v>
      </c>
      <c r="C3039" s="21">
        <v>11</v>
      </c>
      <c r="D3039" s="21">
        <v>15</v>
      </c>
      <c r="E3039" s="21" t="s">
        <v>313</v>
      </c>
      <c r="F3039" s="21">
        <v>0</v>
      </c>
      <c r="G3039" s="21">
        <v>604.6</v>
      </c>
      <c r="H3039" s="21">
        <v>20700.150000000001</v>
      </c>
      <c r="I3039" s="21">
        <v>342.38</v>
      </c>
    </row>
    <row r="3040" spans="1:9" ht="15" customHeight="1" x14ac:dyDescent="0.3">
      <c r="A3040" s="21" t="s">
        <v>3340</v>
      </c>
      <c r="B3040" s="21">
        <v>2024</v>
      </c>
      <c r="C3040" s="21">
        <v>11</v>
      </c>
      <c r="D3040" s="21">
        <v>16</v>
      </c>
      <c r="E3040" s="21" t="s">
        <v>316</v>
      </c>
      <c r="F3040" s="21">
        <v>1</v>
      </c>
      <c r="G3040" s="21">
        <v>483.26</v>
      </c>
      <c r="H3040" s="21">
        <v>16545.900000000001</v>
      </c>
      <c r="I3040" s="21">
        <v>342.38</v>
      </c>
    </row>
    <row r="3041" spans="1:9" ht="15" customHeight="1" x14ac:dyDescent="0.3">
      <c r="A3041" s="21" t="s">
        <v>3341</v>
      </c>
      <c r="B3041" s="21">
        <v>2024</v>
      </c>
      <c r="C3041" s="21">
        <v>11</v>
      </c>
      <c r="D3041" s="21">
        <v>17</v>
      </c>
      <c r="E3041" s="21" t="s">
        <v>319</v>
      </c>
      <c r="F3041" s="21">
        <v>1</v>
      </c>
      <c r="G3041" s="21">
        <v>440.29</v>
      </c>
      <c r="H3041" s="21">
        <v>15074.46</v>
      </c>
      <c r="I3041" s="21">
        <v>342.38</v>
      </c>
    </row>
    <row r="3042" spans="1:9" ht="15" customHeight="1" x14ac:dyDescent="0.3">
      <c r="A3042" s="21" t="s">
        <v>3342</v>
      </c>
      <c r="B3042" s="21">
        <v>2024</v>
      </c>
      <c r="C3042" s="21">
        <v>11</v>
      </c>
      <c r="D3042" s="21">
        <v>18</v>
      </c>
      <c r="E3042" s="21" t="s">
        <v>299</v>
      </c>
      <c r="F3042" s="21">
        <v>0</v>
      </c>
      <c r="G3042" s="21">
        <v>585.04</v>
      </c>
      <c r="H3042" s="21">
        <v>20030.310000000001</v>
      </c>
      <c r="I3042" s="21">
        <v>342.38</v>
      </c>
    </row>
    <row r="3043" spans="1:9" ht="15" customHeight="1" x14ac:dyDescent="0.3">
      <c r="A3043" s="21" t="s">
        <v>3343</v>
      </c>
      <c r="B3043" s="21">
        <v>2024</v>
      </c>
      <c r="C3043" s="21">
        <v>11</v>
      </c>
      <c r="D3043" s="21">
        <v>19</v>
      </c>
      <c r="E3043" s="21" t="s">
        <v>303</v>
      </c>
      <c r="F3043" s="21">
        <v>0</v>
      </c>
      <c r="G3043" s="21">
        <v>575.58000000000004</v>
      </c>
      <c r="H3043" s="21">
        <v>19706.650000000001</v>
      </c>
      <c r="I3043" s="21">
        <v>342.38</v>
      </c>
    </row>
    <row r="3044" spans="1:9" ht="15" customHeight="1" x14ac:dyDescent="0.3">
      <c r="A3044" s="21" t="s">
        <v>3344</v>
      </c>
      <c r="B3044" s="21">
        <v>2024</v>
      </c>
      <c r="C3044" s="21">
        <v>11</v>
      </c>
      <c r="D3044" s="21">
        <v>20</v>
      </c>
      <c r="E3044" s="21" t="s">
        <v>307</v>
      </c>
      <c r="F3044" s="21">
        <v>0</v>
      </c>
      <c r="G3044" s="21">
        <v>551.12</v>
      </c>
      <c r="H3044" s="21">
        <v>18869.2</v>
      </c>
      <c r="I3044" s="21">
        <v>342.38</v>
      </c>
    </row>
    <row r="3045" spans="1:9" ht="15" customHeight="1" x14ac:dyDescent="0.3">
      <c r="A3045" s="21" t="s">
        <v>3345</v>
      </c>
      <c r="B3045" s="21">
        <v>2024</v>
      </c>
      <c r="C3045" s="21">
        <v>11</v>
      </c>
      <c r="D3045" s="21">
        <v>21</v>
      </c>
      <c r="E3045" s="21" t="s">
        <v>310</v>
      </c>
      <c r="F3045" s="21">
        <v>0</v>
      </c>
      <c r="G3045" s="21">
        <v>568.86</v>
      </c>
      <c r="H3045" s="21">
        <v>19476.54</v>
      </c>
      <c r="I3045" s="21">
        <v>342.38</v>
      </c>
    </row>
    <row r="3046" spans="1:9" ht="15" customHeight="1" x14ac:dyDescent="0.3">
      <c r="A3046" s="21" t="s">
        <v>3346</v>
      </c>
      <c r="B3046" s="21">
        <v>2024</v>
      </c>
      <c r="C3046" s="21">
        <v>11</v>
      </c>
      <c r="D3046" s="21">
        <v>22</v>
      </c>
      <c r="E3046" s="21" t="s">
        <v>313</v>
      </c>
      <c r="F3046" s="21">
        <v>0</v>
      </c>
      <c r="G3046" s="21">
        <v>620.9</v>
      </c>
      <c r="H3046" s="21">
        <v>21258.15</v>
      </c>
      <c r="I3046" s="21">
        <v>342.38</v>
      </c>
    </row>
    <row r="3047" spans="1:9" ht="15" customHeight="1" x14ac:dyDescent="0.3">
      <c r="A3047" s="21" t="s">
        <v>3347</v>
      </c>
      <c r="B3047" s="21">
        <v>2024</v>
      </c>
      <c r="C3047" s="21">
        <v>11</v>
      </c>
      <c r="D3047" s="21">
        <v>23</v>
      </c>
      <c r="E3047" s="21" t="s">
        <v>316</v>
      </c>
      <c r="F3047" s="21">
        <v>1</v>
      </c>
      <c r="G3047" s="21">
        <v>476.84</v>
      </c>
      <c r="H3047" s="21">
        <v>16326.02</v>
      </c>
      <c r="I3047" s="21">
        <v>342.38</v>
      </c>
    </row>
    <row r="3048" spans="1:9" ht="15" customHeight="1" x14ac:dyDescent="0.3">
      <c r="A3048" s="21" t="s">
        <v>3348</v>
      </c>
      <c r="B3048" s="21">
        <v>2024</v>
      </c>
      <c r="C3048" s="21">
        <v>11</v>
      </c>
      <c r="D3048" s="21">
        <v>24</v>
      </c>
      <c r="E3048" s="21" t="s">
        <v>319</v>
      </c>
      <c r="F3048" s="21">
        <v>1</v>
      </c>
      <c r="G3048" s="21">
        <v>485.58</v>
      </c>
      <c r="H3048" s="21">
        <v>16625.240000000002</v>
      </c>
      <c r="I3048" s="21">
        <v>342.38</v>
      </c>
    </row>
    <row r="3049" spans="1:9" ht="15" customHeight="1" x14ac:dyDescent="0.3">
      <c r="A3049" s="21" t="s">
        <v>3349</v>
      </c>
      <c r="B3049" s="21">
        <v>2024</v>
      </c>
      <c r="C3049" s="21">
        <v>11</v>
      </c>
      <c r="D3049" s="21">
        <v>25</v>
      </c>
      <c r="E3049" s="21" t="s">
        <v>299</v>
      </c>
      <c r="F3049" s="21">
        <v>0</v>
      </c>
      <c r="G3049" s="21">
        <v>579.85</v>
      </c>
      <c r="H3049" s="21">
        <v>19852.71</v>
      </c>
      <c r="I3049" s="21">
        <v>342.38</v>
      </c>
    </row>
    <row r="3050" spans="1:9" ht="15" customHeight="1" x14ac:dyDescent="0.3">
      <c r="A3050" s="21" t="s">
        <v>3350</v>
      </c>
      <c r="B3050" s="21">
        <v>2024</v>
      </c>
      <c r="C3050" s="21">
        <v>11</v>
      </c>
      <c r="D3050" s="21">
        <v>26</v>
      </c>
      <c r="E3050" s="21" t="s">
        <v>303</v>
      </c>
      <c r="F3050" s="21">
        <v>0</v>
      </c>
      <c r="G3050" s="21">
        <v>513.03</v>
      </c>
      <c r="H3050" s="21">
        <v>17565.11</v>
      </c>
      <c r="I3050" s="21">
        <v>342.38</v>
      </c>
    </row>
    <row r="3051" spans="1:9" ht="15" customHeight="1" x14ac:dyDescent="0.3">
      <c r="A3051" s="21" t="s">
        <v>3351</v>
      </c>
      <c r="B3051" s="21">
        <v>2024</v>
      </c>
      <c r="C3051" s="21">
        <v>11</v>
      </c>
      <c r="D3051" s="21">
        <v>27</v>
      </c>
      <c r="E3051" s="21" t="s">
        <v>307</v>
      </c>
      <c r="F3051" s="21">
        <v>0</v>
      </c>
      <c r="G3051" s="21">
        <v>525.67999999999995</v>
      </c>
      <c r="H3051" s="21">
        <v>17998.23</v>
      </c>
      <c r="I3051" s="21">
        <v>342.38</v>
      </c>
    </row>
    <row r="3052" spans="1:9" ht="15" customHeight="1" x14ac:dyDescent="0.3">
      <c r="A3052" s="21" t="s">
        <v>3352</v>
      </c>
      <c r="B3052" s="21">
        <v>2024</v>
      </c>
      <c r="C3052" s="21">
        <v>11</v>
      </c>
      <c r="D3052" s="21">
        <v>28</v>
      </c>
      <c r="E3052" s="21" t="s">
        <v>310</v>
      </c>
      <c r="F3052" s="21">
        <v>0</v>
      </c>
      <c r="G3052" s="21">
        <v>518.66</v>
      </c>
      <c r="H3052" s="21">
        <v>17757.900000000001</v>
      </c>
      <c r="I3052" s="21">
        <v>342.38</v>
      </c>
    </row>
    <row r="3053" spans="1:9" ht="15" customHeight="1" x14ac:dyDescent="0.3">
      <c r="A3053" s="21" t="s">
        <v>3353</v>
      </c>
      <c r="B3053" s="21">
        <v>2024</v>
      </c>
      <c r="C3053" s="21">
        <v>11</v>
      </c>
      <c r="D3053" s="21">
        <v>29</v>
      </c>
      <c r="E3053" s="21" t="s">
        <v>313</v>
      </c>
      <c r="F3053" s="21">
        <v>0</v>
      </c>
      <c r="G3053" s="21">
        <v>630.72</v>
      </c>
      <c r="H3053" s="21">
        <v>21594.28</v>
      </c>
      <c r="I3053" s="21">
        <v>342.38</v>
      </c>
    </row>
    <row r="3054" spans="1:9" ht="15" customHeight="1" x14ac:dyDescent="0.3">
      <c r="A3054" s="21" t="s">
        <v>3354</v>
      </c>
      <c r="B3054" s="21">
        <v>2024</v>
      </c>
      <c r="C3054" s="21">
        <v>11</v>
      </c>
      <c r="D3054" s="21">
        <v>30</v>
      </c>
      <c r="E3054" s="21" t="s">
        <v>316</v>
      </c>
      <c r="F3054" s="21">
        <v>1</v>
      </c>
      <c r="G3054" s="21">
        <v>508.61</v>
      </c>
      <c r="H3054" s="21">
        <v>17413.71</v>
      </c>
      <c r="I3054" s="21">
        <v>342.38</v>
      </c>
    </row>
    <row r="3055" spans="1:9" ht="15" customHeight="1" x14ac:dyDescent="0.3">
      <c r="A3055" s="21" t="s">
        <v>198</v>
      </c>
      <c r="B3055" s="21">
        <v>2024</v>
      </c>
      <c r="C3055" s="21">
        <v>12</v>
      </c>
      <c r="D3055" s="21">
        <v>1</v>
      </c>
      <c r="E3055" s="21" t="s">
        <v>319</v>
      </c>
      <c r="F3055" s="21">
        <v>1</v>
      </c>
      <c r="G3055" s="21">
        <v>540.74</v>
      </c>
      <c r="H3055" s="21">
        <v>18516.25</v>
      </c>
      <c r="I3055" s="21">
        <v>342.42</v>
      </c>
    </row>
    <row r="3056" spans="1:9" ht="15" customHeight="1" x14ac:dyDescent="0.3">
      <c r="A3056" s="21" t="s">
        <v>3355</v>
      </c>
      <c r="B3056" s="21">
        <v>2024</v>
      </c>
      <c r="C3056" s="21">
        <v>12</v>
      </c>
      <c r="D3056" s="21">
        <v>2</v>
      </c>
      <c r="E3056" s="21" t="s">
        <v>299</v>
      </c>
      <c r="F3056" s="21">
        <v>0</v>
      </c>
      <c r="G3056" s="21">
        <v>613.38</v>
      </c>
      <c r="H3056" s="21">
        <v>21003.61</v>
      </c>
      <c r="I3056" s="21">
        <v>342.42</v>
      </c>
    </row>
    <row r="3057" spans="1:9" ht="15" customHeight="1" x14ac:dyDescent="0.3">
      <c r="A3057" s="21" t="s">
        <v>3356</v>
      </c>
      <c r="B3057" s="21">
        <v>2024</v>
      </c>
      <c r="C3057" s="21">
        <v>12</v>
      </c>
      <c r="D3057" s="21">
        <v>3</v>
      </c>
      <c r="E3057" s="21" t="s">
        <v>303</v>
      </c>
      <c r="F3057" s="21">
        <v>0</v>
      </c>
      <c r="G3057" s="21">
        <v>558.34</v>
      </c>
      <c r="H3057" s="21">
        <v>19118.919999999998</v>
      </c>
      <c r="I3057" s="21">
        <v>342.42</v>
      </c>
    </row>
    <row r="3058" spans="1:9" ht="15" customHeight="1" x14ac:dyDescent="0.3">
      <c r="A3058" s="21" t="s">
        <v>3357</v>
      </c>
      <c r="B3058" s="21">
        <v>2024</v>
      </c>
      <c r="C3058" s="21">
        <v>12</v>
      </c>
      <c r="D3058" s="21">
        <v>4</v>
      </c>
      <c r="E3058" s="21" t="s">
        <v>307</v>
      </c>
      <c r="F3058" s="21">
        <v>0</v>
      </c>
      <c r="G3058" s="21">
        <v>534.14</v>
      </c>
      <c r="H3058" s="21">
        <v>18290.07</v>
      </c>
      <c r="I3058" s="21">
        <v>342.42</v>
      </c>
    </row>
    <row r="3059" spans="1:9" ht="15" customHeight="1" x14ac:dyDescent="0.3">
      <c r="A3059" s="21" t="s">
        <v>3358</v>
      </c>
      <c r="B3059" s="21">
        <v>2024</v>
      </c>
      <c r="C3059" s="21">
        <v>12</v>
      </c>
      <c r="D3059" s="21">
        <v>5</v>
      </c>
      <c r="E3059" s="21" t="s">
        <v>310</v>
      </c>
      <c r="F3059" s="21">
        <v>0</v>
      </c>
      <c r="G3059" s="21">
        <v>546.47</v>
      </c>
      <c r="H3059" s="21">
        <v>18712.3</v>
      </c>
      <c r="I3059" s="21">
        <v>342.42</v>
      </c>
    </row>
    <row r="3060" spans="1:9" ht="15" customHeight="1" x14ac:dyDescent="0.3">
      <c r="A3060" s="21" t="s">
        <v>3359</v>
      </c>
      <c r="B3060" s="21">
        <v>2024</v>
      </c>
      <c r="C3060" s="21">
        <v>12</v>
      </c>
      <c r="D3060" s="21">
        <v>6</v>
      </c>
      <c r="E3060" s="21" t="s">
        <v>313</v>
      </c>
      <c r="F3060" s="21">
        <v>0</v>
      </c>
      <c r="G3060" s="21">
        <v>602.13</v>
      </c>
      <c r="H3060" s="21">
        <v>20618.189999999999</v>
      </c>
      <c r="I3060" s="21">
        <v>342.42</v>
      </c>
    </row>
    <row r="3061" spans="1:9" ht="15" customHeight="1" x14ac:dyDescent="0.3">
      <c r="A3061" s="21" t="s">
        <v>3360</v>
      </c>
      <c r="B3061" s="21">
        <v>2024</v>
      </c>
      <c r="C3061" s="21">
        <v>12</v>
      </c>
      <c r="D3061" s="21">
        <v>7</v>
      </c>
      <c r="E3061" s="21" t="s">
        <v>316</v>
      </c>
      <c r="F3061" s="21">
        <v>1</v>
      </c>
      <c r="G3061" s="21">
        <v>436.44</v>
      </c>
      <c r="H3061" s="21">
        <v>14944.67</v>
      </c>
      <c r="I3061" s="21">
        <v>342.42</v>
      </c>
    </row>
    <row r="3062" spans="1:9" ht="15" customHeight="1" x14ac:dyDescent="0.3">
      <c r="A3062" s="21" t="s">
        <v>3361</v>
      </c>
      <c r="B3062" s="21">
        <v>2024</v>
      </c>
      <c r="C3062" s="21">
        <v>12</v>
      </c>
      <c r="D3062" s="21">
        <v>8</v>
      </c>
      <c r="E3062" s="21" t="s">
        <v>319</v>
      </c>
      <c r="F3062" s="21">
        <v>1</v>
      </c>
      <c r="G3062" s="21">
        <v>447.16</v>
      </c>
      <c r="H3062" s="21">
        <v>15311.75</v>
      </c>
      <c r="I3062" s="21">
        <v>342.42</v>
      </c>
    </row>
    <row r="3063" spans="1:9" ht="15" customHeight="1" x14ac:dyDescent="0.3">
      <c r="A3063" s="21" t="s">
        <v>3362</v>
      </c>
      <c r="B3063" s="21">
        <v>2024</v>
      </c>
      <c r="C3063" s="21">
        <v>12</v>
      </c>
      <c r="D3063" s="21">
        <v>9</v>
      </c>
      <c r="E3063" s="21" t="s">
        <v>299</v>
      </c>
      <c r="F3063" s="21">
        <v>0</v>
      </c>
      <c r="G3063" s="21">
        <v>561.89</v>
      </c>
      <c r="H3063" s="21">
        <v>19240.330000000002</v>
      </c>
      <c r="I3063" s="21">
        <v>342.42</v>
      </c>
    </row>
    <row r="3064" spans="1:9" ht="15" customHeight="1" x14ac:dyDescent="0.3">
      <c r="A3064" s="21" t="s">
        <v>3363</v>
      </c>
      <c r="B3064" s="21">
        <v>2024</v>
      </c>
      <c r="C3064" s="21">
        <v>12</v>
      </c>
      <c r="D3064" s="21">
        <v>10</v>
      </c>
      <c r="E3064" s="21" t="s">
        <v>303</v>
      </c>
      <c r="F3064" s="21">
        <v>0</v>
      </c>
      <c r="G3064" s="21">
        <v>526.89</v>
      </c>
      <c r="H3064" s="21">
        <v>18042.02</v>
      </c>
      <c r="I3064" s="21">
        <v>342.42</v>
      </c>
    </row>
    <row r="3065" spans="1:9" ht="15" customHeight="1" x14ac:dyDescent="0.3">
      <c r="A3065" s="21" t="s">
        <v>3364</v>
      </c>
      <c r="B3065" s="21">
        <v>2024</v>
      </c>
      <c r="C3065" s="21">
        <v>12</v>
      </c>
      <c r="D3065" s="21">
        <v>11</v>
      </c>
      <c r="E3065" s="21" t="s">
        <v>307</v>
      </c>
      <c r="F3065" s="21">
        <v>0</v>
      </c>
      <c r="G3065" s="21">
        <v>567.66</v>
      </c>
      <c r="H3065" s="21">
        <v>19438.12</v>
      </c>
      <c r="I3065" s="21">
        <v>342.43</v>
      </c>
    </row>
    <row r="3066" spans="1:9" ht="15" customHeight="1" x14ac:dyDescent="0.3">
      <c r="A3066" s="21" t="s">
        <v>3365</v>
      </c>
      <c r="B3066" s="21">
        <v>2024</v>
      </c>
      <c r="C3066" s="21">
        <v>12</v>
      </c>
      <c r="D3066" s="21">
        <v>12</v>
      </c>
      <c r="E3066" s="21" t="s">
        <v>310</v>
      </c>
      <c r="F3066" s="21">
        <v>0</v>
      </c>
      <c r="G3066" s="21">
        <v>525.71</v>
      </c>
      <c r="H3066" s="21">
        <v>18001.55</v>
      </c>
      <c r="I3066" s="21">
        <v>342.42</v>
      </c>
    </row>
    <row r="3067" spans="1:9" ht="15" customHeight="1" x14ac:dyDescent="0.3">
      <c r="A3067" s="21" t="s">
        <v>3366</v>
      </c>
      <c r="B3067" s="21">
        <v>2024</v>
      </c>
      <c r="C3067" s="21">
        <v>12</v>
      </c>
      <c r="D3067" s="21">
        <v>13</v>
      </c>
      <c r="E3067" s="21" t="s">
        <v>313</v>
      </c>
      <c r="F3067" s="21">
        <v>0</v>
      </c>
      <c r="G3067" s="21">
        <v>573.75</v>
      </c>
      <c r="H3067" s="21">
        <v>19646.63</v>
      </c>
      <c r="I3067" s="21">
        <v>342.42</v>
      </c>
    </row>
    <row r="3068" spans="1:9" ht="15" customHeight="1" x14ac:dyDescent="0.3">
      <c r="A3068" s="21" t="s">
        <v>3367</v>
      </c>
      <c r="B3068" s="21">
        <v>2024</v>
      </c>
      <c r="C3068" s="21">
        <v>12</v>
      </c>
      <c r="D3068" s="21">
        <v>14</v>
      </c>
      <c r="E3068" s="21" t="s">
        <v>316</v>
      </c>
      <c r="F3068" s="21">
        <v>1</v>
      </c>
      <c r="G3068" s="21">
        <v>461.95</v>
      </c>
      <c r="H3068" s="21">
        <v>15818.28</v>
      </c>
      <c r="I3068" s="21">
        <v>342.42</v>
      </c>
    </row>
    <row r="3069" spans="1:9" ht="15" customHeight="1" x14ac:dyDescent="0.3">
      <c r="A3069" s="21" t="s">
        <v>3368</v>
      </c>
      <c r="B3069" s="21">
        <v>2024</v>
      </c>
      <c r="C3069" s="21">
        <v>12</v>
      </c>
      <c r="D3069" s="21">
        <v>15</v>
      </c>
      <c r="E3069" s="21" t="s">
        <v>319</v>
      </c>
      <c r="F3069" s="21">
        <v>1</v>
      </c>
      <c r="G3069" s="21">
        <v>439.18</v>
      </c>
      <c r="H3069" s="21">
        <v>15038.64</v>
      </c>
      <c r="I3069" s="21">
        <v>342.43</v>
      </c>
    </row>
    <row r="3070" spans="1:9" ht="15" customHeight="1" x14ac:dyDescent="0.3">
      <c r="A3070" s="21" t="s">
        <v>3369</v>
      </c>
      <c r="B3070" s="21">
        <v>2024</v>
      </c>
      <c r="C3070" s="21">
        <v>12</v>
      </c>
      <c r="D3070" s="21">
        <v>16</v>
      </c>
      <c r="E3070" s="21" t="s">
        <v>299</v>
      </c>
      <c r="F3070" s="21">
        <v>0</v>
      </c>
      <c r="G3070" s="21">
        <v>560.15</v>
      </c>
      <c r="H3070" s="21">
        <v>19180.95</v>
      </c>
      <c r="I3070" s="21">
        <v>342.43</v>
      </c>
    </row>
    <row r="3071" spans="1:9" ht="15" customHeight="1" x14ac:dyDescent="0.3">
      <c r="A3071" s="21" t="s">
        <v>3370</v>
      </c>
      <c r="B3071" s="21">
        <v>2024</v>
      </c>
      <c r="C3071" s="21">
        <v>12</v>
      </c>
      <c r="D3071" s="21">
        <v>17</v>
      </c>
      <c r="E3071" s="21" t="s">
        <v>303</v>
      </c>
      <c r="F3071" s="21">
        <v>0</v>
      </c>
      <c r="G3071" s="21">
        <v>544.72</v>
      </c>
      <c r="H3071" s="21">
        <v>18652.41</v>
      </c>
      <c r="I3071" s="21">
        <v>342.42</v>
      </c>
    </row>
    <row r="3072" spans="1:9" ht="15" customHeight="1" x14ac:dyDescent="0.3">
      <c r="A3072" s="21" t="s">
        <v>3371</v>
      </c>
      <c r="B3072" s="21">
        <v>2024</v>
      </c>
      <c r="C3072" s="21">
        <v>12</v>
      </c>
      <c r="D3072" s="21">
        <v>18</v>
      </c>
      <c r="E3072" s="21" t="s">
        <v>307</v>
      </c>
      <c r="F3072" s="21">
        <v>0</v>
      </c>
      <c r="G3072" s="21">
        <v>534.19000000000005</v>
      </c>
      <c r="H3072" s="21">
        <v>18291.95</v>
      </c>
      <c r="I3072" s="21">
        <v>342.42</v>
      </c>
    </row>
    <row r="3073" spans="1:9" ht="15" customHeight="1" x14ac:dyDescent="0.3">
      <c r="A3073" s="21" t="s">
        <v>3372</v>
      </c>
      <c r="B3073" s="21">
        <v>2024</v>
      </c>
      <c r="C3073" s="21">
        <v>12</v>
      </c>
      <c r="D3073" s="21">
        <v>19</v>
      </c>
      <c r="E3073" s="21" t="s">
        <v>310</v>
      </c>
      <c r="F3073" s="21">
        <v>0</v>
      </c>
      <c r="G3073" s="21">
        <v>538.07000000000005</v>
      </c>
      <c r="H3073" s="21">
        <v>18424.689999999999</v>
      </c>
      <c r="I3073" s="21">
        <v>342.42</v>
      </c>
    </row>
    <row r="3074" spans="1:9" ht="15" customHeight="1" x14ac:dyDescent="0.3">
      <c r="A3074" s="21" t="s">
        <v>3373</v>
      </c>
      <c r="B3074" s="21">
        <v>2024</v>
      </c>
      <c r="C3074" s="21">
        <v>12</v>
      </c>
      <c r="D3074" s="21">
        <v>20</v>
      </c>
      <c r="E3074" s="21" t="s">
        <v>313</v>
      </c>
      <c r="F3074" s="21">
        <v>0</v>
      </c>
      <c r="G3074" s="21">
        <v>574.17999999999995</v>
      </c>
      <c r="H3074" s="21">
        <v>19661.16</v>
      </c>
      <c r="I3074" s="21">
        <v>342.42</v>
      </c>
    </row>
    <row r="3075" spans="1:9" ht="15" customHeight="1" x14ac:dyDescent="0.3">
      <c r="A3075" s="21" t="s">
        <v>3374</v>
      </c>
      <c r="B3075" s="21">
        <v>2024</v>
      </c>
      <c r="C3075" s="21">
        <v>12</v>
      </c>
      <c r="D3075" s="21">
        <v>21</v>
      </c>
      <c r="E3075" s="21" t="s">
        <v>316</v>
      </c>
      <c r="F3075" s="21">
        <v>1</v>
      </c>
      <c r="G3075" s="21">
        <v>434.13</v>
      </c>
      <c r="H3075" s="21">
        <v>14865.52</v>
      </c>
      <c r="I3075" s="21">
        <v>342.42</v>
      </c>
    </row>
    <row r="3076" spans="1:9" ht="15" customHeight="1" x14ac:dyDescent="0.3">
      <c r="A3076" s="21" t="s">
        <v>3375</v>
      </c>
      <c r="B3076" s="21">
        <v>2024</v>
      </c>
      <c r="C3076" s="21">
        <v>12</v>
      </c>
      <c r="D3076" s="21">
        <v>22</v>
      </c>
      <c r="E3076" s="21" t="s">
        <v>319</v>
      </c>
      <c r="F3076" s="21">
        <v>1</v>
      </c>
      <c r="G3076" s="21">
        <v>463.85</v>
      </c>
      <c r="H3076" s="21">
        <v>15883.24</v>
      </c>
      <c r="I3076" s="21">
        <v>342.42</v>
      </c>
    </row>
    <row r="3077" spans="1:9" ht="15" customHeight="1" x14ac:dyDescent="0.3">
      <c r="A3077" s="21" t="s">
        <v>3376</v>
      </c>
      <c r="B3077" s="21">
        <v>2024</v>
      </c>
      <c r="C3077" s="21">
        <v>12</v>
      </c>
      <c r="D3077" s="21">
        <v>23</v>
      </c>
      <c r="E3077" s="21" t="s">
        <v>299</v>
      </c>
      <c r="F3077" s="21">
        <v>0</v>
      </c>
      <c r="G3077" s="21">
        <v>594.97</v>
      </c>
      <c r="H3077" s="21">
        <v>20373.02</v>
      </c>
      <c r="I3077" s="21">
        <v>342.42</v>
      </c>
    </row>
    <row r="3078" spans="1:9" ht="15" customHeight="1" x14ac:dyDescent="0.3">
      <c r="A3078" s="21" t="s">
        <v>3377</v>
      </c>
      <c r="B3078" s="21">
        <v>2024</v>
      </c>
      <c r="C3078" s="21">
        <v>12</v>
      </c>
      <c r="D3078" s="21">
        <v>24</v>
      </c>
      <c r="E3078" s="21" t="s">
        <v>303</v>
      </c>
      <c r="F3078" s="21">
        <v>0</v>
      </c>
      <c r="G3078" s="21">
        <v>539.88</v>
      </c>
      <c r="H3078" s="21">
        <v>18486.650000000001</v>
      </c>
      <c r="I3078" s="21">
        <v>342.42</v>
      </c>
    </row>
    <row r="3079" spans="1:9" ht="15" customHeight="1" x14ac:dyDescent="0.3">
      <c r="A3079" s="21" t="s">
        <v>3378</v>
      </c>
      <c r="B3079" s="21">
        <v>2024</v>
      </c>
      <c r="C3079" s="21">
        <v>12</v>
      </c>
      <c r="D3079" s="21">
        <v>25</v>
      </c>
      <c r="E3079" s="21" t="s">
        <v>307</v>
      </c>
      <c r="F3079" s="21">
        <v>0</v>
      </c>
      <c r="G3079" s="21">
        <v>543.23</v>
      </c>
      <c r="H3079" s="21">
        <v>18601.310000000001</v>
      </c>
      <c r="I3079" s="21">
        <v>342.42</v>
      </c>
    </row>
    <row r="3080" spans="1:9" ht="15" customHeight="1" x14ac:dyDescent="0.3">
      <c r="A3080" s="21" t="s">
        <v>3379</v>
      </c>
      <c r="B3080" s="21">
        <v>2024</v>
      </c>
      <c r="C3080" s="21">
        <v>12</v>
      </c>
      <c r="D3080" s="21">
        <v>26</v>
      </c>
      <c r="E3080" s="21" t="s">
        <v>310</v>
      </c>
      <c r="F3080" s="21">
        <v>0</v>
      </c>
      <c r="G3080" s="21">
        <v>550.79</v>
      </c>
      <c r="H3080" s="21">
        <v>18860.419999999998</v>
      </c>
      <c r="I3080" s="21">
        <v>342.42</v>
      </c>
    </row>
    <row r="3081" spans="1:9" ht="15" customHeight="1" x14ac:dyDescent="0.3">
      <c r="A3081" s="21" t="s">
        <v>3380</v>
      </c>
      <c r="B3081" s="21">
        <v>2024</v>
      </c>
      <c r="C3081" s="21">
        <v>12</v>
      </c>
      <c r="D3081" s="21">
        <v>27</v>
      </c>
      <c r="E3081" s="21" t="s">
        <v>313</v>
      </c>
      <c r="F3081" s="21">
        <v>0</v>
      </c>
      <c r="G3081" s="21">
        <v>562.20000000000005</v>
      </c>
      <c r="H3081" s="21">
        <v>19250.990000000002</v>
      </c>
      <c r="I3081" s="21">
        <v>342.42</v>
      </c>
    </row>
    <row r="3082" spans="1:9" ht="15" customHeight="1" x14ac:dyDescent="0.3">
      <c r="A3082" s="21" t="s">
        <v>3381</v>
      </c>
      <c r="B3082" s="21">
        <v>2024</v>
      </c>
      <c r="C3082" s="21">
        <v>12</v>
      </c>
      <c r="D3082" s="21">
        <v>28</v>
      </c>
      <c r="E3082" s="21" t="s">
        <v>316</v>
      </c>
      <c r="F3082" s="21">
        <v>1</v>
      </c>
      <c r="G3082" s="21">
        <v>486.2</v>
      </c>
      <c r="H3082" s="21">
        <v>16648.68</v>
      </c>
      <c r="I3082" s="21">
        <v>342.42</v>
      </c>
    </row>
    <row r="3083" spans="1:9" ht="15" customHeight="1" x14ac:dyDescent="0.3">
      <c r="A3083" s="21" t="s">
        <v>3382</v>
      </c>
      <c r="B3083" s="21">
        <v>2024</v>
      </c>
      <c r="C3083" s="21">
        <v>12</v>
      </c>
      <c r="D3083" s="21">
        <v>29</v>
      </c>
      <c r="E3083" s="21" t="s">
        <v>319</v>
      </c>
      <c r="F3083" s="21">
        <v>1</v>
      </c>
      <c r="G3083" s="21">
        <v>461.92</v>
      </c>
      <c r="H3083" s="21">
        <v>15817.13</v>
      </c>
      <c r="I3083" s="21">
        <v>342.42</v>
      </c>
    </row>
    <row r="3084" spans="1:9" ht="15" customHeight="1" x14ac:dyDescent="0.3">
      <c r="A3084" s="21" t="s">
        <v>3383</v>
      </c>
      <c r="B3084" s="21">
        <v>2024</v>
      </c>
      <c r="C3084" s="21">
        <v>12</v>
      </c>
      <c r="D3084" s="21">
        <v>30</v>
      </c>
      <c r="E3084" s="21" t="s">
        <v>299</v>
      </c>
      <c r="F3084" s="21">
        <v>0</v>
      </c>
      <c r="G3084" s="21">
        <v>681.92</v>
      </c>
      <c r="H3084" s="21">
        <v>23350.52</v>
      </c>
      <c r="I3084" s="21">
        <v>342.42</v>
      </c>
    </row>
    <row r="3085" spans="1:9" ht="15" customHeight="1" x14ac:dyDescent="0.3">
      <c r="A3085" s="21" t="s">
        <v>3384</v>
      </c>
      <c r="B3085" s="21">
        <v>2024</v>
      </c>
      <c r="C3085" s="21">
        <v>12</v>
      </c>
      <c r="D3085" s="21">
        <v>31</v>
      </c>
      <c r="E3085" s="21" t="s">
        <v>303</v>
      </c>
      <c r="F3085" s="21">
        <v>0</v>
      </c>
      <c r="G3085" s="21">
        <v>606.87</v>
      </c>
      <c r="H3085" s="21">
        <v>20780.66</v>
      </c>
      <c r="I3085" s="21">
        <v>342.42</v>
      </c>
    </row>
    <row r="3086" spans="1:9" ht="15" customHeight="1" x14ac:dyDescent="0.3">
      <c r="A3086" s="21" t="s">
        <v>199</v>
      </c>
      <c r="B3086" s="21">
        <v>2025</v>
      </c>
      <c r="C3086" s="21">
        <v>1</v>
      </c>
      <c r="D3086" s="21">
        <v>1</v>
      </c>
      <c r="E3086" s="21" t="s">
        <v>307</v>
      </c>
      <c r="F3086" s="21">
        <v>0</v>
      </c>
      <c r="G3086" s="21">
        <v>664.81</v>
      </c>
      <c r="H3086" s="21">
        <v>22780.03</v>
      </c>
      <c r="I3086" s="21">
        <v>342.65</v>
      </c>
    </row>
    <row r="3087" spans="1:9" ht="15" customHeight="1" x14ac:dyDescent="0.3">
      <c r="A3087" s="21" t="s">
        <v>3385</v>
      </c>
      <c r="B3087" s="21">
        <v>2025</v>
      </c>
      <c r="C3087" s="21">
        <v>1</v>
      </c>
      <c r="D3087" s="21">
        <v>2</v>
      </c>
      <c r="E3087" s="21" t="s">
        <v>310</v>
      </c>
      <c r="F3087" s="21">
        <v>0</v>
      </c>
      <c r="G3087" s="21">
        <v>645.08000000000004</v>
      </c>
      <c r="H3087" s="21">
        <v>22104.17</v>
      </c>
      <c r="I3087" s="21">
        <v>342.66</v>
      </c>
    </row>
    <row r="3088" spans="1:9" ht="15" customHeight="1" x14ac:dyDescent="0.3">
      <c r="A3088" s="21" t="s">
        <v>3386</v>
      </c>
      <c r="B3088" s="21">
        <v>2025</v>
      </c>
      <c r="C3088" s="21">
        <v>1</v>
      </c>
      <c r="D3088" s="21">
        <v>3</v>
      </c>
      <c r="E3088" s="21" t="s">
        <v>313</v>
      </c>
      <c r="F3088" s="21">
        <v>0</v>
      </c>
      <c r="G3088" s="21">
        <v>601.14</v>
      </c>
      <c r="H3088" s="21">
        <v>20598.580000000002</v>
      </c>
      <c r="I3088" s="21">
        <v>342.66</v>
      </c>
    </row>
    <row r="3089" spans="1:9" ht="15" customHeight="1" x14ac:dyDescent="0.3">
      <c r="A3089" s="21" t="s">
        <v>3387</v>
      </c>
      <c r="B3089" s="21">
        <v>2025</v>
      </c>
      <c r="C3089" s="21">
        <v>1</v>
      </c>
      <c r="D3089" s="21">
        <v>4</v>
      </c>
      <c r="E3089" s="21" t="s">
        <v>316</v>
      </c>
      <c r="F3089" s="21">
        <v>1</v>
      </c>
      <c r="G3089" s="21">
        <v>469.81</v>
      </c>
      <c r="H3089" s="21">
        <v>16098.44</v>
      </c>
      <c r="I3089" s="21">
        <v>342.66</v>
      </c>
    </row>
    <row r="3090" spans="1:9" ht="15" customHeight="1" x14ac:dyDescent="0.3">
      <c r="A3090" s="21" t="s">
        <v>3388</v>
      </c>
      <c r="B3090" s="21">
        <v>2025</v>
      </c>
      <c r="C3090" s="21">
        <v>1</v>
      </c>
      <c r="D3090" s="21">
        <v>5</v>
      </c>
      <c r="E3090" s="21" t="s">
        <v>319</v>
      </c>
      <c r="F3090" s="21">
        <v>1</v>
      </c>
      <c r="G3090" s="21">
        <v>461.88</v>
      </c>
      <c r="H3090" s="21">
        <v>15826.51</v>
      </c>
      <c r="I3090" s="21">
        <v>342.65</v>
      </c>
    </row>
    <row r="3091" spans="1:9" ht="15" customHeight="1" x14ac:dyDescent="0.3">
      <c r="A3091" s="21" t="s">
        <v>3389</v>
      </c>
      <c r="B3091" s="21">
        <v>2025</v>
      </c>
      <c r="C3091" s="21">
        <v>1</v>
      </c>
      <c r="D3091" s="21">
        <v>6</v>
      </c>
      <c r="E3091" s="21" t="s">
        <v>299</v>
      </c>
      <c r="F3091" s="21">
        <v>0</v>
      </c>
      <c r="G3091" s="21">
        <v>595.35</v>
      </c>
      <c r="H3091" s="21">
        <v>20399.93</v>
      </c>
      <c r="I3091" s="21">
        <v>342.65</v>
      </c>
    </row>
    <row r="3092" spans="1:9" ht="15" customHeight="1" x14ac:dyDescent="0.3">
      <c r="A3092" s="21" t="s">
        <v>3390</v>
      </c>
      <c r="B3092" s="21">
        <v>2025</v>
      </c>
      <c r="C3092" s="21">
        <v>1</v>
      </c>
      <c r="D3092" s="21">
        <v>7</v>
      </c>
      <c r="E3092" s="21" t="s">
        <v>303</v>
      </c>
      <c r="F3092" s="21">
        <v>0</v>
      </c>
      <c r="G3092" s="21">
        <v>550.5</v>
      </c>
      <c r="H3092" s="21">
        <v>18863.29</v>
      </c>
      <c r="I3092" s="21">
        <v>342.66</v>
      </c>
    </row>
    <row r="3093" spans="1:9" ht="15" customHeight="1" x14ac:dyDescent="0.3">
      <c r="A3093" s="21" t="s">
        <v>3391</v>
      </c>
      <c r="B3093" s="21">
        <v>2025</v>
      </c>
      <c r="C3093" s="21">
        <v>1</v>
      </c>
      <c r="D3093" s="21">
        <v>8</v>
      </c>
      <c r="E3093" s="21" t="s">
        <v>307</v>
      </c>
      <c r="F3093" s="21">
        <v>0</v>
      </c>
      <c r="G3093" s="21">
        <v>515.84</v>
      </c>
      <c r="H3093" s="21">
        <v>17675.7</v>
      </c>
      <c r="I3093" s="21">
        <v>342.66</v>
      </c>
    </row>
    <row r="3094" spans="1:9" ht="15" customHeight="1" x14ac:dyDescent="0.3">
      <c r="A3094" s="21" t="s">
        <v>3392</v>
      </c>
      <c r="B3094" s="21">
        <v>2025</v>
      </c>
      <c r="C3094" s="21">
        <v>1</v>
      </c>
      <c r="D3094" s="21">
        <v>9</v>
      </c>
      <c r="E3094" s="21" t="s">
        <v>310</v>
      </c>
      <c r="F3094" s="21">
        <v>0</v>
      </c>
      <c r="G3094" s="21">
        <v>529.82000000000005</v>
      </c>
      <c r="H3094" s="21">
        <v>18154.63</v>
      </c>
      <c r="I3094" s="21">
        <v>342.66</v>
      </c>
    </row>
    <row r="3095" spans="1:9" ht="15" customHeight="1" x14ac:dyDescent="0.3">
      <c r="A3095" s="21" t="s">
        <v>3393</v>
      </c>
      <c r="B3095" s="21">
        <v>2025</v>
      </c>
      <c r="C3095" s="21">
        <v>1</v>
      </c>
      <c r="D3095" s="21">
        <v>10</v>
      </c>
      <c r="E3095" s="21" t="s">
        <v>313</v>
      </c>
      <c r="F3095" s="21">
        <v>0</v>
      </c>
      <c r="G3095" s="21">
        <v>588.99</v>
      </c>
      <c r="H3095" s="21">
        <v>20182.2</v>
      </c>
      <c r="I3095" s="21">
        <v>342.66</v>
      </c>
    </row>
    <row r="3096" spans="1:9" ht="15" customHeight="1" x14ac:dyDescent="0.3">
      <c r="A3096" s="21" t="s">
        <v>3394</v>
      </c>
      <c r="B3096" s="21">
        <v>2025</v>
      </c>
      <c r="C3096" s="21">
        <v>1</v>
      </c>
      <c r="D3096" s="21">
        <v>11</v>
      </c>
      <c r="E3096" s="21" t="s">
        <v>316</v>
      </c>
      <c r="F3096" s="21">
        <v>1</v>
      </c>
      <c r="G3096" s="21">
        <v>471.06</v>
      </c>
      <c r="H3096" s="21">
        <v>16141.26</v>
      </c>
      <c r="I3096" s="21">
        <v>342.66</v>
      </c>
    </row>
    <row r="3097" spans="1:9" ht="15" customHeight="1" x14ac:dyDescent="0.3">
      <c r="A3097" s="21" t="s">
        <v>3395</v>
      </c>
      <c r="B3097" s="21">
        <v>2025</v>
      </c>
      <c r="C3097" s="21">
        <v>1</v>
      </c>
      <c r="D3097" s="21">
        <v>12</v>
      </c>
      <c r="E3097" s="21" t="s">
        <v>319</v>
      </c>
      <c r="F3097" s="21">
        <v>1</v>
      </c>
      <c r="G3097" s="21">
        <v>465.03</v>
      </c>
      <c r="H3097" s="21">
        <v>15934.68</v>
      </c>
      <c r="I3097" s="21">
        <v>342.66</v>
      </c>
    </row>
    <row r="3098" spans="1:9" ht="15" customHeight="1" x14ac:dyDescent="0.3">
      <c r="A3098" s="21" t="s">
        <v>3396</v>
      </c>
      <c r="B3098" s="21">
        <v>2025</v>
      </c>
      <c r="C3098" s="21">
        <v>1</v>
      </c>
      <c r="D3098" s="21">
        <v>13</v>
      </c>
      <c r="E3098" s="21" t="s">
        <v>299</v>
      </c>
      <c r="F3098" s="21">
        <v>0</v>
      </c>
      <c r="G3098" s="21">
        <v>595.65</v>
      </c>
      <c r="H3098" s="21">
        <v>20410.32</v>
      </c>
      <c r="I3098" s="21">
        <v>342.66</v>
      </c>
    </row>
    <row r="3099" spans="1:9" ht="15" customHeight="1" x14ac:dyDescent="0.3">
      <c r="A3099" s="21" t="s">
        <v>3397</v>
      </c>
      <c r="B3099" s="21">
        <v>2025</v>
      </c>
      <c r="C3099" s="21">
        <v>1</v>
      </c>
      <c r="D3099" s="21">
        <v>14</v>
      </c>
      <c r="E3099" s="21" t="s">
        <v>303</v>
      </c>
      <c r="F3099" s="21">
        <v>0</v>
      </c>
      <c r="G3099" s="21">
        <v>516.11</v>
      </c>
      <c r="H3099" s="21">
        <v>17684.7</v>
      </c>
      <c r="I3099" s="21">
        <v>342.65</v>
      </c>
    </row>
    <row r="3100" spans="1:9" ht="15" customHeight="1" x14ac:dyDescent="0.3">
      <c r="A3100" s="21" t="s">
        <v>3398</v>
      </c>
      <c r="B3100" s="21">
        <v>2025</v>
      </c>
      <c r="C3100" s="21">
        <v>1</v>
      </c>
      <c r="D3100" s="21">
        <v>15</v>
      </c>
      <c r="E3100" s="21" t="s">
        <v>307</v>
      </c>
      <c r="F3100" s="21">
        <v>0</v>
      </c>
      <c r="G3100" s="21">
        <v>550.54999999999995</v>
      </c>
      <c r="H3100" s="21">
        <v>18865.11</v>
      </c>
      <c r="I3100" s="21">
        <v>342.66</v>
      </c>
    </row>
    <row r="3101" spans="1:9" ht="15" customHeight="1" x14ac:dyDescent="0.3">
      <c r="A3101" s="21" t="s">
        <v>3399</v>
      </c>
      <c r="B3101" s="21">
        <v>2025</v>
      </c>
      <c r="C3101" s="21">
        <v>1</v>
      </c>
      <c r="D3101" s="21">
        <v>16</v>
      </c>
      <c r="E3101" s="21" t="s">
        <v>310</v>
      </c>
      <c r="F3101" s="21">
        <v>0</v>
      </c>
      <c r="G3101" s="21">
        <v>518.29999999999995</v>
      </c>
      <c r="H3101" s="21">
        <v>17759.72</v>
      </c>
      <c r="I3101" s="21">
        <v>342.65</v>
      </c>
    </row>
    <row r="3102" spans="1:9" ht="15" customHeight="1" x14ac:dyDescent="0.3">
      <c r="A3102" s="21" t="s">
        <v>3400</v>
      </c>
      <c r="B3102" s="21">
        <v>2025</v>
      </c>
      <c r="C3102" s="21">
        <v>1</v>
      </c>
      <c r="D3102" s="21">
        <v>17</v>
      </c>
      <c r="E3102" s="21" t="s">
        <v>313</v>
      </c>
      <c r="F3102" s="21">
        <v>0</v>
      </c>
      <c r="G3102" s="21">
        <v>604.54</v>
      </c>
      <c r="H3102" s="21">
        <v>20715.05</v>
      </c>
      <c r="I3102" s="21">
        <v>342.66</v>
      </c>
    </row>
    <row r="3103" spans="1:9" ht="15" customHeight="1" x14ac:dyDescent="0.3">
      <c r="A3103" s="21" t="s">
        <v>3401</v>
      </c>
      <c r="B3103" s="21">
        <v>2025</v>
      </c>
      <c r="C3103" s="21">
        <v>1</v>
      </c>
      <c r="D3103" s="21">
        <v>18</v>
      </c>
      <c r="E3103" s="21" t="s">
        <v>316</v>
      </c>
      <c r="F3103" s="21">
        <v>1</v>
      </c>
      <c r="G3103" s="21">
        <v>464.41</v>
      </c>
      <c r="H3103" s="21">
        <v>15913.33</v>
      </c>
      <c r="I3103" s="21">
        <v>342.66</v>
      </c>
    </row>
    <row r="3104" spans="1:9" ht="15" customHeight="1" x14ac:dyDescent="0.3">
      <c r="A3104" s="21" t="s">
        <v>3402</v>
      </c>
      <c r="B3104" s="21">
        <v>2025</v>
      </c>
      <c r="C3104" s="21">
        <v>1</v>
      </c>
      <c r="D3104" s="21">
        <v>19</v>
      </c>
      <c r="E3104" s="21" t="s">
        <v>319</v>
      </c>
      <c r="F3104" s="21">
        <v>1</v>
      </c>
      <c r="G3104" s="21">
        <v>472.87</v>
      </c>
      <c r="H3104" s="21">
        <v>16203.03</v>
      </c>
      <c r="I3104" s="21">
        <v>342.65</v>
      </c>
    </row>
    <row r="3105" spans="1:9" ht="15" customHeight="1" x14ac:dyDescent="0.3">
      <c r="A3105" s="21" t="s">
        <v>3403</v>
      </c>
      <c r="B3105" s="21">
        <v>2025</v>
      </c>
      <c r="C3105" s="21">
        <v>1</v>
      </c>
      <c r="D3105" s="21">
        <v>20</v>
      </c>
      <c r="E3105" s="21" t="s">
        <v>299</v>
      </c>
      <c r="F3105" s="21">
        <v>0</v>
      </c>
      <c r="G3105" s="21">
        <v>561.4</v>
      </c>
      <c r="H3105" s="21">
        <v>19236.580000000002</v>
      </c>
      <c r="I3105" s="21">
        <v>342.65</v>
      </c>
    </row>
    <row r="3106" spans="1:9" ht="15" customHeight="1" x14ac:dyDescent="0.3">
      <c r="A3106" s="21" t="s">
        <v>3404</v>
      </c>
      <c r="B3106" s="21">
        <v>2025</v>
      </c>
      <c r="C3106" s="21">
        <v>1</v>
      </c>
      <c r="D3106" s="21">
        <v>21</v>
      </c>
      <c r="E3106" s="21" t="s">
        <v>303</v>
      </c>
      <c r="F3106" s="21">
        <v>0</v>
      </c>
      <c r="G3106" s="21">
        <v>569.24</v>
      </c>
      <c r="H3106" s="21">
        <v>19505.21</v>
      </c>
      <c r="I3106" s="21">
        <v>342.65</v>
      </c>
    </row>
    <row r="3107" spans="1:9" ht="15" customHeight="1" x14ac:dyDescent="0.3">
      <c r="A3107" s="21" t="s">
        <v>3405</v>
      </c>
      <c r="B3107" s="21">
        <v>2025</v>
      </c>
      <c r="C3107" s="21">
        <v>1</v>
      </c>
      <c r="D3107" s="21">
        <v>22</v>
      </c>
      <c r="E3107" s="21" t="s">
        <v>307</v>
      </c>
      <c r="F3107" s="21">
        <v>0</v>
      </c>
      <c r="G3107" s="21">
        <v>565.33000000000004</v>
      </c>
      <c r="H3107" s="21">
        <v>19371.23</v>
      </c>
      <c r="I3107" s="21">
        <v>342.65</v>
      </c>
    </row>
    <row r="3108" spans="1:9" ht="15" customHeight="1" x14ac:dyDescent="0.3">
      <c r="A3108" s="21" t="s">
        <v>3406</v>
      </c>
      <c r="B3108" s="21">
        <v>2025</v>
      </c>
      <c r="C3108" s="21">
        <v>1</v>
      </c>
      <c r="D3108" s="21">
        <v>23</v>
      </c>
      <c r="E3108" s="21" t="s">
        <v>310</v>
      </c>
      <c r="F3108" s="21">
        <v>0</v>
      </c>
      <c r="G3108" s="21">
        <v>557.79</v>
      </c>
      <c r="H3108" s="21">
        <v>19113.04</v>
      </c>
      <c r="I3108" s="21">
        <v>342.66</v>
      </c>
    </row>
    <row r="3109" spans="1:9" ht="15" customHeight="1" x14ac:dyDescent="0.3">
      <c r="A3109" s="21" t="s">
        <v>3407</v>
      </c>
      <c r="B3109" s="21">
        <v>2025</v>
      </c>
      <c r="C3109" s="21">
        <v>1</v>
      </c>
      <c r="D3109" s="21">
        <v>24</v>
      </c>
      <c r="E3109" s="21" t="s">
        <v>313</v>
      </c>
      <c r="F3109" s="21">
        <v>0</v>
      </c>
      <c r="G3109" s="21">
        <v>589.91999999999996</v>
      </c>
      <c r="H3109" s="21">
        <v>20213.939999999999</v>
      </c>
      <c r="I3109" s="21">
        <v>342.66</v>
      </c>
    </row>
    <row r="3110" spans="1:9" ht="15" customHeight="1" x14ac:dyDescent="0.3">
      <c r="A3110" s="21" t="s">
        <v>3408</v>
      </c>
      <c r="B3110" s="21">
        <v>2025</v>
      </c>
      <c r="C3110" s="21">
        <v>1</v>
      </c>
      <c r="D3110" s="21">
        <v>25</v>
      </c>
      <c r="E3110" s="21" t="s">
        <v>316</v>
      </c>
      <c r="F3110" s="21">
        <v>1</v>
      </c>
      <c r="G3110" s="21">
        <v>475.5</v>
      </c>
      <c r="H3110" s="21">
        <v>16293.33</v>
      </c>
      <c r="I3110" s="21">
        <v>342.66</v>
      </c>
    </row>
    <row r="3111" spans="1:9" ht="15" customHeight="1" x14ac:dyDescent="0.3">
      <c r="A3111" s="21" t="s">
        <v>3409</v>
      </c>
      <c r="B3111" s="21">
        <v>2025</v>
      </c>
      <c r="C3111" s="21">
        <v>1</v>
      </c>
      <c r="D3111" s="21">
        <v>26</v>
      </c>
      <c r="E3111" s="21" t="s">
        <v>319</v>
      </c>
      <c r="F3111" s="21">
        <v>1</v>
      </c>
      <c r="G3111" s="21">
        <v>454.34</v>
      </c>
      <c r="H3111" s="21">
        <v>15568.21</v>
      </c>
      <c r="I3111" s="21">
        <v>342.66</v>
      </c>
    </row>
    <row r="3112" spans="1:9" ht="15" customHeight="1" x14ac:dyDescent="0.3">
      <c r="A3112" s="21" t="s">
        <v>3410</v>
      </c>
      <c r="B3112" s="21">
        <v>2025</v>
      </c>
      <c r="C3112" s="21">
        <v>1</v>
      </c>
      <c r="D3112" s="21">
        <v>27</v>
      </c>
      <c r="E3112" s="21" t="s">
        <v>299</v>
      </c>
      <c r="F3112" s="21">
        <v>0</v>
      </c>
      <c r="G3112" s="21">
        <v>589.66999999999996</v>
      </c>
      <c r="H3112" s="21">
        <v>20205.53</v>
      </c>
      <c r="I3112" s="21">
        <v>342.66</v>
      </c>
    </row>
    <row r="3113" spans="1:9" ht="15" customHeight="1" x14ac:dyDescent="0.3">
      <c r="A3113" s="21" t="s">
        <v>3411</v>
      </c>
      <c r="B3113" s="21">
        <v>2025</v>
      </c>
      <c r="C3113" s="21">
        <v>1</v>
      </c>
      <c r="D3113" s="21">
        <v>28</v>
      </c>
      <c r="E3113" s="21" t="s">
        <v>303</v>
      </c>
      <c r="F3113" s="21">
        <v>0</v>
      </c>
      <c r="G3113" s="21">
        <v>575.32000000000005</v>
      </c>
      <c r="H3113" s="21">
        <v>19713.72</v>
      </c>
      <c r="I3113" s="21">
        <v>342.66</v>
      </c>
    </row>
    <row r="3114" spans="1:9" ht="15" customHeight="1" x14ac:dyDescent="0.3">
      <c r="A3114" s="21" t="s">
        <v>3412</v>
      </c>
      <c r="B3114" s="21">
        <v>2025</v>
      </c>
      <c r="C3114" s="21">
        <v>1</v>
      </c>
      <c r="D3114" s="21">
        <v>29</v>
      </c>
      <c r="E3114" s="21" t="s">
        <v>307</v>
      </c>
      <c r="F3114" s="21">
        <v>0</v>
      </c>
      <c r="G3114" s="21">
        <v>565.79999999999995</v>
      </c>
      <c r="H3114" s="21">
        <v>19387.509999999998</v>
      </c>
      <c r="I3114" s="21">
        <v>342.66</v>
      </c>
    </row>
    <row r="3115" spans="1:9" ht="15" customHeight="1" x14ac:dyDescent="0.3">
      <c r="A3115" s="21" t="s">
        <v>3413</v>
      </c>
      <c r="B3115" s="21">
        <v>2025</v>
      </c>
      <c r="C3115" s="21">
        <v>1</v>
      </c>
      <c r="D3115" s="21">
        <v>30</v>
      </c>
      <c r="E3115" s="21" t="s">
        <v>310</v>
      </c>
      <c r="F3115" s="21">
        <v>0</v>
      </c>
      <c r="G3115" s="21">
        <v>616.62</v>
      </c>
      <c r="H3115" s="21">
        <v>21129</v>
      </c>
      <c r="I3115" s="21">
        <v>342.66</v>
      </c>
    </row>
    <row r="3116" spans="1:9" ht="15" customHeight="1" x14ac:dyDescent="0.3">
      <c r="A3116" s="21" t="s">
        <v>3414</v>
      </c>
      <c r="B3116" s="21">
        <v>2025</v>
      </c>
      <c r="C3116" s="21">
        <v>1</v>
      </c>
      <c r="D3116" s="21">
        <v>31</v>
      </c>
      <c r="E3116" s="21" t="s">
        <v>313</v>
      </c>
      <c r="F3116" s="21">
        <v>0</v>
      </c>
      <c r="G3116" s="21">
        <v>687.69</v>
      </c>
      <c r="H3116" s="21">
        <v>23564.19</v>
      </c>
      <c r="I3116" s="21">
        <v>342.66</v>
      </c>
    </row>
    <row r="3117" spans="1:9" ht="15" customHeight="1" x14ac:dyDescent="0.3">
      <c r="A3117" s="21" t="s">
        <v>200</v>
      </c>
      <c r="B3117" s="21">
        <v>2025</v>
      </c>
      <c r="C3117" s="21">
        <v>2</v>
      </c>
      <c r="D3117" s="21">
        <v>1</v>
      </c>
      <c r="E3117" s="21" t="s">
        <v>316</v>
      </c>
      <c r="F3117" s="21">
        <v>1</v>
      </c>
      <c r="G3117" s="21">
        <v>521.41999999999996</v>
      </c>
      <c r="H3117" s="21">
        <v>17864.11</v>
      </c>
      <c r="I3117" s="21">
        <v>342.61</v>
      </c>
    </row>
    <row r="3118" spans="1:9" ht="15" customHeight="1" x14ac:dyDescent="0.3">
      <c r="A3118" s="21" t="s">
        <v>3415</v>
      </c>
      <c r="B3118" s="21">
        <v>2025</v>
      </c>
      <c r="C3118" s="21">
        <v>2</v>
      </c>
      <c r="D3118" s="21">
        <v>2</v>
      </c>
      <c r="E3118" s="21" t="s">
        <v>319</v>
      </c>
      <c r="F3118" s="21">
        <v>1</v>
      </c>
      <c r="G3118" s="21">
        <v>557.39</v>
      </c>
      <c r="H3118" s="21">
        <v>19096.580000000002</v>
      </c>
      <c r="I3118" s="21">
        <v>342.61</v>
      </c>
    </row>
    <row r="3119" spans="1:9" ht="15" customHeight="1" x14ac:dyDescent="0.3">
      <c r="A3119" s="21" t="s">
        <v>3416</v>
      </c>
      <c r="B3119" s="21">
        <v>2025</v>
      </c>
      <c r="C3119" s="21">
        <v>2</v>
      </c>
      <c r="D3119" s="21">
        <v>3</v>
      </c>
      <c r="E3119" s="21" t="s">
        <v>299</v>
      </c>
      <c r="F3119" s="21">
        <v>0</v>
      </c>
      <c r="G3119" s="21">
        <v>594.42999999999995</v>
      </c>
      <c r="H3119" s="21">
        <v>20365.61</v>
      </c>
      <c r="I3119" s="21">
        <v>342.61</v>
      </c>
    </row>
    <row r="3120" spans="1:9" ht="15" customHeight="1" x14ac:dyDescent="0.3">
      <c r="A3120" s="21" t="s">
        <v>3417</v>
      </c>
      <c r="B3120" s="21">
        <v>2025</v>
      </c>
      <c r="C3120" s="21">
        <v>2</v>
      </c>
      <c r="D3120" s="21">
        <v>4</v>
      </c>
      <c r="E3120" s="21" t="s">
        <v>303</v>
      </c>
      <c r="F3120" s="21">
        <v>0</v>
      </c>
      <c r="G3120" s="21">
        <v>527.58000000000004</v>
      </c>
      <c r="H3120" s="21">
        <v>18075.12</v>
      </c>
      <c r="I3120" s="21">
        <v>342.6</v>
      </c>
    </row>
    <row r="3121" spans="1:9" ht="15" customHeight="1" x14ac:dyDescent="0.3">
      <c r="A3121" s="21" t="s">
        <v>3418</v>
      </c>
      <c r="B3121" s="21">
        <v>2025</v>
      </c>
      <c r="C3121" s="21">
        <v>2</v>
      </c>
      <c r="D3121" s="21">
        <v>5</v>
      </c>
      <c r="E3121" s="21" t="s">
        <v>307</v>
      </c>
      <c r="F3121" s="21">
        <v>0</v>
      </c>
      <c r="G3121" s="21">
        <v>539.45000000000005</v>
      </c>
      <c r="H3121" s="21">
        <v>18481.87</v>
      </c>
      <c r="I3121" s="21">
        <v>342.61</v>
      </c>
    </row>
    <row r="3122" spans="1:9" ht="15" customHeight="1" x14ac:dyDescent="0.3">
      <c r="A3122" s="21" t="s">
        <v>3419</v>
      </c>
      <c r="B3122" s="21">
        <v>2025</v>
      </c>
      <c r="C3122" s="21">
        <v>2</v>
      </c>
      <c r="D3122" s="21">
        <v>6</v>
      </c>
      <c r="E3122" s="21" t="s">
        <v>310</v>
      </c>
      <c r="F3122" s="21">
        <v>0</v>
      </c>
      <c r="G3122" s="21">
        <v>554.17999999999995</v>
      </c>
      <c r="H3122" s="21">
        <v>18986.63</v>
      </c>
      <c r="I3122" s="21">
        <v>342.61</v>
      </c>
    </row>
    <row r="3123" spans="1:9" ht="15" customHeight="1" x14ac:dyDescent="0.3">
      <c r="A3123" s="21" t="s">
        <v>3420</v>
      </c>
      <c r="B3123" s="21">
        <v>2025</v>
      </c>
      <c r="C3123" s="21">
        <v>2</v>
      </c>
      <c r="D3123" s="21">
        <v>7</v>
      </c>
      <c r="E3123" s="21" t="s">
        <v>313</v>
      </c>
      <c r="F3123" s="21">
        <v>0</v>
      </c>
      <c r="G3123" s="21">
        <v>598.6</v>
      </c>
      <c r="H3123" s="21">
        <v>20508.39</v>
      </c>
      <c r="I3123" s="21">
        <v>342.61</v>
      </c>
    </row>
    <row r="3124" spans="1:9" ht="15" customHeight="1" x14ac:dyDescent="0.3">
      <c r="A3124" s="21" t="s">
        <v>3421</v>
      </c>
      <c r="B3124" s="21">
        <v>2025</v>
      </c>
      <c r="C3124" s="21">
        <v>2</v>
      </c>
      <c r="D3124" s="21">
        <v>8</v>
      </c>
      <c r="E3124" s="21" t="s">
        <v>316</v>
      </c>
      <c r="F3124" s="21">
        <v>1</v>
      </c>
      <c r="G3124" s="21">
        <v>454.81</v>
      </c>
      <c r="H3124" s="21">
        <v>15582.07</v>
      </c>
      <c r="I3124" s="21">
        <v>342.61</v>
      </c>
    </row>
    <row r="3125" spans="1:9" ht="15" customHeight="1" x14ac:dyDescent="0.3">
      <c r="A3125" s="21" t="s">
        <v>3422</v>
      </c>
      <c r="B3125" s="21">
        <v>2025</v>
      </c>
      <c r="C3125" s="21">
        <v>2</v>
      </c>
      <c r="D3125" s="21">
        <v>9</v>
      </c>
      <c r="E3125" s="21" t="s">
        <v>319</v>
      </c>
      <c r="F3125" s="21">
        <v>1</v>
      </c>
      <c r="G3125" s="21">
        <v>481.61</v>
      </c>
      <c r="H3125" s="21">
        <v>16500.349999999999</v>
      </c>
      <c r="I3125" s="21">
        <v>342.61</v>
      </c>
    </row>
    <row r="3126" spans="1:9" ht="15" customHeight="1" x14ac:dyDescent="0.3">
      <c r="A3126" s="21" t="s">
        <v>3423</v>
      </c>
      <c r="B3126" s="21">
        <v>2025</v>
      </c>
      <c r="C3126" s="21">
        <v>2</v>
      </c>
      <c r="D3126" s="21">
        <v>10</v>
      </c>
      <c r="E3126" s="21" t="s">
        <v>299</v>
      </c>
      <c r="F3126" s="21">
        <v>0</v>
      </c>
      <c r="G3126" s="21">
        <v>591.09</v>
      </c>
      <c r="H3126" s="21">
        <v>20251.22</v>
      </c>
      <c r="I3126" s="21">
        <v>342.61</v>
      </c>
    </row>
    <row r="3127" spans="1:9" ht="15" customHeight="1" x14ac:dyDescent="0.3">
      <c r="A3127" s="21" t="s">
        <v>3424</v>
      </c>
      <c r="B3127" s="21">
        <v>2025</v>
      </c>
      <c r="C3127" s="21">
        <v>2</v>
      </c>
      <c r="D3127" s="21">
        <v>11</v>
      </c>
      <c r="E3127" s="21" t="s">
        <v>303</v>
      </c>
      <c r="F3127" s="21">
        <v>0</v>
      </c>
      <c r="G3127" s="21">
        <v>555.66999999999996</v>
      </c>
      <c r="H3127" s="21">
        <v>19037.68</v>
      </c>
      <c r="I3127" s="21">
        <v>342.61</v>
      </c>
    </row>
    <row r="3128" spans="1:9" ht="15" customHeight="1" x14ac:dyDescent="0.3">
      <c r="A3128" s="21" t="s">
        <v>3425</v>
      </c>
      <c r="B3128" s="21">
        <v>2025</v>
      </c>
      <c r="C3128" s="21">
        <v>2</v>
      </c>
      <c r="D3128" s="21">
        <v>12</v>
      </c>
      <c r="E3128" s="21" t="s">
        <v>307</v>
      </c>
      <c r="F3128" s="21">
        <v>0</v>
      </c>
      <c r="G3128" s="21">
        <v>546.26</v>
      </c>
      <c r="H3128" s="21">
        <v>18715.099999999999</v>
      </c>
      <c r="I3128" s="21">
        <v>342.6</v>
      </c>
    </row>
    <row r="3129" spans="1:9" ht="15" customHeight="1" x14ac:dyDescent="0.3">
      <c r="A3129" s="21" t="s">
        <v>3426</v>
      </c>
      <c r="B3129" s="21">
        <v>2025</v>
      </c>
      <c r="C3129" s="21">
        <v>2</v>
      </c>
      <c r="D3129" s="21">
        <v>13</v>
      </c>
      <c r="E3129" s="21" t="s">
        <v>310</v>
      </c>
      <c r="F3129" s="21">
        <v>0</v>
      </c>
      <c r="G3129" s="21">
        <v>576.51</v>
      </c>
      <c r="H3129" s="21">
        <v>19751.75</v>
      </c>
      <c r="I3129" s="21">
        <v>342.61</v>
      </c>
    </row>
    <row r="3130" spans="1:9" ht="15" customHeight="1" x14ac:dyDescent="0.3">
      <c r="A3130" s="21" t="s">
        <v>3427</v>
      </c>
      <c r="B3130" s="21">
        <v>2025</v>
      </c>
      <c r="C3130" s="21">
        <v>2</v>
      </c>
      <c r="D3130" s="21">
        <v>14</v>
      </c>
      <c r="E3130" s="21" t="s">
        <v>313</v>
      </c>
      <c r="F3130" s="21">
        <v>0</v>
      </c>
      <c r="G3130" s="21">
        <v>631.4</v>
      </c>
      <c r="H3130" s="21">
        <v>21632.22</v>
      </c>
      <c r="I3130" s="21">
        <v>342.61</v>
      </c>
    </row>
    <row r="3131" spans="1:9" ht="15" customHeight="1" x14ac:dyDescent="0.3">
      <c r="A3131" s="21" t="s">
        <v>3428</v>
      </c>
      <c r="B3131" s="21">
        <v>2025</v>
      </c>
      <c r="C3131" s="21">
        <v>2</v>
      </c>
      <c r="D3131" s="21">
        <v>15</v>
      </c>
      <c r="E3131" s="21" t="s">
        <v>316</v>
      </c>
      <c r="F3131" s="21">
        <v>1</v>
      </c>
      <c r="G3131" s="21">
        <v>466.98</v>
      </c>
      <c r="H3131" s="21">
        <v>15999.1</v>
      </c>
      <c r="I3131" s="21">
        <v>342.61</v>
      </c>
    </row>
    <row r="3132" spans="1:9" ht="15" customHeight="1" x14ac:dyDescent="0.3">
      <c r="A3132" s="21" t="s">
        <v>3429</v>
      </c>
      <c r="B3132" s="21">
        <v>2025</v>
      </c>
      <c r="C3132" s="21">
        <v>2</v>
      </c>
      <c r="D3132" s="21">
        <v>16</v>
      </c>
      <c r="E3132" s="21" t="s">
        <v>319</v>
      </c>
      <c r="F3132" s="21">
        <v>1</v>
      </c>
      <c r="G3132" s="21">
        <v>464.82</v>
      </c>
      <c r="H3132" s="21">
        <v>15925.22</v>
      </c>
      <c r="I3132" s="21">
        <v>342.61</v>
      </c>
    </row>
    <row r="3133" spans="1:9" ht="15" customHeight="1" x14ac:dyDescent="0.3">
      <c r="A3133" s="21" t="s">
        <v>3430</v>
      </c>
      <c r="B3133" s="21">
        <v>2025</v>
      </c>
      <c r="C3133" s="21">
        <v>2</v>
      </c>
      <c r="D3133" s="21">
        <v>17</v>
      </c>
      <c r="E3133" s="21" t="s">
        <v>299</v>
      </c>
      <c r="F3133" s="21">
        <v>0</v>
      </c>
      <c r="G3133" s="21">
        <v>595.11</v>
      </c>
      <c r="H3133" s="21">
        <v>20388.939999999999</v>
      </c>
      <c r="I3133" s="21">
        <v>342.61</v>
      </c>
    </row>
    <row r="3134" spans="1:9" ht="15" customHeight="1" x14ac:dyDescent="0.3">
      <c r="A3134" s="21" t="s">
        <v>3431</v>
      </c>
      <c r="B3134" s="21">
        <v>2025</v>
      </c>
      <c r="C3134" s="21">
        <v>2</v>
      </c>
      <c r="D3134" s="21">
        <v>18</v>
      </c>
      <c r="E3134" s="21" t="s">
        <v>303</v>
      </c>
      <c r="F3134" s="21">
        <v>0</v>
      </c>
      <c r="G3134" s="21">
        <v>552.92999999999995</v>
      </c>
      <c r="H3134" s="21">
        <v>18943.61</v>
      </c>
      <c r="I3134" s="21">
        <v>342.6</v>
      </c>
    </row>
    <row r="3135" spans="1:9" ht="15" customHeight="1" x14ac:dyDescent="0.3">
      <c r="A3135" s="21" t="s">
        <v>3432</v>
      </c>
      <c r="B3135" s="21">
        <v>2025</v>
      </c>
      <c r="C3135" s="21">
        <v>2</v>
      </c>
      <c r="D3135" s="21">
        <v>19</v>
      </c>
      <c r="E3135" s="21" t="s">
        <v>307</v>
      </c>
      <c r="F3135" s="21">
        <v>0</v>
      </c>
      <c r="G3135" s="21">
        <v>556.59</v>
      </c>
      <c r="H3135" s="21">
        <v>19069.21</v>
      </c>
      <c r="I3135" s="21">
        <v>342.61</v>
      </c>
    </row>
    <row r="3136" spans="1:9" ht="15" customHeight="1" x14ac:dyDescent="0.3">
      <c r="A3136" s="21" t="s">
        <v>3433</v>
      </c>
      <c r="B3136" s="21">
        <v>2025</v>
      </c>
      <c r="C3136" s="21">
        <v>2</v>
      </c>
      <c r="D3136" s="21">
        <v>20</v>
      </c>
      <c r="E3136" s="21" t="s">
        <v>310</v>
      </c>
      <c r="F3136" s="21">
        <v>0</v>
      </c>
      <c r="G3136" s="21">
        <v>571.33000000000004</v>
      </c>
      <c r="H3136" s="21">
        <v>19574.2</v>
      </c>
      <c r="I3136" s="21">
        <v>342.61</v>
      </c>
    </row>
    <row r="3137" spans="1:9" ht="15" customHeight="1" x14ac:dyDescent="0.3">
      <c r="A3137" s="21" t="s">
        <v>3434</v>
      </c>
      <c r="B3137" s="21">
        <v>2025</v>
      </c>
      <c r="C3137" s="21">
        <v>2</v>
      </c>
      <c r="D3137" s="21">
        <v>21</v>
      </c>
      <c r="E3137" s="21" t="s">
        <v>313</v>
      </c>
      <c r="F3137" s="21">
        <v>0</v>
      </c>
      <c r="G3137" s="21">
        <v>571.63</v>
      </c>
      <c r="H3137" s="21">
        <v>19584.34</v>
      </c>
      <c r="I3137" s="21">
        <v>342.61</v>
      </c>
    </row>
    <row r="3138" spans="1:9" ht="15" customHeight="1" x14ac:dyDescent="0.3">
      <c r="A3138" s="21" t="s">
        <v>3435</v>
      </c>
      <c r="B3138" s="21">
        <v>2025</v>
      </c>
      <c r="C3138" s="21">
        <v>2</v>
      </c>
      <c r="D3138" s="21">
        <v>22</v>
      </c>
      <c r="E3138" s="21" t="s">
        <v>316</v>
      </c>
      <c r="F3138" s="21">
        <v>1</v>
      </c>
      <c r="G3138" s="21">
        <v>497.19</v>
      </c>
      <c r="H3138" s="21">
        <v>17034.23</v>
      </c>
      <c r="I3138" s="21">
        <v>342.61</v>
      </c>
    </row>
    <row r="3139" spans="1:9" ht="15" customHeight="1" x14ac:dyDescent="0.3">
      <c r="A3139" s="21" t="s">
        <v>3436</v>
      </c>
      <c r="B3139" s="21">
        <v>2025</v>
      </c>
      <c r="C3139" s="21">
        <v>2</v>
      </c>
      <c r="D3139" s="21">
        <v>23</v>
      </c>
      <c r="E3139" s="21" t="s">
        <v>319</v>
      </c>
      <c r="F3139" s="21">
        <v>1</v>
      </c>
      <c r="G3139" s="21">
        <v>476.31</v>
      </c>
      <c r="H3139" s="21">
        <v>16318.65</v>
      </c>
      <c r="I3139" s="21">
        <v>342.61</v>
      </c>
    </row>
    <row r="3140" spans="1:9" ht="15" customHeight="1" x14ac:dyDescent="0.3">
      <c r="A3140" s="21" t="s">
        <v>3437</v>
      </c>
      <c r="B3140" s="21">
        <v>2025</v>
      </c>
      <c r="C3140" s="21">
        <v>2</v>
      </c>
      <c r="D3140" s="21">
        <v>24</v>
      </c>
      <c r="E3140" s="21" t="s">
        <v>299</v>
      </c>
      <c r="F3140" s="21">
        <v>0</v>
      </c>
      <c r="G3140" s="21">
        <v>579.98</v>
      </c>
      <c r="H3140" s="21">
        <v>19870.36</v>
      </c>
      <c r="I3140" s="21">
        <v>342.6</v>
      </c>
    </row>
    <row r="3141" spans="1:9" ht="15" customHeight="1" x14ac:dyDescent="0.3">
      <c r="A3141" s="21" t="s">
        <v>3438</v>
      </c>
      <c r="B3141" s="21">
        <v>2025</v>
      </c>
      <c r="C3141" s="21">
        <v>2</v>
      </c>
      <c r="D3141" s="21">
        <v>25</v>
      </c>
      <c r="E3141" s="21" t="s">
        <v>303</v>
      </c>
      <c r="F3141" s="21">
        <v>0</v>
      </c>
      <c r="G3141" s="21">
        <v>557.42999999999995</v>
      </c>
      <c r="H3141" s="21">
        <v>19098.02</v>
      </c>
      <c r="I3141" s="21">
        <v>342.61</v>
      </c>
    </row>
    <row r="3142" spans="1:9" ht="15" customHeight="1" x14ac:dyDescent="0.3">
      <c r="A3142" s="21" t="s">
        <v>3439</v>
      </c>
      <c r="B3142" s="21">
        <v>2025</v>
      </c>
      <c r="C3142" s="21">
        <v>2</v>
      </c>
      <c r="D3142" s="21">
        <v>26</v>
      </c>
      <c r="E3142" s="21" t="s">
        <v>307</v>
      </c>
      <c r="F3142" s="21">
        <v>0</v>
      </c>
      <c r="G3142" s="21">
        <v>558.29999999999995</v>
      </c>
      <c r="H3142" s="21">
        <v>19127.7</v>
      </c>
      <c r="I3142" s="21">
        <v>342.61</v>
      </c>
    </row>
    <row r="3143" spans="1:9" ht="15" customHeight="1" x14ac:dyDescent="0.3">
      <c r="A3143" s="21" t="s">
        <v>3440</v>
      </c>
      <c r="B3143" s="21">
        <v>2025</v>
      </c>
      <c r="C3143" s="21">
        <v>2</v>
      </c>
      <c r="D3143" s="21">
        <v>27</v>
      </c>
      <c r="E3143" s="21" t="s">
        <v>310</v>
      </c>
      <c r="F3143" s="21">
        <v>0</v>
      </c>
      <c r="G3143" s="21">
        <v>609.39</v>
      </c>
      <c r="H3143" s="21">
        <v>20877.96</v>
      </c>
      <c r="I3143" s="21">
        <v>342.6</v>
      </c>
    </row>
    <row r="3144" spans="1:9" ht="15" customHeight="1" x14ac:dyDescent="0.3">
      <c r="A3144" s="21" t="s">
        <v>3441</v>
      </c>
      <c r="B3144" s="21">
        <v>2025</v>
      </c>
      <c r="C3144" s="21">
        <v>2</v>
      </c>
      <c r="D3144" s="21">
        <v>28</v>
      </c>
      <c r="E3144" s="21" t="s">
        <v>313</v>
      </c>
      <c r="F3144" s="21">
        <v>0</v>
      </c>
      <c r="G3144" s="21">
        <v>723.02</v>
      </c>
      <c r="H3144" s="21">
        <v>24771.040000000001</v>
      </c>
      <c r="I3144" s="21">
        <v>342.61</v>
      </c>
    </row>
  </sheetData>
  <mergeCells count="13">
    <mergeCell ref="M3:O3"/>
    <mergeCell ref="P3:R3"/>
    <mergeCell ref="A4:C4"/>
    <mergeCell ref="D4:F4"/>
    <mergeCell ref="G4:I4"/>
    <mergeCell ref="J4:L4"/>
    <mergeCell ref="M4:O4"/>
    <mergeCell ref="P4:R4"/>
    <mergeCell ref="A1:I1"/>
    <mergeCell ref="A3:C3"/>
    <mergeCell ref="D3:F3"/>
    <mergeCell ref="G3:I3"/>
    <mergeCell ref="J3:L3"/>
  </mergeCells>
  <conditionalFormatting sqref="G11:G3144">
    <cfRule type="expression" dxfId="2" priority="2">
      <formula>G11&gt;=LARGE($G$11:$G$3144,20)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C8A"/>
  </sheetPr>
  <dimension ref="A1:O13"/>
  <sheetViews>
    <sheetView showGridLines="0" zoomScale="47" zoomScaleNormal="90" workbookViewId="0">
      <pane ySplit="1" topLeftCell="A2" activePane="bottomLeft" state="frozen"/>
      <selection pane="bottomLeft" sqref="A1:F1"/>
    </sheetView>
  </sheetViews>
  <sheetFormatPr defaultColWidth="8.6640625" defaultRowHeight="14.4" x14ac:dyDescent="0.3"/>
  <cols>
    <col min="1" max="2" width="14" customWidth="1"/>
    <col min="3" max="3" width="21" customWidth="1"/>
    <col min="4" max="4" width="28" customWidth="1"/>
    <col min="5" max="5" width="29" customWidth="1"/>
    <col min="6" max="6" width="24" customWidth="1"/>
    <col min="8" max="8" width="26" customWidth="1"/>
    <col min="9" max="9" width="16" customWidth="1"/>
    <col min="11" max="15" width="15" customWidth="1"/>
  </cols>
  <sheetData>
    <row r="1" spans="1:15" ht="25.5" customHeight="1" x14ac:dyDescent="0.35">
      <c r="A1" s="11" t="s">
        <v>3442</v>
      </c>
      <c r="B1" s="11"/>
      <c r="C1" s="11"/>
      <c r="D1" s="11"/>
      <c r="E1" s="11"/>
      <c r="F1" s="11"/>
    </row>
    <row r="3" spans="1:15" ht="15" customHeight="1" x14ac:dyDescent="0.3">
      <c r="A3" s="10" t="s">
        <v>3443</v>
      </c>
      <c r="B3" s="10"/>
      <c r="C3" s="10"/>
      <c r="D3" s="10" t="s">
        <v>3444</v>
      </c>
      <c r="E3" s="10"/>
      <c r="F3" s="10"/>
      <c r="G3" s="10" t="s">
        <v>3445</v>
      </c>
      <c r="H3" s="10"/>
      <c r="I3" s="10"/>
      <c r="J3" s="10" t="s">
        <v>3446</v>
      </c>
      <c r="K3" s="10"/>
      <c r="L3" s="10"/>
    </row>
    <row r="4" spans="1:15" ht="17.25" customHeight="1" x14ac:dyDescent="0.3">
      <c r="A4" s="9">
        <f>SUM(Tbl_Fraud[fraud_cases])</f>
        <v>63573</v>
      </c>
      <c r="B4" s="9"/>
      <c r="C4" s="9"/>
      <c r="D4" s="9">
        <f>SUM(Tbl_Fraud[fraud_value_crores])</f>
        <v>2445</v>
      </c>
      <c r="E4" s="9"/>
      <c r="F4" s="9"/>
      <c r="G4" s="5">
        <f>AVERAGE(Tbl_Fraud[avg_fraud_value_lakhs])</f>
        <v>3.893333333333334</v>
      </c>
      <c r="H4" s="5"/>
      <c r="I4" s="5"/>
      <c r="J4" s="4">
        <f>INDEX(Tbl_Fraud[fraud_rate_per_million_txn],COUNT(Tbl_Fraud[fraud_cases]))</f>
        <v>9.0999999999999998E-2</v>
      </c>
      <c r="K4" s="4"/>
      <c r="L4" s="4"/>
    </row>
    <row r="6" spans="1:15" ht="15" customHeight="1" x14ac:dyDescent="0.3">
      <c r="A6" s="19" t="s">
        <v>3447</v>
      </c>
      <c r="H6" s="19" t="s">
        <v>3448</v>
      </c>
      <c r="K6" s="19" t="s">
        <v>3449</v>
      </c>
    </row>
    <row r="7" spans="1:15" ht="24.75" customHeight="1" x14ac:dyDescent="0.3">
      <c r="A7" s="20" t="s">
        <v>73</v>
      </c>
      <c r="B7" s="20" t="s">
        <v>3450</v>
      </c>
      <c r="C7" s="20" t="s">
        <v>3451</v>
      </c>
      <c r="D7" s="20" t="s">
        <v>3452</v>
      </c>
      <c r="E7" s="20" t="s">
        <v>3453</v>
      </c>
      <c r="F7" s="20" t="s">
        <v>3454</v>
      </c>
      <c r="H7" s="27" t="s">
        <v>3455</v>
      </c>
      <c r="I7" s="28" t="str">
        <f>INDEX(Tbl_Fraud[fiscal_year],MATCH(MAX(Tbl_Fraud[fraud_cases]),Tbl_Fraud[fraud_cases],0))</f>
        <v>FY2023-24</v>
      </c>
      <c r="K7" s="20" t="s">
        <v>84</v>
      </c>
      <c r="L7" s="20" t="s">
        <v>3456</v>
      </c>
      <c r="M7" s="20" t="s">
        <v>3457</v>
      </c>
      <c r="N7" s="20" t="s">
        <v>3458</v>
      </c>
      <c r="O7" s="20" t="s">
        <v>3459</v>
      </c>
    </row>
    <row r="8" spans="1:15" ht="15" customHeight="1" x14ac:dyDescent="0.3">
      <c r="A8" s="21" t="s">
        <v>96</v>
      </c>
      <c r="B8" s="21">
        <v>3086</v>
      </c>
      <c r="C8" s="21">
        <v>128</v>
      </c>
      <c r="D8" s="21">
        <v>12.5</v>
      </c>
      <c r="E8" s="21">
        <v>0.247</v>
      </c>
      <c r="F8" s="21">
        <v>4.1500000000000004</v>
      </c>
      <c r="H8" s="27" t="s">
        <v>3460</v>
      </c>
      <c r="I8" s="28" t="str">
        <f>INDEX(Tbl_Fraud[fiscal_year],MATCH(MIN(Tbl_Fraud[fraud_cases]),Tbl_Fraud[fraud_cases],0))</f>
        <v>FY2019-20</v>
      </c>
      <c r="K8" s="22" t="s">
        <v>96</v>
      </c>
      <c r="L8" s="23">
        <v>3086</v>
      </c>
      <c r="M8" s="23">
        <v>128</v>
      </c>
      <c r="N8" s="29">
        <v>0.247</v>
      </c>
      <c r="O8" s="30">
        <v>4.1500000000000004</v>
      </c>
    </row>
    <row r="9" spans="1:15" ht="15" customHeight="1" x14ac:dyDescent="0.3">
      <c r="A9" s="21" t="s">
        <v>98</v>
      </c>
      <c r="B9" s="21">
        <v>4071</v>
      </c>
      <c r="C9" s="21">
        <v>155</v>
      </c>
      <c r="D9" s="21">
        <v>22.3</v>
      </c>
      <c r="E9" s="21">
        <v>0.182</v>
      </c>
      <c r="F9" s="21">
        <v>3.81</v>
      </c>
      <c r="H9" s="27" t="s">
        <v>3461</v>
      </c>
      <c r="I9" s="31">
        <f>MAX(Tbl_Fraud[fraud_cases])-MIN(Tbl_Fraud[fraud_cases])</f>
        <v>16434</v>
      </c>
      <c r="K9" s="22" t="s">
        <v>98</v>
      </c>
      <c r="L9" s="23">
        <v>4071</v>
      </c>
      <c r="M9" s="23">
        <v>155</v>
      </c>
      <c r="N9" s="29">
        <v>0.182</v>
      </c>
      <c r="O9" s="30">
        <v>3.81</v>
      </c>
    </row>
    <row r="10" spans="1:15" ht="15" customHeight="1" x14ac:dyDescent="0.3">
      <c r="A10" s="21" t="s">
        <v>100</v>
      </c>
      <c r="B10" s="21">
        <v>6523</v>
      </c>
      <c r="C10" s="21">
        <v>253</v>
      </c>
      <c r="D10" s="21">
        <v>45.6</v>
      </c>
      <c r="E10" s="21">
        <v>0.14299999999999999</v>
      </c>
      <c r="F10" s="21">
        <v>3.88</v>
      </c>
      <c r="H10" s="27" t="s">
        <v>3462</v>
      </c>
      <c r="I10" s="32">
        <f>MIN(Tbl_Fraud[fraud_rate_per_million_txn])</f>
        <v>9.0999999999999998E-2</v>
      </c>
      <c r="K10" s="22" t="s">
        <v>100</v>
      </c>
      <c r="L10" s="23">
        <v>6523</v>
      </c>
      <c r="M10" s="23">
        <v>253</v>
      </c>
      <c r="N10" s="29">
        <v>0.14299999999999999</v>
      </c>
      <c r="O10" s="30">
        <v>3.88</v>
      </c>
    </row>
    <row r="11" spans="1:15" ht="15" customHeight="1" x14ac:dyDescent="0.3">
      <c r="A11" s="21" t="s">
        <v>102</v>
      </c>
      <c r="B11" s="21">
        <v>14483</v>
      </c>
      <c r="C11" s="21">
        <v>573</v>
      </c>
      <c r="D11" s="21">
        <v>83.7</v>
      </c>
      <c r="E11" s="21">
        <v>0.17299999999999999</v>
      </c>
      <c r="F11" s="21">
        <v>3.96</v>
      </c>
      <c r="K11" s="22" t="s">
        <v>102</v>
      </c>
      <c r="L11" s="23">
        <v>14483</v>
      </c>
      <c r="M11" s="23">
        <v>573</v>
      </c>
      <c r="N11" s="29">
        <v>0.17299999999999999</v>
      </c>
      <c r="O11" s="30">
        <v>3.96</v>
      </c>
    </row>
    <row r="12" spans="1:15" ht="15" customHeight="1" x14ac:dyDescent="0.3">
      <c r="A12" s="21" t="s">
        <v>104</v>
      </c>
      <c r="B12" s="21">
        <v>19520</v>
      </c>
      <c r="C12" s="21">
        <v>724</v>
      </c>
      <c r="D12" s="21">
        <v>131</v>
      </c>
      <c r="E12" s="21">
        <v>0.14899999999999999</v>
      </c>
      <c r="F12" s="21">
        <v>3.71</v>
      </c>
      <c r="K12" s="22" t="s">
        <v>104</v>
      </c>
      <c r="L12" s="23">
        <v>19520</v>
      </c>
      <c r="M12" s="23">
        <v>724</v>
      </c>
      <c r="N12" s="29">
        <v>0.14899999999999999</v>
      </c>
      <c r="O12" s="30">
        <v>3.71</v>
      </c>
    </row>
    <row r="13" spans="1:15" ht="15" customHeight="1" x14ac:dyDescent="0.3">
      <c r="A13" s="21" t="s">
        <v>106</v>
      </c>
      <c r="B13" s="21">
        <v>15890</v>
      </c>
      <c r="C13" s="21">
        <v>612</v>
      </c>
      <c r="D13" s="21">
        <v>175</v>
      </c>
      <c r="E13" s="21">
        <v>9.0999999999999998E-2</v>
      </c>
      <c r="F13" s="21">
        <v>3.85</v>
      </c>
      <c r="K13" s="22" t="s">
        <v>106</v>
      </c>
      <c r="L13" s="23">
        <v>15890</v>
      </c>
      <c r="M13" s="23">
        <v>612</v>
      </c>
      <c r="N13" s="29">
        <v>9.0999999999999998E-2</v>
      </c>
      <c r="O13" s="30">
        <v>3.85</v>
      </c>
    </row>
  </sheetData>
  <mergeCells count="9">
    <mergeCell ref="A4:C4"/>
    <mergeCell ref="D4:F4"/>
    <mergeCell ref="G4:I4"/>
    <mergeCell ref="J4:L4"/>
    <mergeCell ref="A1:F1"/>
    <mergeCell ref="A3:C3"/>
    <mergeCell ref="D3:F3"/>
    <mergeCell ref="G3:I3"/>
    <mergeCell ref="J3:L3"/>
  </mergeCells>
  <conditionalFormatting sqref="A8:F13">
    <cfRule type="expression" dxfId="1" priority="2">
      <formula>B8=MAX($B$8:$B$13)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C8A"/>
  </sheetPr>
  <dimension ref="A1:O17"/>
  <sheetViews>
    <sheetView showGridLines="0" zoomScale="47" zoomScaleNormal="90" workbookViewId="0">
      <pane ySplit="1" topLeftCell="A15" activePane="bottomLeft" state="frozen"/>
      <selection pane="bottomLeft" sqref="A1:I1"/>
    </sheetView>
  </sheetViews>
  <sheetFormatPr defaultColWidth="8.6640625" defaultRowHeight="14.4" x14ac:dyDescent="0.3"/>
  <cols>
    <col min="1" max="1" width="14" customWidth="1"/>
    <col min="2" max="2" width="16" customWidth="1"/>
    <col min="3" max="5" width="17" customWidth="1"/>
    <col min="6" max="6" width="23" customWidth="1"/>
    <col min="7" max="7" width="24" customWidth="1"/>
    <col min="8" max="8" width="19" customWidth="1"/>
    <col min="9" max="9" width="27" customWidth="1"/>
    <col min="11" max="12" width="18" customWidth="1"/>
  </cols>
  <sheetData>
    <row r="1" spans="1:15" ht="25.5" customHeight="1" x14ac:dyDescent="0.35">
      <c r="A1" s="11" t="s">
        <v>3463</v>
      </c>
      <c r="B1" s="11"/>
      <c r="C1" s="11"/>
      <c r="D1" s="11"/>
      <c r="E1" s="11"/>
      <c r="F1" s="11"/>
      <c r="G1" s="11"/>
      <c r="H1" s="11"/>
      <c r="I1" s="11"/>
    </row>
    <row r="3" spans="1:15" ht="15" customHeight="1" x14ac:dyDescent="0.3">
      <c r="A3" s="10" t="s">
        <v>3464</v>
      </c>
      <c r="B3" s="10"/>
      <c r="C3" s="10"/>
      <c r="D3" s="10" t="s">
        <v>3465</v>
      </c>
      <c r="E3" s="10"/>
      <c r="F3" s="10"/>
      <c r="G3" s="10" t="s">
        <v>3466</v>
      </c>
      <c r="H3" s="10"/>
      <c r="I3" s="10"/>
      <c r="J3" s="10" t="s">
        <v>3467</v>
      </c>
      <c r="K3" s="10"/>
      <c r="L3" s="10"/>
      <c r="M3" s="10" t="s">
        <v>3468</v>
      </c>
      <c r="N3" s="10"/>
      <c r="O3" s="10"/>
    </row>
    <row r="4" spans="1:15" ht="17.25" customHeight="1" x14ac:dyDescent="0.3">
      <c r="A4" s="7">
        <f>INDEX(Tbl_Digital[upi_share_of_digital_pct],COUNT(Tbl_Digital[upi_volume_bn]))</f>
        <v>89.5</v>
      </c>
      <c r="B4" s="7"/>
      <c r="C4" s="7"/>
      <c r="D4" s="5">
        <f>INDEX(Tbl_Digital[upi_volume_bn],COUNT(Tbl_Digital[upi_volume_bn]))</f>
        <v>175</v>
      </c>
      <c r="E4" s="5"/>
      <c r="F4" s="5"/>
      <c r="G4" s="5">
        <f>INDEX(Tbl_Digital[neft_volume_bn],COUNT(Tbl_Digital[neft_volume_bn]))</f>
        <v>5.3</v>
      </c>
      <c r="H4" s="5"/>
      <c r="I4" s="5"/>
      <c r="J4" s="3">
        <f>INDEX(Tbl_Digital[rtgs_volume_bn],COUNT(Tbl_Digital[rtgs_volume_bn]))</f>
        <v>0.27</v>
      </c>
      <c r="K4" s="3"/>
      <c r="L4" s="3"/>
      <c r="M4" s="5">
        <f>INDEX(Tbl_Digital[imps_volume_bn],COUNT(Tbl_Digital[imps_volume_bn]))</f>
        <v>6.2</v>
      </c>
      <c r="N4" s="5"/>
      <c r="O4" s="5"/>
    </row>
    <row r="9" spans="1:15" ht="15" customHeight="1" x14ac:dyDescent="0.3">
      <c r="A9" s="19" t="s">
        <v>3469</v>
      </c>
      <c r="K9" s="19" t="s">
        <v>3470</v>
      </c>
    </row>
    <row r="10" spans="1:15" ht="24.75" customHeight="1" x14ac:dyDescent="0.3">
      <c r="A10" s="20" t="s">
        <v>73</v>
      </c>
      <c r="B10" s="20" t="s">
        <v>3471</v>
      </c>
      <c r="C10" s="20" t="s">
        <v>3472</v>
      </c>
      <c r="D10" s="20" t="s">
        <v>3473</v>
      </c>
      <c r="E10" s="20" t="s">
        <v>3474</v>
      </c>
      <c r="F10" s="20" t="s">
        <v>3475</v>
      </c>
      <c r="G10" s="20" t="s">
        <v>3476</v>
      </c>
      <c r="H10" s="20" t="s">
        <v>3477</v>
      </c>
      <c r="I10" s="20" t="s">
        <v>3478</v>
      </c>
      <c r="K10" s="20" t="s">
        <v>3479</v>
      </c>
      <c r="L10" s="20" t="s">
        <v>3480</v>
      </c>
    </row>
    <row r="11" spans="1:15" ht="15" customHeight="1" x14ac:dyDescent="0.3">
      <c r="A11" s="21" t="s">
        <v>96</v>
      </c>
      <c r="B11" s="21">
        <v>12.5</v>
      </c>
      <c r="C11" s="21">
        <v>2.6</v>
      </c>
      <c r="D11" s="21">
        <v>2.7</v>
      </c>
      <c r="E11" s="21">
        <v>0.14000000000000001</v>
      </c>
      <c r="F11" s="21">
        <v>5.6</v>
      </c>
      <c r="G11" s="21">
        <v>2.2000000000000002</v>
      </c>
      <c r="H11" s="21">
        <v>1.1000000000000001</v>
      </c>
      <c r="I11" s="21">
        <v>48.8</v>
      </c>
      <c r="K11" s="22" t="s">
        <v>3481</v>
      </c>
      <c r="L11" s="30">
        <f>SUM(Tbl_Digital[upi_volume_bn])</f>
        <v>470.1</v>
      </c>
    </row>
    <row r="12" spans="1:15" ht="15" customHeight="1" x14ac:dyDescent="0.3">
      <c r="A12" s="21" t="s">
        <v>98</v>
      </c>
      <c r="B12" s="21">
        <v>22.3</v>
      </c>
      <c r="C12" s="21">
        <v>3.3</v>
      </c>
      <c r="D12" s="21">
        <v>3</v>
      </c>
      <c r="E12" s="21">
        <v>0.17</v>
      </c>
      <c r="F12" s="21">
        <v>4</v>
      </c>
      <c r="G12" s="21">
        <v>1.8</v>
      </c>
      <c r="H12" s="21">
        <v>0.8</v>
      </c>
      <c r="I12" s="21">
        <v>64.8</v>
      </c>
      <c r="K12" s="22" t="s">
        <v>3482</v>
      </c>
      <c r="L12" s="30">
        <f>SUM(Tbl_Digital[imps_volume_bn])</f>
        <v>27.900000000000002</v>
      </c>
    </row>
    <row r="13" spans="1:15" ht="15" customHeight="1" x14ac:dyDescent="0.3">
      <c r="A13" s="21" t="s">
        <v>100</v>
      </c>
      <c r="B13" s="21">
        <v>45.6</v>
      </c>
      <c r="C13" s="21">
        <v>4.5999999999999996</v>
      </c>
      <c r="D13" s="21">
        <v>3.7</v>
      </c>
      <c r="E13" s="21">
        <v>0.2</v>
      </c>
      <c r="F13" s="21">
        <v>4.4000000000000004</v>
      </c>
      <c r="G13" s="21">
        <v>2.4</v>
      </c>
      <c r="H13" s="21">
        <v>0.7</v>
      </c>
      <c r="I13" s="21">
        <v>75.099999999999994</v>
      </c>
      <c r="K13" s="22" t="s">
        <v>3483</v>
      </c>
      <c r="L13" s="30">
        <f>SUM(Tbl_Digital[neft_volume_bn])</f>
        <v>24.1</v>
      </c>
    </row>
    <row r="14" spans="1:15" ht="15" customHeight="1" x14ac:dyDescent="0.3">
      <c r="A14" s="21" t="s">
        <v>102</v>
      </c>
      <c r="B14" s="21">
        <v>83.7</v>
      </c>
      <c r="C14" s="21">
        <v>5.3</v>
      </c>
      <c r="D14" s="21">
        <v>4.4000000000000004</v>
      </c>
      <c r="E14" s="21">
        <v>0.23</v>
      </c>
      <c r="F14" s="21">
        <v>5.0999999999999996</v>
      </c>
      <c r="G14" s="21">
        <v>3.1</v>
      </c>
      <c r="H14" s="21">
        <v>0.6</v>
      </c>
      <c r="I14" s="21">
        <v>82.4</v>
      </c>
      <c r="K14" s="22" t="s">
        <v>3484</v>
      </c>
      <c r="L14" s="30">
        <f>SUM(Tbl_Digital[rtgs_volume_bn])</f>
        <v>1.26</v>
      </c>
    </row>
    <row r="15" spans="1:15" ht="15" customHeight="1" x14ac:dyDescent="0.3">
      <c r="A15" s="21" t="s">
        <v>104</v>
      </c>
      <c r="B15" s="21">
        <v>131</v>
      </c>
      <c r="C15" s="21">
        <v>5.9</v>
      </c>
      <c r="D15" s="21">
        <v>5</v>
      </c>
      <c r="E15" s="21">
        <v>0.25</v>
      </c>
      <c r="F15" s="21">
        <v>5.4</v>
      </c>
      <c r="G15" s="21">
        <v>3.7</v>
      </c>
      <c r="H15" s="21">
        <v>0.5</v>
      </c>
      <c r="I15" s="21">
        <v>86.8</v>
      </c>
      <c r="K15" s="22" t="s">
        <v>3485</v>
      </c>
      <c r="L15" s="30">
        <f>SUM(Tbl_Digital[debit_card_volume_bn])</f>
        <v>29.5</v>
      </c>
    </row>
    <row r="16" spans="1:15" ht="15" customHeight="1" x14ac:dyDescent="0.3">
      <c r="A16" s="21" t="s">
        <v>106</v>
      </c>
      <c r="B16" s="21">
        <v>175</v>
      </c>
      <c r="C16" s="21">
        <v>6.2</v>
      </c>
      <c r="D16" s="21">
        <v>5.3</v>
      </c>
      <c r="E16" s="21">
        <v>0.27</v>
      </c>
      <c r="F16" s="21">
        <v>5</v>
      </c>
      <c r="G16" s="21">
        <v>4.0999999999999996</v>
      </c>
      <c r="H16" s="21">
        <v>0.4</v>
      </c>
      <c r="I16" s="21">
        <v>89.5</v>
      </c>
      <c r="K16" s="22" t="s">
        <v>3486</v>
      </c>
      <c r="L16" s="30">
        <f>SUM(Tbl_Digital[credit_card_volume_bn])</f>
        <v>17.299999999999997</v>
      </c>
    </row>
    <row r="17" spans="11:12" ht="15" customHeight="1" x14ac:dyDescent="0.3">
      <c r="K17" s="22" t="s">
        <v>3487</v>
      </c>
      <c r="L17" s="30">
        <f>SUM(Tbl_Digital[cheque_volume_bn])</f>
        <v>4.1000000000000005</v>
      </c>
    </row>
  </sheetData>
  <mergeCells count="11">
    <mergeCell ref="M3:O3"/>
    <mergeCell ref="A4:C4"/>
    <mergeCell ref="D4:F4"/>
    <mergeCell ref="G4:I4"/>
    <mergeCell ref="J4:L4"/>
    <mergeCell ref="M4:O4"/>
    <mergeCell ref="A1:I1"/>
    <mergeCell ref="A3:C3"/>
    <mergeCell ref="D3:F3"/>
    <mergeCell ref="G3:I3"/>
    <mergeCell ref="J3:L3"/>
  </mergeCells>
  <conditionalFormatting sqref="B11:G16">
    <cfRule type="expression" dxfId="0" priority="2">
      <formula>$B11=MAX($B$11:$G$11)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X95"/>
  <sheetViews>
    <sheetView showGridLines="0" tabSelected="1" zoomScale="109" zoomScaleNormal="90" workbookViewId="0">
      <pane ySplit="1" topLeftCell="A84" activePane="bottomLeft" state="frozen"/>
      <selection pane="bottomLeft" activeCell="I97" sqref="I97"/>
    </sheetView>
  </sheetViews>
  <sheetFormatPr defaultColWidth="8.6640625" defaultRowHeight="14.4" x14ac:dyDescent="0.3"/>
  <cols>
    <col min="1" max="21" width="9" customWidth="1"/>
  </cols>
  <sheetData>
    <row r="1" spans="1:24" ht="19.2" customHeight="1" x14ac:dyDescent="0.3">
      <c r="A1" s="2" t="s">
        <v>3488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4" ht="19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4" ht="15" customHeight="1" x14ac:dyDescent="0.3">
      <c r="A3" s="1" t="s">
        <v>3489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4" ht="15" customHeight="1" x14ac:dyDescent="0.3">
      <c r="A5" s="10" t="s">
        <v>3490</v>
      </c>
      <c r="B5" s="10"/>
      <c r="C5" s="10"/>
      <c r="D5" s="10" t="s">
        <v>3491</v>
      </c>
      <c r="E5" s="10"/>
      <c r="F5" s="10"/>
      <c r="G5" s="10" t="s">
        <v>3492</v>
      </c>
      <c r="H5" s="10"/>
      <c r="I5" s="10"/>
      <c r="J5" s="10" t="s">
        <v>53</v>
      </c>
      <c r="K5" s="10"/>
      <c r="L5" s="10"/>
      <c r="M5" s="10" t="s">
        <v>3493</v>
      </c>
      <c r="N5" s="10"/>
      <c r="O5" s="10"/>
      <c r="P5" s="10" t="s">
        <v>3494</v>
      </c>
      <c r="Q5" s="10"/>
      <c r="R5" s="10"/>
      <c r="S5" s="10" t="s">
        <v>3446</v>
      </c>
      <c r="T5" s="10"/>
      <c r="U5" s="10"/>
      <c r="V5" s="10" t="s">
        <v>3464</v>
      </c>
      <c r="W5" s="10"/>
      <c r="X5" s="10"/>
    </row>
    <row r="6" spans="1:24" ht="17.25" customHeight="1" x14ac:dyDescent="0.3">
      <c r="A6" s="5">
        <f>SUM(Tbl_Monthly[volume_billions])</f>
        <v>468.10699999999997</v>
      </c>
      <c r="B6" s="5"/>
      <c r="C6" s="5"/>
      <c r="D6" s="9">
        <f>SUM(Tbl_Monthly[value_billion_inr])</f>
        <v>160372.52000000002</v>
      </c>
      <c r="E6" s="9"/>
      <c r="F6" s="9"/>
      <c r="G6" s="9">
        <f>INDEX(Tbl_Monthly[banks_live],COUNT(Tbl_Monthly[banks_live]))</f>
        <v>456</v>
      </c>
      <c r="H6" s="9"/>
      <c r="I6" s="9"/>
      <c r="J6" s="9">
        <f>AVERAGE(Tbl_Monthly[avg_transaction_value_inr])</f>
        <v>352.37699029126213</v>
      </c>
      <c r="K6" s="9"/>
      <c r="L6" s="9"/>
      <c r="M6" s="6" t="str">
        <f>INDEX(Tbl_Bank[bank_app],MATCH(MAX(Tbl_Bank[volume_share_pct]),Tbl_Bank[volume_share_pct],0))</f>
        <v>PhonePe</v>
      </c>
      <c r="N6" s="6"/>
      <c r="O6" s="6"/>
      <c r="P6" s="6" t="str">
        <f>INDEX(Tbl_State[state],MATCH(MAX(Tbl_State[volume_millions]),Tbl_State[volume_millions],0))</f>
        <v>Maharashtra</v>
      </c>
      <c r="Q6" s="6"/>
      <c r="R6" s="6"/>
      <c r="S6" s="4">
        <f>INDEX(Tbl_Fraud[fraud_rate_per_million_txn],COUNT(Tbl_Fraud[fraud_cases]))</f>
        <v>9.0999999999999998E-2</v>
      </c>
      <c r="T6" s="4"/>
      <c r="U6" s="4"/>
      <c r="V6" s="7">
        <f>INDEX(Tbl_Digital[upi_share_of_digital_pct],COUNT(Tbl_Digital[upi_volume_bn]))</f>
        <v>89.5</v>
      </c>
      <c r="W6" s="7"/>
      <c r="X6" s="7"/>
    </row>
    <row r="7" spans="1:24" ht="6" customHeight="1" x14ac:dyDescent="0.3"/>
    <row r="8" spans="1:24" ht="15" customHeight="1" x14ac:dyDescent="0.3">
      <c r="A8" s="19" t="s">
        <v>3495</v>
      </c>
      <c r="O8" s="19" t="s">
        <v>16</v>
      </c>
    </row>
    <row r="26" spans="1:15" ht="15" customHeight="1" x14ac:dyDescent="0.3">
      <c r="A26" s="19" t="s">
        <v>3496</v>
      </c>
      <c r="O26" s="19" t="s">
        <v>3497</v>
      </c>
    </row>
    <row r="44" spans="1:15" ht="15" customHeight="1" x14ac:dyDescent="0.3">
      <c r="A44" s="19" t="s">
        <v>3498</v>
      </c>
      <c r="O44" s="19" t="s">
        <v>3499</v>
      </c>
    </row>
    <row r="62" spans="1:15" ht="15" customHeight="1" x14ac:dyDescent="0.3">
      <c r="A62" s="19" t="s">
        <v>3500</v>
      </c>
      <c r="O62" s="19" t="s">
        <v>3501</v>
      </c>
    </row>
    <row r="81" spans="1:21" ht="21.75" customHeight="1" x14ac:dyDescent="0.3">
      <c r="A81" s="33" t="s">
        <v>3502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 spans="1:21" ht="15" customHeight="1" x14ac:dyDescent="0.3">
      <c r="A82" s="34" t="s">
        <v>3503</v>
      </c>
      <c r="B82" s="34"/>
      <c r="C82" s="34"/>
      <c r="D82" s="34"/>
      <c r="E82" s="34"/>
      <c r="F82" s="35">
        <f>INDEX(Tbl_Monthly[year],MATCH(MAX(Tbl_Monthly[yoy_volume_growth_pct]),Tbl_Monthly[yoy_volume_growth_pct],0))</f>
        <v>2017</v>
      </c>
      <c r="G82" s="35"/>
      <c r="H82" s="35"/>
      <c r="I82" s="35"/>
      <c r="J82" s="35"/>
      <c r="L82" s="34" t="s">
        <v>3504</v>
      </c>
      <c r="M82" s="34"/>
      <c r="N82" s="34"/>
      <c r="O82" s="34"/>
      <c r="P82" s="34"/>
      <c r="Q82" s="35" t="str">
        <f>TEXT(INDEX(Tbl_Monthly[date],MATCH(MAX(Tbl_Monthly[volume_millions]),Tbl_Monthly[volume_millions],0)),"mmm-yyyy")</f>
        <v>Jan-2025</v>
      </c>
      <c r="R82" s="35"/>
      <c r="S82" s="35"/>
      <c r="T82" s="35"/>
      <c r="U82" s="35"/>
    </row>
    <row r="83" spans="1:21" ht="15" customHeight="1" x14ac:dyDescent="0.3">
      <c r="A83" s="34" t="s">
        <v>3505</v>
      </c>
      <c r="B83" s="34"/>
      <c r="C83" s="34"/>
      <c r="D83" s="34"/>
      <c r="E83" s="34"/>
      <c r="F83" s="35" t="str">
        <f>INDEX(Tbl_Bank[bank_app],MATCH(MAX(Tbl_Bank[volume_share_pct]),Tbl_Bank[volume_share_pct],0))</f>
        <v>PhonePe</v>
      </c>
      <c r="G83" s="35"/>
      <c r="H83" s="35"/>
      <c r="I83" s="35"/>
      <c r="J83" s="35"/>
      <c r="L83" s="34" t="s">
        <v>3494</v>
      </c>
      <c r="M83" s="34"/>
      <c r="N83" s="34"/>
      <c r="O83" s="34"/>
      <c r="P83" s="34"/>
      <c r="Q83" s="35" t="str">
        <f>INDEX(Tbl_State[state],MATCH(MAX(Tbl_State[volume_millions]),Tbl_State[volume_millions],0))</f>
        <v>Maharashtra</v>
      </c>
      <c r="R83" s="35"/>
      <c r="S83" s="35"/>
      <c r="T83" s="35"/>
      <c r="U83" s="35"/>
    </row>
    <row r="84" spans="1:21" ht="15" customHeight="1" x14ac:dyDescent="0.3">
      <c r="A84" s="34" t="s">
        <v>3464</v>
      </c>
      <c r="B84" s="34"/>
      <c r="C84" s="34"/>
      <c r="D84" s="34"/>
      <c r="E84" s="34"/>
      <c r="F84" s="36">
        <f>INDEX(Tbl_Digital[upi_share_of_digital_pct],COUNT(Tbl_Digital[upi_volume_bn]))</f>
        <v>89.5</v>
      </c>
      <c r="G84" s="36"/>
      <c r="H84" s="36"/>
      <c r="I84" s="36"/>
      <c r="J84" s="36"/>
      <c r="L84" s="34" t="s">
        <v>3506</v>
      </c>
      <c r="M84" s="34"/>
      <c r="N84" s="34"/>
      <c r="O84" s="34"/>
      <c r="P84" s="34"/>
      <c r="Q84" s="37">
        <f>INDEX(Tbl_Fraud[fraud_rate_per_million_txn],COUNT(Tbl_Fraud[fraud_cases]))-INDEX(Tbl_Fraud[fraud_rate_per_million_txn],1)</f>
        <v>-0.156</v>
      </c>
      <c r="R84" s="37"/>
      <c r="S84" s="37"/>
      <c r="T84" s="37"/>
      <c r="U84" s="37"/>
    </row>
    <row r="85" spans="1:21" ht="15" customHeight="1" x14ac:dyDescent="0.3">
      <c r="A85" s="34" t="s">
        <v>3507</v>
      </c>
      <c r="B85" s="34"/>
      <c r="C85" s="34"/>
      <c r="D85" s="34"/>
      <c r="E85" s="34"/>
      <c r="F85" s="38">
        <f>AVERAGE(Tbl_Monthly[avg_transaction_value_inr])</f>
        <v>352.37699029126213</v>
      </c>
      <c r="G85" s="38"/>
      <c r="H85" s="38"/>
      <c r="I85" s="38"/>
      <c r="J85" s="38"/>
      <c r="L85" s="34" t="s">
        <v>54</v>
      </c>
      <c r="M85" s="34"/>
      <c r="N85" s="34"/>
      <c r="O85" s="34"/>
      <c r="P85" s="34"/>
      <c r="Q85" s="39">
        <f>(INDEX(Tbl_Monthly[volume_millions],COUNT(Tbl_Monthly[volume_millions]))/INDEX(Tbl_Monthly[volume_millions],1))^(1/((COUNT(Tbl_Monthly[volume_millions])-1)/12))-1</f>
        <v>3.1352576003184636</v>
      </c>
      <c r="R85" s="39"/>
      <c r="S85" s="39"/>
      <c r="T85" s="39"/>
      <c r="U85" s="39"/>
    </row>
    <row r="87" spans="1:21" ht="15" customHeight="1" x14ac:dyDescent="0.3">
      <c r="A87" s="40" t="s">
        <v>3508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</row>
    <row r="88" spans="1:21" ht="27.75" customHeight="1" x14ac:dyDescent="0.3">
      <c r="A88" s="41" t="s">
        <v>3509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</row>
    <row r="89" spans="1:21" ht="27.75" customHeight="1" x14ac:dyDescent="0.3">
      <c r="A89" s="41" t="s">
        <v>3510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</row>
    <row r="90" spans="1:21" ht="27.75" customHeight="1" x14ac:dyDescent="0.3">
      <c r="A90" s="41" t="s">
        <v>3511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</row>
    <row r="91" spans="1:21" ht="27.75" customHeight="1" x14ac:dyDescent="0.3">
      <c r="A91" s="41" t="s">
        <v>3512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</row>
    <row r="92" spans="1:21" ht="27.75" customHeight="1" x14ac:dyDescent="0.3">
      <c r="A92" s="41" t="s">
        <v>3513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</row>
    <row r="93" spans="1:21" ht="27.75" customHeight="1" x14ac:dyDescent="0.3">
      <c r="A93" s="41" t="s">
        <v>3514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</row>
    <row r="94" spans="1:21" ht="27.75" customHeight="1" x14ac:dyDescent="0.3">
      <c r="A94" s="41" t="s">
        <v>3515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</row>
    <row r="95" spans="1:21" ht="27.75" customHeight="1" x14ac:dyDescent="0.3">
      <c r="A95" s="41" t="s">
        <v>3516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</row>
  </sheetData>
  <mergeCells count="44">
    <mergeCell ref="A93:U93"/>
    <mergeCell ref="A94:U94"/>
    <mergeCell ref="A95:U95"/>
    <mergeCell ref="A88:U88"/>
    <mergeCell ref="A89:U89"/>
    <mergeCell ref="A90:U90"/>
    <mergeCell ref="A91:U91"/>
    <mergeCell ref="A92:U92"/>
    <mergeCell ref="A85:E85"/>
    <mergeCell ref="F85:J85"/>
    <mergeCell ref="L85:P85"/>
    <mergeCell ref="Q85:U85"/>
    <mergeCell ref="A87:U87"/>
    <mergeCell ref="A83:E83"/>
    <mergeCell ref="F83:J83"/>
    <mergeCell ref="L83:P83"/>
    <mergeCell ref="Q83:U83"/>
    <mergeCell ref="A84:E84"/>
    <mergeCell ref="F84:J84"/>
    <mergeCell ref="L84:P84"/>
    <mergeCell ref="Q84:U84"/>
    <mergeCell ref="A81:U81"/>
    <mergeCell ref="A82:E82"/>
    <mergeCell ref="F82:J82"/>
    <mergeCell ref="L82:P82"/>
    <mergeCell ref="Q82:U82"/>
    <mergeCell ref="V5:X5"/>
    <mergeCell ref="A6:C6"/>
    <mergeCell ref="D6:F6"/>
    <mergeCell ref="G6:I6"/>
    <mergeCell ref="J6:L6"/>
    <mergeCell ref="M6:O6"/>
    <mergeCell ref="P6:R6"/>
    <mergeCell ref="S6:U6"/>
    <mergeCell ref="V6:X6"/>
    <mergeCell ref="A1:U2"/>
    <mergeCell ref="A3:U3"/>
    <mergeCell ref="A5:C5"/>
    <mergeCell ref="D5:F5"/>
    <mergeCell ref="G5:I5"/>
    <mergeCell ref="J5:L5"/>
    <mergeCell ref="M5:O5"/>
    <mergeCell ref="P5:R5"/>
    <mergeCell ref="S5:U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Monthly_Statistics</vt:lpstr>
      <vt:lpstr>Bank_Market_Share</vt:lpstr>
      <vt:lpstr>State_Adoption</vt:lpstr>
      <vt:lpstr>Daily_Analysis</vt:lpstr>
      <vt:lpstr>Fraud_Analytics</vt:lpstr>
      <vt:lpstr>Digital_Payments_Comparison</vt:lpstr>
      <vt:lpstr>Executive_Dashboard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Aarushi Ghosh</cp:lastModifiedBy>
  <cp:revision>2</cp:revision>
  <dcterms:created xsi:type="dcterms:W3CDTF">2026-07-01T10:04:51Z</dcterms:created>
  <dcterms:modified xsi:type="dcterms:W3CDTF">2026-07-01T10:23:19Z</dcterms:modified>
  <dc:language>en-US</dc:language>
</cp:coreProperties>
</file>